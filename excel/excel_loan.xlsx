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 firstSheet="4" activeTab="6"/>
  </bookViews>
  <sheets>
    <sheet name="raw_customers" sheetId="1" r:id="rId1"/>
    <sheet name="raw_loans" sheetId="2" r:id="rId2"/>
    <sheet name="raw_branches" sheetId="3" r:id="rId3"/>
    <sheet name="analytics_data" sheetId="4" r:id="rId4"/>
    <sheet name="kpi_summary" sheetId="5" r:id="rId5"/>
    <sheet name="pivot table1" sheetId="7" r:id="rId6"/>
    <sheet name="monthly loan portfolio trend" sheetId="14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<sst xmlns="http://schemas.openxmlformats.org/spreadsheetml/2006/main" count="11355" uniqueCount="3082">
  <si>
    <t>CUSTOMER_ID</t>
  </si>
  <si>
    <t>FULL_NAME</t>
  </si>
  <si>
    <t>GENDER</t>
  </si>
  <si>
    <t>BIRTH_DATE</t>
  </si>
  <si>
    <t>CITY</t>
  </si>
  <si>
    <t>BRANCH_ID</t>
  </si>
  <si>
    <t>SEGMENT</t>
  </si>
  <si>
    <t>JOIN_DATE</t>
  </si>
  <si>
    <t>Zaur Tağıyev</t>
  </si>
  <si>
    <t>M</t>
  </si>
  <si>
    <t>1970-07-16 00:00:00.000</t>
  </si>
  <si>
    <t>Sumqayıt</t>
  </si>
  <si>
    <t>Retail</t>
  </si>
  <si>
    <t>2024-10-21 00:00:00.000</t>
  </si>
  <si>
    <t>Samir Əliyev</t>
  </si>
  <si>
    <t>1981-04-07 00:00:00.000</t>
  </si>
  <si>
    <t>Bakı</t>
  </si>
  <si>
    <t>Premium</t>
  </si>
  <si>
    <t>2019-08-29 00:00:00.000</t>
  </si>
  <si>
    <t>Zeynəb Nəbiyev</t>
  </si>
  <si>
    <t>F</t>
  </si>
  <si>
    <t>1968-12-18 00:00:00.000</t>
  </si>
  <si>
    <t>2020-05-08 00:00:00.000</t>
  </si>
  <si>
    <t>Fuad Cəfərov</t>
  </si>
  <si>
    <t>1973-10-14 00:00:00.000</t>
  </si>
  <si>
    <t>SME</t>
  </si>
  <si>
    <t>2021-11-13 00:00:00.000</t>
  </si>
  <si>
    <t>Leyla Məmmədov</t>
  </si>
  <si>
    <t>1982-08-15 00:00:00.000</t>
  </si>
  <si>
    <t>Şəki</t>
  </si>
  <si>
    <t>2019-12-04 00:00:00.000</t>
  </si>
  <si>
    <t>Nicat Sadıqov</t>
  </si>
  <si>
    <t>1978-07-13 00:00:00.000</t>
  </si>
  <si>
    <t>Lənkəran</t>
  </si>
  <si>
    <t>2024-03-18 00:00:00.000</t>
  </si>
  <si>
    <t>Emin Nəbiyev</t>
  </si>
  <si>
    <t>1975-06-06 00:00:00.000</t>
  </si>
  <si>
    <t>2023-10-05 00:00:00.000</t>
  </si>
  <si>
    <t>Nigar Nəbiyev</t>
  </si>
  <si>
    <t>1982-11-03 00:00:00.000</t>
  </si>
  <si>
    <t>2019-07-12 00:00:00.000</t>
  </si>
  <si>
    <t>Leyla Əzizov</t>
  </si>
  <si>
    <t>1975-07-23 00:00:00.000</t>
  </si>
  <si>
    <t>Gəncə</t>
  </si>
  <si>
    <t>2021-02-20 00:00:00.000</t>
  </si>
  <si>
    <t>Anar Cəfərov</t>
  </si>
  <si>
    <t>1968-10-10 00:00:00.000</t>
  </si>
  <si>
    <t>2022-11-12 00:00:00.000</t>
  </si>
  <si>
    <t>Rəşad Abbasov</t>
  </si>
  <si>
    <t>1975-11-16 00:00:00.000</t>
  </si>
  <si>
    <t>2022-09-22 00:00:00.000</t>
  </si>
  <si>
    <t>Röya Rzayev</t>
  </si>
  <si>
    <t>1974-09-08 00:00:00.000</t>
  </si>
  <si>
    <t>Mingəçevir</t>
  </si>
  <si>
    <t>2021-01-29 00:00:00.000</t>
  </si>
  <si>
    <t>Toğrul Musayev</t>
  </si>
  <si>
    <t>1974-01-12 00:00:00.000</t>
  </si>
  <si>
    <t>2021-07-26 00:00:00.000</t>
  </si>
  <si>
    <t>Nərmin Nəbiyev</t>
  </si>
  <si>
    <t>1982-07-12 00:00:00.000</t>
  </si>
  <si>
    <t>2019-01-08 00:00:00.000</t>
  </si>
  <si>
    <t>Nərmin Orucov</t>
  </si>
  <si>
    <t>1993-05-10 00:00:00.000</t>
  </si>
  <si>
    <t>2023-12-30 00:00:00.000</t>
  </si>
  <si>
    <t>Zeynəb Vəliyev</t>
  </si>
  <si>
    <t>1993-02-19 00:00:00.000</t>
  </si>
  <si>
    <t>2021-08-01 00:00:00.000</t>
  </si>
  <si>
    <t>Aysel Rəhimov</t>
  </si>
  <si>
    <t>1967-11-25 00:00:00.000</t>
  </si>
  <si>
    <t>2023-06-12 00:00:00.000</t>
  </si>
  <si>
    <t>1989-12-24 00:00:00.000</t>
  </si>
  <si>
    <t>2022-05-25 00:00:00.000</t>
  </si>
  <si>
    <t>Rəşad Novruzov</t>
  </si>
  <si>
    <t>1972-03-16 00:00:00.000</t>
  </si>
  <si>
    <t>2020-07-16 00:00:00.000</t>
  </si>
  <si>
    <t>Fuad Tağıyev</t>
  </si>
  <si>
    <t>1999-05-02 00:00:00.000</t>
  </si>
  <si>
    <t>2020-11-19 00:00:00.000</t>
  </si>
  <si>
    <t>Lalə Vəliyev</t>
  </si>
  <si>
    <t>1994-10-12 00:00:00.000</t>
  </si>
  <si>
    <t>2022-01-16 00:00:00.000</t>
  </si>
  <si>
    <t>Toğrul Rəhimov</t>
  </si>
  <si>
    <t>1980-12-22 00:00:00.000</t>
  </si>
  <si>
    <t>2020-06-05 00:00:00.000</t>
  </si>
  <si>
    <t>Anar Rzayev</t>
  </si>
  <si>
    <t>1992-07-03 00:00:00.000</t>
  </si>
  <si>
    <t>2020-09-12 00:00:00.000</t>
  </si>
  <si>
    <t>Kamran Tağıyev</t>
  </si>
  <si>
    <t>1967-03-27 00:00:00.000</t>
  </si>
  <si>
    <t>2023-06-29 00:00:00.000</t>
  </si>
  <si>
    <t>Səbinə Nəbiyev</t>
  </si>
  <si>
    <t>1967-12-15 00:00:00.000</t>
  </si>
  <si>
    <t>2020-08-16 00:00:00.000</t>
  </si>
  <si>
    <t>Elvin Kərimov</t>
  </si>
  <si>
    <t>1984-10-17 00:00:00.000</t>
  </si>
  <si>
    <t>2024-07-27 00:00:00.000</t>
  </si>
  <si>
    <t>Rüfət Vəliyev</t>
  </si>
  <si>
    <t>1988-11-25 00:00:00.000</t>
  </si>
  <si>
    <t>2020-01-30 00:00:00.000</t>
  </si>
  <si>
    <t>Zaur Əzizov</t>
  </si>
  <si>
    <t>1975-04-03 00:00:00.000</t>
  </si>
  <si>
    <t>2022-11-25 00:00:00.000</t>
  </si>
  <si>
    <t>Toğrul Abbasov</t>
  </si>
  <si>
    <t>1985-05-12 00:00:00.000</t>
  </si>
  <si>
    <t>2022-07-14 00:00:00.000</t>
  </si>
  <si>
    <t>Ceyhun Quliyev</t>
  </si>
  <si>
    <t>1973-06-29 00:00:00.000</t>
  </si>
  <si>
    <t>2023-04-25 00:00:00.000</t>
  </si>
  <si>
    <t>Tural Bağırov</t>
  </si>
  <si>
    <t>2002-02-21 00:00:00.000</t>
  </si>
  <si>
    <t>2019-02-11 00:00:00.000</t>
  </si>
  <si>
    <t>Nərgiz Rəhimov</t>
  </si>
  <si>
    <t>2001-11-02 00:00:00.000</t>
  </si>
  <si>
    <t>2021-01-19 00:00:00.000</t>
  </si>
  <si>
    <t>Fərid Məmmədov</t>
  </si>
  <si>
    <t>1985-09-16 00:00:00.000</t>
  </si>
  <si>
    <t>2023-03-08 00:00:00.000</t>
  </si>
  <si>
    <t>Zeynəb Əzizov</t>
  </si>
  <si>
    <t>2000-12-17 00:00:00.000</t>
  </si>
  <si>
    <t>2022-05-22 00:00:00.000</t>
  </si>
  <si>
    <t>Zaur Quliyev</t>
  </si>
  <si>
    <t>1991-09-30 00:00:00.000</t>
  </si>
  <si>
    <t>2023-09-30 00:00:00.000</t>
  </si>
  <si>
    <t>Emin Cəfərov</t>
  </si>
  <si>
    <t>2002-03-27 00:00:00.000</t>
  </si>
  <si>
    <t>2020-12-10 00:00:00.000</t>
  </si>
  <si>
    <t>Nərgiz Orucov</t>
  </si>
  <si>
    <t>1981-08-28 00:00:00.000</t>
  </si>
  <si>
    <t>2023-12-01 00:00:00.000</t>
  </si>
  <si>
    <t>Rəşad Əzizov</t>
  </si>
  <si>
    <t>1988-05-05 00:00:00.000</t>
  </si>
  <si>
    <t>2023-02-28 00:00:00.000</t>
  </si>
  <si>
    <t>Samir Kərimov</t>
  </si>
  <si>
    <t>1970-05-12 00:00:00.000</t>
  </si>
  <si>
    <t>2019-06-08 00:00:00.000</t>
  </si>
  <si>
    <t>Röya Cəfərov</t>
  </si>
  <si>
    <t>1965-11-07 00:00:00.000</t>
  </si>
  <si>
    <t>2021-07-04 00:00:00.000</t>
  </si>
  <si>
    <t>Zaur Rəhimov</t>
  </si>
  <si>
    <t>1980-05-23 00:00:00.000</t>
  </si>
  <si>
    <t>2019-10-18 00:00:00.000</t>
  </si>
  <si>
    <t>Aysel Həsənov</t>
  </si>
  <si>
    <t>1984-05-29 00:00:00.000</t>
  </si>
  <si>
    <t>2020-12-21 00:00:00.000</t>
  </si>
  <si>
    <t>Anar Əliyev</t>
  </si>
  <si>
    <t>1980-11-02 00:00:00.000</t>
  </si>
  <si>
    <t>2021-12-29 00:00:00.000</t>
  </si>
  <si>
    <t>Samir Cəfərov</t>
  </si>
  <si>
    <t>1974-07-05 00:00:00.000</t>
  </si>
  <si>
    <t>2020-01-10 00:00:00.000</t>
  </si>
  <si>
    <t>Elvin Novruzov</t>
  </si>
  <si>
    <t>1998-01-15 00:00:00.000</t>
  </si>
  <si>
    <t>2019-07-06 00:00:00.000</t>
  </si>
  <si>
    <t>Nərmin Musayev</t>
  </si>
  <si>
    <t>1981-01-16 00:00:00.000</t>
  </si>
  <si>
    <t>2023-08-27 00:00:00.000</t>
  </si>
  <si>
    <t>Xəyalə Cəfərov</t>
  </si>
  <si>
    <t>2001-09-01 00:00:00.000</t>
  </si>
  <si>
    <t>2020-04-02 00:00:00.000</t>
  </si>
  <si>
    <t>Fidan Musayev</t>
  </si>
  <si>
    <t>1977-02-22 00:00:00.000</t>
  </si>
  <si>
    <t>2024-01-15 00:00:00.000</t>
  </si>
  <si>
    <t>Orxan Rəhimov</t>
  </si>
  <si>
    <t>1981-07-26 00:00:00.000</t>
  </si>
  <si>
    <t>2023-11-13 00:00:00.000</t>
  </si>
  <si>
    <t>Lalə Sadıqov</t>
  </si>
  <si>
    <t>1976-01-05 00:00:00.000</t>
  </si>
  <si>
    <t>2024-09-14 00:00:00.000</t>
  </si>
  <si>
    <t>Şəbnəm Quliyev</t>
  </si>
  <si>
    <t>1980-03-11 00:00:00.000</t>
  </si>
  <si>
    <t>2023-04-18 00:00:00.000</t>
  </si>
  <si>
    <t>Emin Hüseynov</t>
  </si>
  <si>
    <t>2002-01-01 00:00:00.000</t>
  </si>
  <si>
    <t>2020-05-19 00:00:00.000</t>
  </si>
  <si>
    <t>Könül Əzizov</t>
  </si>
  <si>
    <t>1988-07-01 00:00:00.000</t>
  </si>
  <si>
    <t>2022-01-15 00:00:00.000</t>
  </si>
  <si>
    <t>Rəşad Quliyev</t>
  </si>
  <si>
    <t>1971-05-29 00:00:00.000</t>
  </si>
  <si>
    <t>2022-08-26 00:00:00.000</t>
  </si>
  <si>
    <t>Fidan Bağırov</t>
  </si>
  <si>
    <t>1987-03-30 00:00:00.000</t>
  </si>
  <si>
    <t>2023-08-31 00:00:00.000</t>
  </si>
  <si>
    <t>Röya Rəhimov</t>
  </si>
  <si>
    <t>1966-09-07 00:00:00.000</t>
  </si>
  <si>
    <t>2022-06-26 00:00:00.000</t>
  </si>
  <si>
    <t>Vəfa Rzayev</t>
  </si>
  <si>
    <t>1983-05-02 00:00:00.000</t>
  </si>
  <si>
    <t>2021-04-01 00:00:00.000</t>
  </si>
  <si>
    <t>Türkan Vəliyev</t>
  </si>
  <si>
    <t>1977-12-30 00:00:00.000</t>
  </si>
  <si>
    <t>2019-03-06 00:00:00.000</t>
  </si>
  <si>
    <t>Fuad Abbasov</t>
  </si>
  <si>
    <t>1965-04-30 00:00:00.000</t>
  </si>
  <si>
    <t>2024-05-10 00:00:00.000</t>
  </si>
  <si>
    <t>Fuad Musayev</t>
  </si>
  <si>
    <t>1968-07-15 00:00:00.000</t>
  </si>
  <si>
    <t>2024-07-14 00:00:00.000</t>
  </si>
  <si>
    <t>Günel Musayev</t>
  </si>
  <si>
    <t>2004-05-02 00:00:00.000</t>
  </si>
  <si>
    <t>2020-10-20 00:00:00.000</t>
  </si>
  <si>
    <t>Kamran Rzayev</t>
  </si>
  <si>
    <t>1997-04-09 00:00:00.000</t>
  </si>
  <si>
    <t>2020-04-12 00:00:00.000</t>
  </si>
  <si>
    <t>Nərmin Əliyev</t>
  </si>
  <si>
    <t>1983-12-21 00:00:00.000</t>
  </si>
  <si>
    <t>2022-10-13 00:00:00.000</t>
  </si>
  <si>
    <t>Ramin Vəliyev</t>
  </si>
  <si>
    <t>1976-11-30 00:00:00.000</t>
  </si>
  <si>
    <t>2019-11-17 00:00:00.000</t>
  </si>
  <si>
    <t>1978-03-10 00:00:00.000</t>
  </si>
  <si>
    <t>2020-11-17 00:00:00.000</t>
  </si>
  <si>
    <t>Elvin Əzizov</t>
  </si>
  <si>
    <t>1969-04-11 00:00:00.000</t>
  </si>
  <si>
    <t>2024-06-14 00:00:00.000</t>
  </si>
  <si>
    <t>Fərid Kərimov</t>
  </si>
  <si>
    <t>1987-02-20 00:00:00.000</t>
  </si>
  <si>
    <t>2024-02-19 00:00:00.000</t>
  </si>
  <si>
    <t>Murad Həsənov</t>
  </si>
  <si>
    <t>1982-11-09 00:00:00.000</t>
  </si>
  <si>
    <t>2023-01-27 00:00:00.000</t>
  </si>
  <si>
    <t>Fuad Hüseynov</t>
  </si>
  <si>
    <t>1986-01-25 00:00:00.000</t>
  </si>
  <si>
    <t>2020-06-18 00:00:00.000</t>
  </si>
  <si>
    <t>Şəbnəm Kərimov</t>
  </si>
  <si>
    <t>1986-08-01 00:00:00.000</t>
  </si>
  <si>
    <t>2022-08-19 00:00:00.000</t>
  </si>
  <si>
    <t>Leyla Rzayev</t>
  </si>
  <si>
    <t>1965-02-08 00:00:00.000</t>
  </si>
  <si>
    <t>2023-04-22 00:00:00.000</t>
  </si>
  <si>
    <t>Sevinc Sadıqov</t>
  </si>
  <si>
    <t>2004-09-05 00:00:00.000</t>
  </si>
  <si>
    <t>2021-11-07 00:00:00.000</t>
  </si>
  <si>
    <t>Mehriban Musayev</t>
  </si>
  <si>
    <t>1971-02-15 00:00:00.000</t>
  </si>
  <si>
    <t>2019-06-11 00:00:00.000</t>
  </si>
  <si>
    <t>Leyla Əliyev</t>
  </si>
  <si>
    <t>1983-06-24 00:00:00.000</t>
  </si>
  <si>
    <t>2024-08-12 00:00:00.000</t>
  </si>
  <si>
    <t>Vüqar Cəfərov</t>
  </si>
  <si>
    <t>1980-11-18 00:00:00.000</t>
  </si>
  <si>
    <t>2022-04-03 00:00:00.000</t>
  </si>
  <si>
    <t>1993-10-07 00:00:00.000</t>
  </si>
  <si>
    <t>2022-02-22 00:00:00.000</t>
  </si>
  <si>
    <t>Səbinə Bağırov</t>
  </si>
  <si>
    <t>1992-02-29 00:00:00.000</t>
  </si>
  <si>
    <t>2022-09-09 00:00:00.000</t>
  </si>
  <si>
    <t>Könül Abbasov</t>
  </si>
  <si>
    <t>1991-02-27 00:00:00.000</t>
  </si>
  <si>
    <t>2024-09-08 00:00:00.000</t>
  </si>
  <si>
    <t>1965-09-22 00:00:00.000</t>
  </si>
  <si>
    <t>2024-01-19 00:00:00.000</t>
  </si>
  <si>
    <t>Nərgiz Rzayev</t>
  </si>
  <si>
    <t>1988-11-29 00:00:00.000</t>
  </si>
  <si>
    <t>2021-09-04 00:00:00.000</t>
  </si>
  <si>
    <t>Fidan Hüseynov</t>
  </si>
  <si>
    <t>1987-01-18 00:00:00.000</t>
  </si>
  <si>
    <t>2024-11-05 00:00:00.000</t>
  </si>
  <si>
    <t>Tural Əliyev</t>
  </si>
  <si>
    <t>1984-08-18 00:00:00.000</t>
  </si>
  <si>
    <t>2024-06-26 00:00:00.000</t>
  </si>
  <si>
    <t>Kamran Orucov</t>
  </si>
  <si>
    <t>1979-08-30 00:00:00.000</t>
  </si>
  <si>
    <t>2020-04-09 00:00:00.000</t>
  </si>
  <si>
    <t>Sevinc Həsənov</t>
  </si>
  <si>
    <t>1967-06-22 00:00:00.000</t>
  </si>
  <si>
    <t>2020-02-15 00:00:00.000</t>
  </si>
  <si>
    <t>Vəfa İsmayılov</t>
  </si>
  <si>
    <t>2001-12-05 00:00:00.000</t>
  </si>
  <si>
    <t>2019-07-29 00:00:00.000</t>
  </si>
  <si>
    <t>Kamran Vəliyev</t>
  </si>
  <si>
    <t>1995-04-10 00:00:00.000</t>
  </si>
  <si>
    <t>2022-12-29 00:00:00.000</t>
  </si>
  <si>
    <t>Tural Novruzov</t>
  </si>
  <si>
    <t>1991-05-03 00:00:00.000</t>
  </si>
  <si>
    <t>2021-11-30 00:00:00.000</t>
  </si>
  <si>
    <t>Röya Musayev</t>
  </si>
  <si>
    <t>1971-07-01 00:00:00.000</t>
  </si>
  <si>
    <t>2019-06-02 00:00:00.000</t>
  </si>
  <si>
    <t>Aynur Cəfərov</t>
  </si>
  <si>
    <t>1965-06-05 00:00:00.000</t>
  </si>
  <si>
    <t>2020-08-25 00:00:00.000</t>
  </si>
  <si>
    <t>2000-02-09 00:00:00.000</t>
  </si>
  <si>
    <t>2020-09-13 00:00:00.000</t>
  </si>
  <si>
    <t>Səbinə Orucov</t>
  </si>
  <si>
    <t>1991-11-30 00:00:00.000</t>
  </si>
  <si>
    <t>2023-10-04 00:00:00.000</t>
  </si>
  <si>
    <t>Elvin Əliyev</t>
  </si>
  <si>
    <t>1971-08-11 00:00:00.000</t>
  </si>
  <si>
    <t>2022-11-08 00:00:00.000</t>
  </si>
  <si>
    <t>Toğrul Sadıqov</t>
  </si>
  <si>
    <t>2002-08-18 00:00:00.000</t>
  </si>
  <si>
    <t>2024-04-09 00:00:00.000</t>
  </si>
  <si>
    <t>Emin Vəliyev</t>
  </si>
  <si>
    <t>1995-10-07 00:00:00.000</t>
  </si>
  <si>
    <t>2024-05-18 00:00:00.000</t>
  </si>
  <si>
    <t>Türkan Əzizov</t>
  </si>
  <si>
    <t>1999-07-02 00:00:00.000</t>
  </si>
  <si>
    <t>2022-12-11 00:00:00.000</t>
  </si>
  <si>
    <t>Tural Quliyev</t>
  </si>
  <si>
    <t>2001-09-09 00:00:00.000</t>
  </si>
  <si>
    <t>2023-04-21 00:00:00.000</t>
  </si>
  <si>
    <t>Şəbnəm Əzizov</t>
  </si>
  <si>
    <t>1971-07-04 00:00:00.000</t>
  </si>
  <si>
    <t>2019-06-05 00:00:00.000</t>
  </si>
  <si>
    <t>1992-08-06 00:00:00.000</t>
  </si>
  <si>
    <t>2024-03-25 00:00:00.000</t>
  </si>
  <si>
    <t>Könül Məmmədov</t>
  </si>
  <si>
    <t>1977-01-04 00:00:00.000</t>
  </si>
  <si>
    <t>2023-08-06 00:00:00.000</t>
  </si>
  <si>
    <t>Könül Rzayev</t>
  </si>
  <si>
    <t>1988-11-06 00:00:00.000</t>
  </si>
  <si>
    <t>2019-06-26 00:00:00.000</t>
  </si>
  <si>
    <t>Fərid Tağıyev</t>
  </si>
  <si>
    <t>2003-09-11 00:00:00.000</t>
  </si>
  <si>
    <t>2023-04-17 00:00:00.000</t>
  </si>
  <si>
    <t>Rüfət Kərimov</t>
  </si>
  <si>
    <t>1986-03-12 00:00:00.000</t>
  </si>
  <si>
    <t>2024-12-19 00:00:00.000</t>
  </si>
  <si>
    <t>Səbinə İsmayılov</t>
  </si>
  <si>
    <t>1984-05-04 00:00:00.000</t>
  </si>
  <si>
    <t>2021-08-22 00:00:00.000</t>
  </si>
  <si>
    <t>Kənan Sadıqov</t>
  </si>
  <si>
    <t>1971-01-21 00:00:00.000</t>
  </si>
  <si>
    <t>2020-03-17 00:00:00.000</t>
  </si>
  <si>
    <t>Samir Bağırov</t>
  </si>
  <si>
    <t>2022-01-31 00:00:00.000</t>
  </si>
  <si>
    <t>1995-06-10 00:00:00.000</t>
  </si>
  <si>
    <t>2019-02-24 00:00:00.000</t>
  </si>
  <si>
    <t>Kamran Əliyev</t>
  </si>
  <si>
    <t>1985-10-28 00:00:00.000</t>
  </si>
  <si>
    <t>2021-03-29 00:00:00.000</t>
  </si>
  <si>
    <t>Elvin Hüseynov</t>
  </si>
  <si>
    <t>2001-08-31 00:00:00.000</t>
  </si>
  <si>
    <t>2020-12-01 00:00:00.000</t>
  </si>
  <si>
    <t>Səbinə Hüseynov</t>
  </si>
  <si>
    <t>1985-05-17 00:00:00.000</t>
  </si>
  <si>
    <t>2023-02-17 00:00:00.000</t>
  </si>
  <si>
    <t>Aysel İsmayılov</t>
  </si>
  <si>
    <t>1983-08-06 00:00:00.000</t>
  </si>
  <si>
    <t>2022-07-16 00:00:00.000</t>
  </si>
  <si>
    <t>Nərmin Bağırov</t>
  </si>
  <si>
    <t>1987-12-30 00:00:00.000</t>
  </si>
  <si>
    <t>2022-08-11 00:00:00.000</t>
  </si>
  <si>
    <t>Fidan Vəliyev</t>
  </si>
  <si>
    <t>1998-05-10 00:00:00.000</t>
  </si>
  <si>
    <t>2023-10-26 00:00:00.000</t>
  </si>
  <si>
    <t>Könül Həsənov</t>
  </si>
  <si>
    <t>1993-07-13 00:00:00.000</t>
  </si>
  <si>
    <t>2021-02-22 00:00:00.000</t>
  </si>
  <si>
    <t>Türkan Novruzov</t>
  </si>
  <si>
    <t>2003-07-11 00:00:00.000</t>
  </si>
  <si>
    <t>2019-09-26 00:00:00.000</t>
  </si>
  <si>
    <t>Murad Abbasov</t>
  </si>
  <si>
    <t>2001-11-09 00:00:00.000</t>
  </si>
  <si>
    <t>Fərid Rəhimov</t>
  </si>
  <si>
    <t>1984-09-07 00:00:00.000</t>
  </si>
  <si>
    <t>2024-05-30 00:00:00.000</t>
  </si>
  <si>
    <t>Xəyalə Quliyev</t>
  </si>
  <si>
    <t>2002-11-24 00:00:00.000</t>
  </si>
  <si>
    <t>2023-11-15 00:00:00.000</t>
  </si>
  <si>
    <t>1993-12-18 00:00:00.000</t>
  </si>
  <si>
    <t>2023-07-17 00:00:00.000</t>
  </si>
  <si>
    <t>Mehriban Sadıqov</t>
  </si>
  <si>
    <t>1969-09-01 00:00:00.000</t>
  </si>
  <si>
    <t>2021-07-12 00:00:00.000</t>
  </si>
  <si>
    <t>1985-06-09 00:00:00.000</t>
  </si>
  <si>
    <t>2020-05-29 00:00:00.000</t>
  </si>
  <si>
    <t>Fidan Quliyev</t>
  </si>
  <si>
    <t>1977-09-23 00:00:00.000</t>
  </si>
  <si>
    <t>Fidan Sadıqov</t>
  </si>
  <si>
    <t>1966-01-27 00:00:00.000</t>
  </si>
  <si>
    <t>2022-10-31 00:00:00.000</t>
  </si>
  <si>
    <t>Murad Hüseynov</t>
  </si>
  <si>
    <t>1977-08-20 00:00:00.000</t>
  </si>
  <si>
    <t>2022-11-07 00:00:00.000</t>
  </si>
  <si>
    <t>Nərgiz Abbasov</t>
  </si>
  <si>
    <t>1995-10-15 00:00:00.000</t>
  </si>
  <si>
    <t>2023-08-22 00:00:00.000</t>
  </si>
  <si>
    <t>Kənan Kərimov</t>
  </si>
  <si>
    <t>1997-02-16 00:00:00.000</t>
  </si>
  <si>
    <t>2021-05-07 00:00:00.000</t>
  </si>
  <si>
    <t>Anar Rəhimov</t>
  </si>
  <si>
    <t>1983-07-08 00:00:00.000</t>
  </si>
  <si>
    <t>2019-09-11 00:00:00.000</t>
  </si>
  <si>
    <t>Lalə Əzizov</t>
  </si>
  <si>
    <t>2000-01-23 00:00:00.000</t>
  </si>
  <si>
    <t>2022-01-09 00:00:00.000</t>
  </si>
  <si>
    <t>Vəfa Əliyev</t>
  </si>
  <si>
    <t>1999-04-30 00:00:00.000</t>
  </si>
  <si>
    <t>Murad Əzizov</t>
  </si>
  <si>
    <t>1966-03-26 00:00:00.000</t>
  </si>
  <si>
    <t>2023-02-06 00:00:00.000</t>
  </si>
  <si>
    <t>Elşən Sadıqov</t>
  </si>
  <si>
    <t>1995-04-15 00:00:00.000</t>
  </si>
  <si>
    <t>2022-06-11 00:00:00.000</t>
  </si>
  <si>
    <t>Türkan Musayev</t>
  </si>
  <si>
    <t>1976-02-11 00:00:00.000</t>
  </si>
  <si>
    <t>2019-09-25 00:00:00.000</t>
  </si>
  <si>
    <t>Elşən Bağırov</t>
  </si>
  <si>
    <t>1966-12-21 00:00:00.000</t>
  </si>
  <si>
    <t>2020-10-08 00:00:00.000</t>
  </si>
  <si>
    <t>1996-12-16 00:00:00.000</t>
  </si>
  <si>
    <t>2020-01-06 00:00:00.000</t>
  </si>
  <si>
    <t>Vəfa Musayev</t>
  </si>
  <si>
    <t>1968-02-21 00:00:00.000</t>
  </si>
  <si>
    <t>2022-12-26 00:00:00.000</t>
  </si>
  <si>
    <t>Zeynəb Hüseynov</t>
  </si>
  <si>
    <t>1996-03-05 00:00:00.000</t>
  </si>
  <si>
    <t>2022-01-29 00:00:00.000</t>
  </si>
  <si>
    <t>Fərid Əliyev</t>
  </si>
  <si>
    <t>2004-02-21 00:00:00.000</t>
  </si>
  <si>
    <t>2020-03-30 00:00:00.000</t>
  </si>
  <si>
    <t>Aynur Kərimov</t>
  </si>
  <si>
    <t>1994-09-17 00:00:00.000</t>
  </si>
  <si>
    <t>2020-05-22 00:00:00.000</t>
  </si>
  <si>
    <t>Aynur Nəbiyev</t>
  </si>
  <si>
    <t>1996-06-16 00:00:00.000</t>
  </si>
  <si>
    <t>2024-11-19 00:00:00.000</t>
  </si>
  <si>
    <t>Elşən Əzizov</t>
  </si>
  <si>
    <t>1997-04-30 00:00:00.000</t>
  </si>
  <si>
    <t>2019-06-25 00:00:00.000</t>
  </si>
  <si>
    <t>1980-01-21 00:00:00.000</t>
  </si>
  <si>
    <t>2022-01-30 00:00:00.000</t>
  </si>
  <si>
    <t>Nərgiz Əzizov</t>
  </si>
  <si>
    <t>2000-10-28 00:00:00.000</t>
  </si>
  <si>
    <t>2022-03-19 00:00:00.000</t>
  </si>
  <si>
    <t>Ülviyyə Kərimov</t>
  </si>
  <si>
    <t>2021-09-12 00:00:00.000</t>
  </si>
  <si>
    <t>Vüqar Sadıqov</t>
  </si>
  <si>
    <t>1976-06-30 00:00:00.000</t>
  </si>
  <si>
    <t>2022-12-15 00:00:00.000</t>
  </si>
  <si>
    <t>Türkan Hüseynov</t>
  </si>
  <si>
    <t>1994-10-19 00:00:00.000</t>
  </si>
  <si>
    <t>2024-03-02 00:00:00.000</t>
  </si>
  <si>
    <t>Nərgiz Bağırov</t>
  </si>
  <si>
    <t>1985-09-10 00:00:00.000</t>
  </si>
  <si>
    <t>2019-08-04 00:00:00.000</t>
  </si>
  <si>
    <t>Vüqar Rəhimov</t>
  </si>
  <si>
    <t>2020-02-01 00:00:00.000</t>
  </si>
  <si>
    <t>Nicat Bağırov</t>
  </si>
  <si>
    <t>1971-12-05 00:00:00.000</t>
  </si>
  <si>
    <t>Könül Musayev</t>
  </si>
  <si>
    <t>1980-11-29 00:00:00.000</t>
  </si>
  <si>
    <t>2022-08-03 00:00:00.000</t>
  </si>
  <si>
    <t>Toğrul Məmmədov</t>
  </si>
  <si>
    <t>1986-12-04 00:00:00.000</t>
  </si>
  <si>
    <t>2023-12-25 00:00:00.000</t>
  </si>
  <si>
    <t>Günel Əzizov</t>
  </si>
  <si>
    <t>1998-08-08 00:00:00.000</t>
  </si>
  <si>
    <t>2023-04-11 00:00:00.000</t>
  </si>
  <si>
    <t>1976-08-04 00:00:00.000</t>
  </si>
  <si>
    <t>2020-09-01 00:00:00.000</t>
  </si>
  <si>
    <t>Türkan Tağıyev</t>
  </si>
  <si>
    <t>1992-11-06 00:00:00.000</t>
  </si>
  <si>
    <t>2023-07-26 00:00:00.000</t>
  </si>
  <si>
    <t>Türkan Əliyev</t>
  </si>
  <si>
    <t>1965-06-23 00:00:00.000</t>
  </si>
  <si>
    <t>2023-06-18 00:00:00.000</t>
  </si>
  <si>
    <t>1970-08-17 00:00:00.000</t>
  </si>
  <si>
    <t>2019-05-01 00:00:00.000</t>
  </si>
  <si>
    <t>Ceyhun Bağırov</t>
  </si>
  <si>
    <t>2000-01-19 00:00:00.000</t>
  </si>
  <si>
    <t>2019-07-01 00:00:00.000</t>
  </si>
  <si>
    <t>Rüfət İsmayılov</t>
  </si>
  <si>
    <t>1988-09-02 00:00:00.000</t>
  </si>
  <si>
    <t>2021-09-26 00:00:00.000</t>
  </si>
  <si>
    <t>Şəbnəm Rzayev</t>
  </si>
  <si>
    <t>1983-04-09 00:00:00.000</t>
  </si>
  <si>
    <t>2022-01-02 00:00:00.000</t>
  </si>
  <si>
    <t>Könül Cəfərov</t>
  </si>
  <si>
    <t>1978-05-01 00:00:00.000</t>
  </si>
  <si>
    <t>2024-01-08 00:00:00.000</t>
  </si>
  <si>
    <t>Vəfa Kərimov</t>
  </si>
  <si>
    <t>1998-10-03 00:00:00.000</t>
  </si>
  <si>
    <t>2019-04-24 00:00:00.000</t>
  </si>
  <si>
    <t>Rəşad Musayev</t>
  </si>
  <si>
    <t>1973-01-07 00:00:00.000</t>
  </si>
  <si>
    <t>2023-10-30 00:00:00.000</t>
  </si>
  <si>
    <t>Fuad Kərimov</t>
  </si>
  <si>
    <t>1987-03-27 00:00:00.000</t>
  </si>
  <si>
    <t>Nicat İsmayılov</t>
  </si>
  <si>
    <t>2001-10-16 00:00:00.000</t>
  </si>
  <si>
    <t>2023-06-26 00:00:00.000</t>
  </si>
  <si>
    <t>Nərmin Cəfərov</t>
  </si>
  <si>
    <t>1985-04-25 00:00:00.000</t>
  </si>
  <si>
    <t>2019-10-17 00:00:00.000</t>
  </si>
  <si>
    <t>Rəşad Bağırov</t>
  </si>
  <si>
    <t>1977-04-04 00:00:00.000</t>
  </si>
  <si>
    <t>2023-10-25 00:00:00.000</t>
  </si>
  <si>
    <t>Aysel Rzayev</t>
  </si>
  <si>
    <t>1994-11-10 00:00:00.000</t>
  </si>
  <si>
    <t>2023-07-14 00:00:00.000</t>
  </si>
  <si>
    <t>Ceyhun Sadıqov</t>
  </si>
  <si>
    <t>1996-12-15 00:00:00.000</t>
  </si>
  <si>
    <t>2020-12-18 00:00:00.000</t>
  </si>
  <si>
    <t>2002-06-25 00:00:00.000</t>
  </si>
  <si>
    <t>2021-04-08 00:00:00.000</t>
  </si>
  <si>
    <t>Aynur Rzayev</t>
  </si>
  <si>
    <t>1993-06-22 00:00:00.000</t>
  </si>
  <si>
    <t>2019-03-24 00:00:00.000</t>
  </si>
  <si>
    <t>Günel Bağırov</t>
  </si>
  <si>
    <t>1985-02-18 00:00:00.000</t>
  </si>
  <si>
    <t>2021-01-27 00:00:00.000</t>
  </si>
  <si>
    <t>Samir Rəhimov</t>
  </si>
  <si>
    <t>1983-05-19 00:00:00.000</t>
  </si>
  <si>
    <t>2023-03-04 00:00:00.000</t>
  </si>
  <si>
    <t>Nigar İsmayılov</t>
  </si>
  <si>
    <t>1972-03-28 00:00:00.000</t>
  </si>
  <si>
    <t>2023-08-18 00:00:00.000</t>
  </si>
  <si>
    <t>Vüqar Abbasov</t>
  </si>
  <si>
    <t>1996-09-21 00:00:00.000</t>
  </si>
  <si>
    <t>2019-03-27 00:00:00.000</t>
  </si>
  <si>
    <t>Emin Rəhimov</t>
  </si>
  <si>
    <t>1991-12-06 00:00:00.000</t>
  </si>
  <si>
    <t>2024-03-11 00:00:00.000</t>
  </si>
  <si>
    <t>Aysel Nəbiyev</t>
  </si>
  <si>
    <t>1967-12-13 00:00:00.000</t>
  </si>
  <si>
    <t>2023-08-03 00:00:00.000</t>
  </si>
  <si>
    <t>Samir Rzayev</t>
  </si>
  <si>
    <t>1997-05-14 00:00:00.000</t>
  </si>
  <si>
    <t>2024-10-12 00:00:00.000</t>
  </si>
  <si>
    <t>Leyla Həsənov</t>
  </si>
  <si>
    <t>1980-05-25 00:00:00.000</t>
  </si>
  <si>
    <t>2024-09-04 00:00:00.000</t>
  </si>
  <si>
    <t>Vəfa Hüseynov</t>
  </si>
  <si>
    <t>1987-06-14 00:00:00.000</t>
  </si>
  <si>
    <t>2021-03-23 00:00:00.000</t>
  </si>
  <si>
    <t>Fuad Həsənov</t>
  </si>
  <si>
    <t>1986-06-21 00:00:00.000</t>
  </si>
  <si>
    <t>2021-12-24 00:00:00.000</t>
  </si>
  <si>
    <t>Emin Musayev</t>
  </si>
  <si>
    <t>1965-02-16 00:00:00.000</t>
  </si>
  <si>
    <t>2021-02-06 00:00:00.000</t>
  </si>
  <si>
    <t>Rüfət Əliyev</t>
  </si>
  <si>
    <t>1997-07-01 00:00:00.000</t>
  </si>
  <si>
    <t>2019-02-25 00:00:00.000</t>
  </si>
  <si>
    <t>Samir Musayev</t>
  </si>
  <si>
    <t>1970-06-12 00:00:00.000</t>
  </si>
  <si>
    <t>2022-09-03 00:00:00.000</t>
  </si>
  <si>
    <t>Ceyhun Rəhimov</t>
  </si>
  <si>
    <t>1983-06-09 00:00:00.000</t>
  </si>
  <si>
    <t>Nicat Nəbiyev</t>
  </si>
  <si>
    <t>1976-11-20 00:00:00.000</t>
  </si>
  <si>
    <t>2022-07-13 00:00:00.000</t>
  </si>
  <si>
    <t>Rəşad Nəbiyev</t>
  </si>
  <si>
    <t>1980-11-04 00:00:00.000</t>
  </si>
  <si>
    <t>2022-09-15 00:00:00.000</t>
  </si>
  <si>
    <t>Orxan Bağırov</t>
  </si>
  <si>
    <t>1969-05-20 00:00:00.000</t>
  </si>
  <si>
    <t>2020-08-15 00:00:00.000</t>
  </si>
  <si>
    <t>1982-03-30 00:00:00.000</t>
  </si>
  <si>
    <t>2021-08-11 00:00:00.000</t>
  </si>
  <si>
    <t>Röya Hüseynov</t>
  </si>
  <si>
    <t>1989-07-15 00:00:00.000</t>
  </si>
  <si>
    <t>2022-06-25 00:00:00.000</t>
  </si>
  <si>
    <t>Ceyhun Vəliyev</t>
  </si>
  <si>
    <t>1974-03-19 00:00:00.000</t>
  </si>
  <si>
    <t>2021-06-06 00:00:00.000</t>
  </si>
  <si>
    <t>1979-01-15 00:00:00.000</t>
  </si>
  <si>
    <t>2024-02-11 00:00:00.000</t>
  </si>
  <si>
    <t>Emin Orucov</t>
  </si>
  <si>
    <t>1965-12-14 00:00:00.000</t>
  </si>
  <si>
    <t>2019-05-16 00:00:00.000</t>
  </si>
  <si>
    <t>Ülviyyə Məmmədov</t>
  </si>
  <si>
    <t>1972-12-08 00:00:00.000</t>
  </si>
  <si>
    <t>2023-09-27 00:00:00.000</t>
  </si>
  <si>
    <t>Səbinə Rəhimov</t>
  </si>
  <si>
    <t>1992-01-05 00:00:00.000</t>
  </si>
  <si>
    <t>2023-01-10 00:00:00.000</t>
  </si>
  <si>
    <t>Aysel Sadıqov</t>
  </si>
  <si>
    <t>1976-07-03 00:00:00.000</t>
  </si>
  <si>
    <t>2024-04-19 00:00:00.000</t>
  </si>
  <si>
    <t>1990-09-09 00:00:00.000</t>
  </si>
  <si>
    <t>2019-09-27 00:00:00.000</t>
  </si>
  <si>
    <t>Nicat Cəfərov</t>
  </si>
  <si>
    <t>1972-10-27 00:00:00.000</t>
  </si>
  <si>
    <t>2024-02-12 00:00:00.000</t>
  </si>
  <si>
    <t>1985-12-12 00:00:00.000</t>
  </si>
  <si>
    <t>2020-01-08 00:00:00.000</t>
  </si>
  <si>
    <t>Xəyalə Rəhimov</t>
  </si>
  <si>
    <t>2002-10-22 00:00:00.000</t>
  </si>
  <si>
    <t>2021-08-19 00:00:00.000</t>
  </si>
  <si>
    <t>Anar Əzizov</t>
  </si>
  <si>
    <t>2001-07-05 00:00:00.000</t>
  </si>
  <si>
    <t>2024-11-10 00:00:00.000</t>
  </si>
  <si>
    <t>Ceyhun Rzayev</t>
  </si>
  <si>
    <t>1985-12-21 00:00:00.000</t>
  </si>
  <si>
    <t>2023-09-17 00:00:00.000</t>
  </si>
  <si>
    <t>1967-02-28 00:00:00.000</t>
  </si>
  <si>
    <t>2022-09-17 00:00:00.000</t>
  </si>
  <si>
    <t>Könül Kərimov</t>
  </si>
  <si>
    <t>1987-06-17 00:00:00.000</t>
  </si>
  <si>
    <t>2022-04-04 00:00:00.000</t>
  </si>
  <si>
    <t>Aynur Hüseynov</t>
  </si>
  <si>
    <t>1998-03-15 00:00:00.000</t>
  </si>
  <si>
    <t>2020-07-21 00:00:00.000</t>
  </si>
  <si>
    <t>2003-03-15 00:00:00.000</t>
  </si>
  <si>
    <t>2020-03-07 00:00:00.000</t>
  </si>
  <si>
    <t>Leyla Novruzov</t>
  </si>
  <si>
    <t>1967-04-23 00:00:00.000</t>
  </si>
  <si>
    <t>2023-09-10 00:00:00.000</t>
  </si>
  <si>
    <t>Rüfət Abbasov</t>
  </si>
  <si>
    <t>1985-10-24 00:00:00.000</t>
  </si>
  <si>
    <t>2019-01-24 00:00:00.000</t>
  </si>
  <si>
    <t>Mehriban Nəbiyev</t>
  </si>
  <si>
    <t>1966-10-10 00:00:00.000</t>
  </si>
  <si>
    <t>Şəbnəm Məmmədov</t>
  </si>
  <si>
    <t>1997-08-11 00:00:00.000</t>
  </si>
  <si>
    <t>2022-03-09 00:00:00.000</t>
  </si>
  <si>
    <t>Tural Musayev</t>
  </si>
  <si>
    <t>1978-01-10 00:00:00.000</t>
  </si>
  <si>
    <t>2024-02-02 00:00:00.000</t>
  </si>
  <si>
    <t>Toğrul Nəbiyev</t>
  </si>
  <si>
    <t>1975-10-10 00:00:00.000</t>
  </si>
  <si>
    <t>2022-10-22 00:00:00.000</t>
  </si>
  <si>
    <t>Röya Məmmədov</t>
  </si>
  <si>
    <t>1989-09-27 00:00:00.000</t>
  </si>
  <si>
    <t>2023-10-31 00:00:00.000</t>
  </si>
  <si>
    <t>Fərid Rzayev</t>
  </si>
  <si>
    <t>1977-07-21 00:00:00.000</t>
  </si>
  <si>
    <t>2021-07-17 00:00:00.000</t>
  </si>
  <si>
    <t>1999-05-05 00:00:00.000</t>
  </si>
  <si>
    <t>2024-12-05 00:00:00.000</t>
  </si>
  <si>
    <t>Zeynəb Rəhimov</t>
  </si>
  <si>
    <t>1967-04-13 00:00:00.000</t>
  </si>
  <si>
    <t>1978-06-21 00:00:00.000</t>
  </si>
  <si>
    <t>2021-03-31 00:00:00.000</t>
  </si>
  <si>
    <t>Rüfət Musayev</t>
  </si>
  <si>
    <t>1975-11-23 00:00:00.000</t>
  </si>
  <si>
    <t>2022-06-19 00:00:00.000</t>
  </si>
  <si>
    <t>Nərgiz Hüseynov</t>
  </si>
  <si>
    <t>1989-12-11 00:00:00.000</t>
  </si>
  <si>
    <t>2020-07-09 00:00:00.000</t>
  </si>
  <si>
    <t>Türkan Bağırov</t>
  </si>
  <si>
    <t>1971-06-30 00:00:00.000</t>
  </si>
  <si>
    <t>2020-08-10 00:00:00.000</t>
  </si>
  <si>
    <t>1996-12-01 00:00:00.000</t>
  </si>
  <si>
    <t>2022-10-14 00:00:00.000</t>
  </si>
  <si>
    <t>Rüfət Hüseynov</t>
  </si>
  <si>
    <t>1987-08-30 00:00:00.000</t>
  </si>
  <si>
    <t>2022-04-09 00:00:00.000</t>
  </si>
  <si>
    <t>Zaur Bağırov</t>
  </si>
  <si>
    <t>1989-05-30 00:00:00.000</t>
  </si>
  <si>
    <t>2023-04-28 00:00:00.000</t>
  </si>
  <si>
    <t>Leyla Abbasov</t>
  </si>
  <si>
    <t>1990-09-13 00:00:00.000</t>
  </si>
  <si>
    <t>2020-09-23 00:00:00.000</t>
  </si>
  <si>
    <t>Kənan Əliyev</t>
  </si>
  <si>
    <t>1973-05-15 00:00:00.000</t>
  </si>
  <si>
    <t>2024-04-16 00:00:00.000</t>
  </si>
  <si>
    <t>Toğrul Quliyev</t>
  </si>
  <si>
    <t>1996-12-09 00:00:00.000</t>
  </si>
  <si>
    <t>2023-12-03 00:00:00.000</t>
  </si>
  <si>
    <t>Nigar Sadıqov</t>
  </si>
  <si>
    <t>2004-07-17 00:00:00.000</t>
  </si>
  <si>
    <t>2022-08-27 00:00:00.000</t>
  </si>
  <si>
    <t>Nərgiz Cəfərov</t>
  </si>
  <si>
    <t>2001-10-04 00:00:00.000</t>
  </si>
  <si>
    <t>Ramin Sadıqov</t>
  </si>
  <si>
    <t>1982-02-06 00:00:00.000</t>
  </si>
  <si>
    <t>2021-03-09 00:00:00.000</t>
  </si>
  <si>
    <t>Şəbnəm Cəfərov</t>
  </si>
  <si>
    <t>1986-08-29 00:00:00.000</t>
  </si>
  <si>
    <t>2023-04-23 00:00:00.000</t>
  </si>
  <si>
    <t>Aynur Musayev</t>
  </si>
  <si>
    <t>2000-11-19 00:00:00.000</t>
  </si>
  <si>
    <t>2024-09-25 00:00:00.000</t>
  </si>
  <si>
    <t>Xəyalə Hüseynov</t>
  </si>
  <si>
    <t>1974-08-07 00:00:00.000</t>
  </si>
  <si>
    <t>2020-04-08 00:00:00.000</t>
  </si>
  <si>
    <t>Mehriban İsmayılov</t>
  </si>
  <si>
    <t>1972-05-30 00:00:00.000</t>
  </si>
  <si>
    <t>2023-03-23 00:00:00.000</t>
  </si>
  <si>
    <t>Rəşad Vəliyev</t>
  </si>
  <si>
    <t>1978-02-10 00:00:00.000</t>
  </si>
  <si>
    <t>2021-02-23 00:00:00.000</t>
  </si>
  <si>
    <t>1977-07-22 00:00:00.000</t>
  </si>
  <si>
    <t>1988-01-10 00:00:00.000</t>
  </si>
  <si>
    <t>2021-02-16 00:00:00.000</t>
  </si>
  <si>
    <t>Kənan Orucov</t>
  </si>
  <si>
    <t>1981-11-24 00:00:00.000</t>
  </si>
  <si>
    <t>2024-06-18 00:00:00.000</t>
  </si>
  <si>
    <t>Nərgiz İsmayılov</t>
  </si>
  <si>
    <t>1977-08-01 00:00:00.000</t>
  </si>
  <si>
    <t>2024-08-16 00:00:00.000</t>
  </si>
  <si>
    <t>1971-09-16 00:00:00.000</t>
  </si>
  <si>
    <t>2023-07-18 00:00:00.000</t>
  </si>
  <si>
    <t>Emin Sadıqov</t>
  </si>
  <si>
    <t>1967-05-16 00:00:00.000</t>
  </si>
  <si>
    <t>2021-03-03 00:00:00.000</t>
  </si>
  <si>
    <t>Aynur Sadıqov</t>
  </si>
  <si>
    <t>1975-10-08 00:00:00.000</t>
  </si>
  <si>
    <t>Aysel Musayev</t>
  </si>
  <si>
    <t>2000-10-02 00:00:00.000</t>
  </si>
  <si>
    <t>1969-07-02 00:00:00.000</t>
  </si>
  <si>
    <t>2021-07-31 00:00:00.000</t>
  </si>
  <si>
    <t>Ülviyyə Abbasov</t>
  </si>
  <si>
    <t>1975-11-28 00:00:00.000</t>
  </si>
  <si>
    <t>2022-11-10 00:00:00.000</t>
  </si>
  <si>
    <t>Elşən Kərimov</t>
  </si>
  <si>
    <t>2002-08-20 00:00:00.000</t>
  </si>
  <si>
    <t>2021-01-21 00:00:00.000</t>
  </si>
  <si>
    <t>Nərgiz Əliyev</t>
  </si>
  <si>
    <t>1978-04-06 00:00:00.000</t>
  </si>
  <si>
    <t>2024-11-16 00:00:00.000</t>
  </si>
  <si>
    <t>1996-09-01 00:00:00.000</t>
  </si>
  <si>
    <t>2021-04-13 00:00:00.000</t>
  </si>
  <si>
    <t>Səbinə Vəliyev</t>
  </si>
  <si>
    <t>1990-11-11 00:00:00.000</t>
  </si>
  <si>
    <t>2021-06-02 00:00:00.000</t>
  </si>
  <si>
    <t>1981-05-29 00:00:00.000</t>
  </si>
  <si>
    <t>2021-12-08 00:00:00.000</t>
  </si>
  <si>
    <t>Lalə Əliyev</t>
  </si>
  <si>
    <t>1965-12-22 00:00:00.000</t>
  </si>
  <si>
    <t>2019-10-09 00:00:00.000</t>
  </si>
  <si>
    <t>Leyla Kərimov</t>
  </si>
  <si>
    <t>1983-08-21 00:00:00.000</t>
  </si>
  <si>
    <t>2019-03-17 00:00:00.000</t>
  </si>
  <si>
    <t>Şəbnəm İsmayılov</t>
  </si>
  <si>
    <t>1980-05-02 00:00:00.000</t>
  </si>
  <si>
    <t>2022-07-04 00:00:00.000</t>
  </si>
  <si>
    <t>1999-10-17 00:00:00.000</t>
  </si>
  <si>
    <t>2023-09-20 00:00:00.000</t>
  </si>
  <si>
    <t>Emin Bağırov</t>
  </si>
  <si>
    <t>1975-01-25 00:00:00.000</t>
  </si>
  <si>
    <t>2024-04-30 00:00:00.000</t>
  </si>
  <si>
    <t>Röya Nəbiyev</t>
  </si>
  <si>
    <t>1982-07-10 00:00:00.000</t>
  </si>
  <si>
    <t>2023-04-20 00:00:00.000</t>
  </si>
  <si>
    <t>1967-12-20 00:00:00.000</t>
  </si>
  <si>
    <t>2021-07-11 00:00:00.000</t>
  </si>
  <si>
    <t>2001-08-07 00:00:00.000</t>
  </si>
  <si>
    <t>Aynur Orucov</t>
  </si>
  <si>
    <t>2001-12-02 00:00:00.000</t>
  </si>
  <si>
    <t>2023-01-07 00:00:00.000</t>
  </si>
  <si>
    <t>1977-01-18 00:00:00.000</t>
  </si>
  <si>
    <t>2020-03-22 00:00:00.000</t>
  </si>
  <si>
    <t>Anar Tağıyev</t>
  </si>
  <si>
    <t>1973-04-27 00:00:00.000</t>
  </si>
  <si>
    <t>2020-04-07 00:00:00.000</t>
  </si>
  <si>
    <t>Emin Quliyev</t>
  </si>
  <si>
    <t>1990-10-12 00:00:00.000</t>
  </si>
  <si>
    <t>2021-05-22 00:00:00.000</t>
  </si>
  <si>
    <t>Leyla Nəbiyev</t>
  </si>
  <si>
    <t>1980-06-19 00:00:00.000</t>
  </si>
  <si>
    <t>2024-06-13 00:00:00.000</t>
  </si>
  <si>
    <t>Anar Nəbiyev</t>
  </si>
  <si>
    <t>1989-12-23 00:00:00.000</t>
  </si>
  <si>
    <t>2021-06-15 00:00:00.000</t>
  </si>
  <si>
    <t>Vüqar Hüseynov</t>
  </si>
  <si>
    <t>2003-08-27 00:00:00.000</t>
  </si>
  <si>
    <t>2023-09-25 00:00:00.000</t>
  </si>
  <si>
    <t>1967-09-27 00:00:00.000</t>
  </si>
  <si>
    <t>2019-03-31 00:00:00.000</t>
  </si>
  <si>
    <t>1969-07-05 00:00:00.000</t>
  </si>
  <si>
    <t>2021-12-23 00:00:00.000</t>
  </si>
  <si>
    <t>1989-10-22 00:00:00.000</t>
  </si>
  <si>
    <t>2022-12-13 00:00:00.000</t>
  </si>
  <si>
    <t>Elşən Musayev</t>
  </si>
  <si>
    <t>1972-07-02 00:00:00.000</t>
  </si>
  <si>
    <t>2002-12-20 00:00:00.000</t>
  </si>
  <si>
    <t>2022-11-14 00:00:00.000</t>
  </si>
  <si>
    <t>Ramin Orucov</t>
  </si>
  <si>
    <t>2001-03-21 00:00:00.000</t>
  </si>
  <si>
    <t>2021-02-05 00:00:00.000</t>
  </si>
  <si>
    <t>Orxan Kərimov</t>
  </si>
  <si>
    <t>1982-11-24 00:00:00.000</t>
  </si>
  <si>
    <t>2020-12-03 00:00:00.000</t>
  </si>
  <si>
    <t>Nərgiz Həsənov</t>
  </si>
  <si>
    <t>1994-03-04 00:00:00.000</t>
  </si>
  <si>
    <t>2019-10-29 00:00:00.000</t>
  </si>
  <si>
    <t>1970-09-06 00:00:00.000</t>
  </si>
  <si>
    <t>2020-03-19 00:00:00.000</t>
  </si>
  <si>
    <t>Fuad Vəliyev</t>
  </si>
  <si>
    <t>1965-05-06 00:00:00.000</t>
  </si>
  <si>
    <t>2023-05-16 00:00:00.000</t>
  </si>
  <si>
    <t>Nərgiz Musayev</t>
  </si>
  <si>
    <t>1965-05-20 00:00:00.000</t>
  </si>
  <si>
    <t>Kamran Bağırov</t>
  </si>
  <si>
    <t>1996-04-23 00:00:00.000</t>
  </si>
  <si>
    <t>2024-01-01 00:00:00.000</t>
  </si>
  <si>
    <t>Nərmin Məmmədov</t>
  </si>
  <si>
    <t>1987-02-04 00:00:00.000</t>
  </si>
  <si>
    <t>2021-08-17 00:00:00.000</t>
  </si>
  <si>
    <t>1966-12-24 00:00:00.000</t>
  </si>
  <si>
    <t>2024-08-24 00:00:00.000</t>
  </si>
  <si>
    <t>Şəbnəm Orucov</t>
  </si>
  <si>
    <t>1993-02-24 00:00:00.000</t>
  </si>
  <si>
    <t>2024-07-06 00:00:00.000</t>
  </si>
  <si>
    <t>Emin Tağıyev</t>
  </si>
  <si>
    <t>1966-06-22 00:00:00.000</t>
  </si>
  <si>
    <t>2022-10-01 00:00:00.000</t>
  </si>
  <si>
    <t>1971-09-06 00:00:00.000</t>
  </si>
  <si>
    <t>2024-03-04 00:00:00.000</t>
  </si>
  <si>
    <t>1985-04-24 00:00:00.000</t>
  </si>
  <si>
    <t>2020-02-29 00:00:00.000</t>
  </si>
  <si>
    <t>Röya Abbasov</t>
  </si>
  <si>
    <t>1995-02-15 00:00:00.000</t>
  </si>
  <si>
    <t>2023-11-02 00:00:00.000</t>
  </si>
  <si>
    <t>Mehriban Kərimov</t>
  </si>
  <si>
    <t>1967-07-16 00:00:00.000</t>
  </si>
  <si>
    <t>2021-04-25 00:00:00.000</t>
  </si>
  <si>
    <t>1997-02-23 00:00:00.000</t>
  </si>
  <si>
    <t>2019-06-03 00:00:00.000</t>
  </si>
  <si>
    <t>Fidan İsmayılov</t>
  </si>
  <si>
    <t>1969-07-16 00:00:00.000</t>
  </si>
  <si>
    <t>Orxan Sadıqov</t>
  </si>
  <si>
    <t>1982-04-10 00:00:00.000</t>
  </si>
  <si>
    <t>2019-11-03 00:00:00.000</t>
  </si>
  <si>
    <t>Murad İsmayılov</t>
  </si>
  <si>
    <t>1974-12-08 00:00:00.000</t>
  </si>
  <si>
    <t>2024-07-11 00:00:00.000</t>
  </si>
  <si>
    <t>Kamran Rəhimov</t>
  </si>
  <si>
    <t>1975-07-27 00:00:00.000</t>
  </si>
  <si>
    <t>2021-08-21 00:00:00.000</t>
  </si>
  <si>
    <t>Lalə Rzayev</t>
  </si>
  <si>
    <t>1988-12-26 00:00:00.000</t>
  </si>
  <si>
    <t>2019-10-25 00:00:00.000</t>
  </si>
  <si>
    <t>Nigar Abbasov</t>
  </si>
  <si>
    <t>1986-01-08 00:00:00.000</t>
  </si>
  <si>
    <t>2019-06-28 00:00:00.000</t>
  </si>
  <si>
    <t>Röya Əliyev</t>
  </si>
  <si>
    <t>2004-08-27 00:00:00.000</t>
  </si>
  <si>
    <t>2019-11-19 00:00:00.000</t>
  </si>
  <si>
    <t>Xəyalə Nəbiyev</t>
  </si>
  <si>
    <t>1974-04-25 00:00:00.000</t>
  </si>
  <si>
    <t>2020-07-19 00:00:00.000</t>
  </si>
  <si>
    <t>Lalə Məmmədov</t>
  </si>
  <si>
    <t>1976-01-11 00:00:00.000</t>
  </si>
  <si>
    <t>Murad Sadıqov</t>
  </si>
  <si>
    <t>1965-02-14 00:00:00.000</t>
  </si>
  <si>
    <t>2019-03-13 00:00:00.000</t>
  </si>
  <si>
    <t>Ceyhun Həsənov</t>
  </si>
  <si>
    <t>1988-06-17 00:00:00.000</t>
  </si>
  <si>
    <t>2022-12-12 00:00:00.000</t>
  </si>
  <si>
    <t>Səbinə Əzizov</t>
  </si>
  <si>
    <t>1980-10-03 00:00:00.000</t>
  </si>
  <si>
    <t>2023-07-10 00:00:00.000</t>
  </si>
  <si>
    <t>Xəyalə Əzizov</t>
  </si>
  <si>
    <t>Orxan Novruzov</t>
  </si>
  <si>
    <t>1972-03-09 00:00:00.000</t>
  </si>
  <si>
    <t>2021-02-17 00:00:00.000</t>
  </si>
  <si>
    <t>Vəfa Əzizov</t>
  </si>
  <si>
    <t>2001-08-22 00:00:00.000</t>
  </si>
  <si>
    <t>2023-09-04 00:00:00.000</t>
  </si>
  <si>
    <t>Şəbnəm Bağırov</t>
  </si>
  <si>
    <t>1967-12-19 00:00:00.000</t>
  </si>
  <si>
    <t>2023-06-07 00:00:00.000</t>
  </si>
  <si>
    <t>Sevinc Cəfərov</t>
  </si>
  <si>
    <t>2004-11-06 00:00:00.000</t>
  </si>
  <si>
    <t>2024-06-17 00:00:00.000</t>
  </si>
  <si>
    <t>1965-07-20 00:00:00.000</t>
  </si>
  <si>
    <t>2023-11-23 00:00:00.000</t>
  </si>
  <si>
    <t>1986-05-04 00:00:00.000</t>
  </si>
  <si>
    <t>2020-09-19 00:00:00.000</t>
  </si>
  <si>
    <t>1993-02-08 00:00:00.000</t>
  </si>
  <si>
    <t>2019-10-01 00:00:00.000</t>
  </si>
  <si>
    <t>Nigar Quliyev</t>
  </si>
  <si>
    <t>1975-08-21 00:00:00.000</t>
  </si>
  <si>
    <t>2021-01-31 00:00:00.000</t>
  </si>
  <si>
    <t>1988-10-26 00:00:00.000</t>
  </si>
  <si>
    <t>2023-08-15 00:00:00.000</t>
  </si>
  <si>
    <t>1966-01-09 00:00:00.000</t>
  </si>
  <si>
    <t>2021-09-09 00:00:00.000</t>
  </si>
  <si>
    <t>Elvin Bağırov</t>
  </si>
  <si>
    <t>1966-06-05 00:00:00.000</t>
  </si>
  <si>
    <t>2019-02-07 00:00:00.000</t>
  </si>
  <si>
    <t>Toğrul Həsənov</t>
  </si>
  <si>
    <t>1971-07-24 00:00:00.000</t>
  </si>
  <si>
    <t>2021-05-15 00:00:00.000</t>
  </si>
  <si>
    <t>1967-04-16 00:00:00.000</t>
  </si>
  <si>
    <t>2022-01-17 00:00:00.000</t>
  </si>
  <si>
    <t>Nicat Orucov</t>
  </si>
  <si>
    <t>1987-12-06 00:00:00.000</t>
  </si>
  <si>
    <t>2024-03-30 00:00:00.000</t>
  </si>
  <si>
    <t>Şəbnəm Rəhimov</t>
  </si>
  <si>
    <t>1979-08-04 00:00:00.000</t>
  </si>
  <si>
    <t>2022-07-18 00:00:00.000</t>
  </si>
  <si>
    <t>1971-08-21 00:00:00.000</t>
  </si>
  <si>
    <t>2022-03-22 00:00:00.000</t>
  </si>
  <si>
    <t>Zeynəb Əliyev</t>
  </si>
  <si>
    <t>2003-03-26 00:00:00.000</t>
  </si>
  <si>
    <t>2022-05-02 00:00:00.000</t>
  </si>
  <si>
    <t>Fərid Musayev</t>
  </si>
  <si>
    <t>2000-08-21 00:00:00.000</t>
  </si>
  <si>
    <t>2019-02-13 00:00:00.000</t>
  </si>
  <si>
    <t>Kənan Vəliyev</t>
  </si>
  <si>
    <t>2004-06-05 00:00:00.000</t>
  </si>
  <si>
    <t>2023-10-08 00:00:00.000</t>
  </si>
  <si>
    <t>1966-10-17 00:00:00.000</t>
  </si>
  <si>
    <t>2024-08-07 00:00:00.000</t>
  </si>
  <si>
    <t>1982-03-17 00:00:00.000</t>
  </si>
  <si>
    <t>2019-01-14 00:00:00.000</t>
  </si>
  <si>
    <t>1989-05-31 00:00:00.000</t>
  </si>
  <si>
    <t>2021-06-20 00:00:00.000</t>
  </si>
  <si>
    <t>Aynur Quliyev</t>
  </si>
  <si>
    <t>1978-04-14 00:00:00.000</t>
  </si>
  <si>
    <t>2022-02-13 00:00:00.000</t>
  </si>
  <si>
    <t>Türkan Məmmədov</t>
  </si>
  <si>
    <t>1984-08-02 00:00:00.000</t>
  </si>
  <si>
    <t>2021-12-30 00:00:00.000</t>
  </si>
  <si>
    <t>Rəşad Rəhimov</t>
  </si>
  <si>
    <t>1966-01-13 00:00:00.000</t>
  </si>
  <si>
    <t>2019-03-01 00:00:00.000</t>
  </si>
  <si>
    <t>Fidan Kərimov</t>
  </si>
  <si>
    <t>1973-04-07 00:00:00.000</t>
  </si>
  <si>
    <t>2022-07-31 00:00:00.000</t>
  </si>
  <si>
    <t>1983-02-28 00:00:00.000</t>
  </si>
  <si>
    <t>2019-09-17 00:00:00.000</t>
  </si>
  <si>
    <t>1985-03-23 00:00:00.000</t>
  </si>
  <si>
    <t>2024-02-20 00:00:00.000</t>
  </si>
  <si>
    <t>1982-07-17 00:00:00.000</t>
  </si>
  <si>
    <t>2023-04-29 00:00:00.000</t>
  </si>
  <si>
    <t>1969-09-07 00:00:00.000</t>
  </si>
  <si>
    <t>Nigar Tağıyev</t>
  </si>
  <si>
    <t>1989-09-16 00:00:00.000</t>
  </si>
  <si>
    <t>2021-07-10 00:00:00.000</t>
  </si>
  <si>
    <t>2000-05-04 00:00:00.000</t>
  </si>
  <si>
    <t>1977-09-17 00:00:00.000</t>
  </si>
  <si>
    <t>2021-06-14 00:00:00.000</t>
  </si>
  <si>
    <t>1994-06-07 00:00:00.000</t>
  </si>
  <si>
    <t>Zaur Hüseynov</t>
  </si>
  <si>
    <t>1976-02-03 00:00:00.000</t>
  </si>
  <si>
    <t>2022-11-17 00:00:00.000</t>
  </si>
  <si>
    <t>Kənan Rəhimov</t>
  </si>
  <si>
    <t>1998-10-01 00:00:00.000</t>
  </si>
  <si>
    <t>2024-01-12 00:00:00.000</t>
  </si>
  <si>
    <t>Fərid Cəfərov</t>
  </si>
  <si>
    <t>2020-06-08 00:00:00.000</t>
  </si>
  <si>
    <t>Vüqar Nəbiyev</t>
  </si>
  <si>
    <t>1975-06-10 00:00:00.000</t>
  </si>
  <si>
    <t>2023-09-13 00:00:00.000</t>
  </si>
  <si>
    <t>Kamran Quliyev</t>
  </si>
  <si>
    <t>1995-10-14 00:00:00.000</t>
  </si>
  <si>
    <t>2021-09-29 00:00:00.000</t>
  </si>
  <si>
    <t>Mehriban Quliyev</t>
  </si>
  <si>
    <t>1974-11-30 00:00:00.000</t>
  </si>
  <si>
    <t>Kamran Sadıqov</t>
  </si>
  <si>
    <t>1968-03-09 00:00:00.000</t>
  </si>
  <si>
    <t>1982-03-24 00:00:00.000</t>
  </si>
  <si>
    <t>2023-06-17 00:00:00.000</t>
  </si>
  <si>
    <t>Kənan Musayev</t>
  </si>
  <si>
    <t>1976-11-11 00:00:00.000</t>
  </si>
  <si>
    <t>2023-04-24 00:00:00.000</t>
  </si>
  <si>
    <t>Orxan Həsənov</t>
  </si>
  <si>
    <t>2004-02-12 00:00:00.000</t>
  </si>
  <si>
    <t>Leyla Rəhimov</t>
  </si>
  <si>
    <t>1984-07-10 00:00:00.000</t>
  </si>
  <si>
    <t>2023-10-12 00:00:00.000</t>
  </si>
  <si>
    <t>Zeynəb İsmayılov</t>
  </si>
  <si>
    <t>1973-01-16 00:00:00.000</t>
  </si>
  <si>
    <t>2022-10-18 00:00:00.000</t>
  </si>
  <si>
    <t>1983-04-25 00:00:00.000</t>
  </si>
  <si>
    <t>2021-08-27 00:00:00.000</t>
  </si>
  <si>
    <t>1984-12-20 00:00:00.000</t>
  </si>
  <si>
    <t>Şəbnəm Tağıyev</t>
  </si>
  <si>
    <t>1986-08-13 00:00:00.000</t>
  </si>
  <si>
    <t>2023-12-05 00:00:00.000</t>
  </si>
  <si>
    <t>Orxan Abbasov</t>
  </si>
  <si>
    <t>1979-01-25 00:00:00.000</t>
  </si>
  <si>
    <t>2022-12-03 00:00:00.000</t>
  </si>
  <si>
    <t>1974-07-06 00:00:00.000</t>
  </si>
  <si>
    <t>2019-05-23 00:00:00.000</t>
  </si>
  <si>
    <t>1999-05-03 00:00:00.000</t>
  </si>
  <si>
    <t>2020-09-11 00:00:00.000</t>
  </si>
  <si>
    <t>Rüfət Orucov</t>
  </si>
  <si>
    <t>1983-03-04 00:00:00.000</t>
  </si>
  <si>
    <t>2022-11-23 00:00:00.000</t>
  </si>
  <si>
    <t>Aysel Əzizov</t>
  </si>
  <si>
    <t>1968-11-15 00:00:00.000</t>
  </si>
  <si>
    <t>2019-04-23 00:00:00.000</t>
  </si>
  <si>
    <t>1970-01-24 00:00:00.000</t>
  </si>
  <si>
    <t>1969-03-04 00:00:00.000</t>
  </si>
  <si>
    <t>2021-10-25 00:00:00.000</t>
  </si>
  <si>
    <t>2020-08-04 00:00:00.000</t>
  </si>
  <si>
    <t>1969-08-26 00:00:00.000</t>
  </si>
  <si>
    <t>Zeynəb Novruzov</t>
  </si>
  <si>
    <t>1973-06-22 00:00:00.000</t>
  </si>
  <si>
    <t>2022-10-17 00:00:00.000</t>
  </si>
  <si>
    <t>1969-10-09 00:00:00.000</t>
  </si>
  <si>
    <t>2021-01-04 00:00:00.000</t>
  </si>
  <si>
    <t>Vəfa Cəfərov</t>
  </si>
  <si>
    <t>1977-09-01 00:00:00.000</t>
  </si>
  <si>
    <t>2024-05-29 00:00:00.000</t>
  </si>
  <si>
    <t>Ceyhun İsmayılov</t>
  </si>
  <si>
    <t>1982-09-19 00:00:00.000</t>
  </si>
  <si>
    <t>2023-07-16 00:00:00.000</t>
  </si>
  <si>
    <t>1969-02-01 00:00:00.000</t>
  </si>
  <si>
    <t>2020-05-10 00:00:00.000</t>
  </si>
  <si>
    <t>1989-01-05 00:00:00.000</t>
  </si>
  <si>
    <t>Zeynəb Cəfərov</t>
  </si>
  <si>
    <t>1981-08-18 00:00:00.000</t>
  </si>
  <si>
    <t>2022-08-31 00:00:00.000</t>
  </si>
  <si>
    <t>Ramin Bağırov</t>
  </si>
  <si>
    <t>1980-07-29 00:00:00.000</t>
  </si>
  <si>
    <t>2022-04-28 00:00:00.000</t>
  </si>
  <si>
    <t>2019-04-06 00:00:00.000</t>
  </si>
  <si>
    <t>1987-11-14 00:00:00.000</t>
  </si>
  <si>
    <t>2023-06-24 00:00:00.000</t>
  </si>
  <si>
    <t>Kənan Rzayev</t>
  </si>
  <si>
    <t>1979-09-21 00:00:00.000</t>
  </si>
  <si>
    <t>2020-02-05 00:00:00.000</t>
  </si>
  <si>
    <t>Samir Abbasov</t>
  </si>
  <si>
    <t>1996-03-12 00:00:00.000</t>
  </si>
  <si>
    <t>2021-06-28 00:00:00.000</t>
  </si>
  <si>
    <t>Vəfa Quliyev</t>
  </si>
  <si>
    <t>1993-07-12 00:00:00.000</t>
  </si>
  <si>
    <t>2022-12-30 00:00:00.000</t>
  </si>
  <si>
    <t>Nigar Novruzov</t>
  </si>
  <si>
    <t>1979-04-25 00:00:00.000</t>
  </si>
  <si>
    <t>2021-12-02 00:00:00.000</t>
  </si>
  <si>
    <t>Xəyalə Sadıqov</t>
  </si>
  <si>
    <t>1994-06-19 00:00:00.000</t>
  </si>
  <si>
    <t>2023-06-13 00:00:00.000</t>
  </si>
  <si>
    <t>1983-05-09 00:00:00.000</t>
  </si>
  <si>
    <t>2023-01-16 00:00:00.000</t>
  </si>
  <si>
    <t>Nicat Həsənov</t>
  </si>
  <si>
    <t>1981-07-12 00:00:00.000</t>
  </si>
  <si>
    <t>2021-07-15 00:00:00.000</t>
  </si>
  <si>
    <t>1991-10-16 00:00:00.000</t>
  </si>
  <si>
    <t>2019-07-23 00:00:00.000</t>
  </si>
  <si>
    <t>Nicat Vəliyev</t>
  </si>
  <si>
    <t>1971-04-15 00:00:00.000</t>
  </si>
  <si>
    <t>2021-12-07 00:00:00.000</t>
  </si>
  <si>
    <t>1978-08-14 00:00:00.000</t>
  </si>
  <si>
    <t>2019-08-07 00:00:00.000</t>
  </si>
  <si>
    <t>2001-05-19 00:00:00.000</t>
  </si>
  <si>
    <t>2020-08-12 00:00:00.000</t>
  </si>
  <si>
    <t>Ülviyyə Cəfərov</t>
  </si>
  <si>
    <t>1998-05-12 00:00:00.000</t>
  </si>
  <si>
    <t>2024-04-23 00:00:00.000</t>
  </si>
  <si>
    <t>1971-07-14 00:00:00.000</t>
  </si>
  <si>
    <t>2023-12-22 00:00:00.000</t>
  </si>
  <si>
    <t>Ülviyyə Sadıqov</t>
  </si>
  <si>
    <t>1985-11-26 00:00:00.000</t>
  </si>
  <si>
    <t>2019-04-27 00:00:00.000</t>
  </si>
  <si>
    <t>1979-06-24 00:00:00.000</t>
  </si>
  <si>
    <t>2023-06-03 00:00:00.000</t>
  </si>
  <si>
    <t>Ceyhun Novruzov</t>
  </si>
  <si>
    <t>1979-12-28 00:00:00.000</t>
  </si>
  <si>
    <t>2024-01-17 00:00:00.000</t>
  </si>
  <si>
    <t>2002-02-26 00:00:00.000</t>
  </si>
  <si>
    <t>2019-01-03 00:00:00.000</t>
  </si>
  <si>
    <t>Ceyhun Cəfərov</t>
  </si>
  <si>
    <t>1977-11-23 00:00:00.000</t>
  </si>
  <si>
    <t>2020-03-27 00:00:00.000</t>
  </si>
  <si>
    <t>Fərid Quliyev</t>
  </si>
  <si>
    <t>1989-11-24 00:00:00.000</t>
  </si>
  <si>
    <t>2019-10-21 00:00:00.000</t>
  </si>
  <si>
    <t>1991-10-26 00:00:00.000</t>
  </si>
  <si>
    <t>2020-12-22 00:00:00.000</t>
  </si>
  <si>
    <t>Aynur Abbasov</t>
  </si>
  <si>
    <t>1967-03-09 00:00:00.000</t>
  </si>
  <si>
    <t>2002-09-17 00:00:00.000</t>
  </si>
  <si>
    <t>2021-03-30 00:00:00.000</t>
  </si>
  <si>
    <t>Nərgiz Novruzov</t>
  </si>
  <si>
    <t>2003-12-29 00:00:00.000</t>
  </si>
  <si>
    <t>2023-11-29 00:00:00.000</t>
  </si>
  <si>
    <t>1978-03-20 00:00:00.000</t>
  </si>
  <si>
    <t>2019-08-21 00:00:00.000</t>
  </si>
  <si>
    <t>Ramin Nəbiyev</t>
  </si>
  <si>
    <t>1968-12-27 00:00:00.000</t>
  </si>
  <si>
    <t>2022-09-10 00:00:00.000</t>
  </si>
  <si>
    <t>1985-05-01 00:00:00.000</t>
  </si>
  <si>
    <t>Xəyalə Musayev</t>
  </si>
  <si>
    <t>1970-12-03 00:00:00.000</t>
  </si>
  <si>
    <t>2020-12-19 00:00:00.000</t>
  </si>
  <si>
    <t>2004-12-16 00:00:00.000</t>
  </si>
  <si>
    <t>2020-07-06 00:00:00.000</t>
  </si>
  <si>
    <t>Emin Məmmədov</t>
  </si>
  <si>
    <t>2004-08-01 00:00:00.000</t>
  </si>
  <si>
    <t>2023-03-21 00:00:00.000</t>
  </si>
  <si>
    <t>Sevinc Abbasov</t>
  </si>
  <si>
    <t>2019-08-24 00:00:00.000</t>
  </si>
  <si>
    <t>1982-05-09 00:00:00.000</t>
  </si>
  <si>
    <t>2020-01-09 00:00:00.000</t>
  </si>
  <si>
    <t>Zaur Əliyev</t>
  </si>
  <si>
    <t>1999-09-18 00:00:00.000</t>
  </si>
  <si>
    <t>2020-10-15 00:00:00.000</t>
  </si>
  <si>
    <t>Zaur Abbasov</t>
  </si>
  <si>
    <t>1991-03-04 00:00:00.000</t>
  </si>
  <si>
    <t>2020-01-16 00:00:00.000</t>
  </si>
  <si>
    <t>1982-05-29 00:00:00.000</t>
  </si>
  <si>
    <t>2022-08-06 00:00:00.000</t>
  </si>
  <si>
    <t>1981-11-28 00:00:00.000</t>
  </si>
  <si>
    <t>2021-12-20 00:00:00.000</t>
  </si>
  <si>
    <t>1965-01-29 00:00:00.000</t>
  </si>
  <si>
    <t>Mehriban Cəfərov</t>
  </si>
  <si>
    <t>1976-03-27 00:00:00.000</t>
  </si>
  <si>
    <t>2022-05-26 00:00:00.000</t>
  </si>
  <si>
    <t>Fuad Rzayev</t>
  </si>
  <si>
    <t>2019-01-01 00:00:00.000</t>
  </si>
  <si>
    <t>Samir Həsənov</t>
  </si>
  <si>
    <t>1996-09-23 00:00:00.000</t>
  </si>
  <si>
    <t>2022-10-05 00:00:00.000</t>
  </si>
  <si>
    <t>Nigar Bağırov</t>
  </si>
  <si>
    <t>1965-04-19 00:00:00.000</t>
  </si>
  <si>
    <t>2023-01-05 00:00:00.000</t>
  </si>
  <si>
    <t>1971-08-30 00:00:00.000</t>
  </si>
  <si>
    <t>Türkan Quliyev</t>
  </si>
  <si>
    <t>1984-10-21 00:00:00.000</t>
  </si>
  <si>
    <t>2024-07-12 00:00:00.000</t>
  </si>
  <si>
    <t>Leyla Sadıqov</t>
  </si>
  <si>
    <t>1983-06-05 00:00:00.000</t>
  </si>
  <si>
    <t>2020-06-07 00:00:00.000</t>
  </si>
  <si>
    <t>Günel Həsənov</t>
  </si>
  <si>
    <t>1974-06-12 00:00:00.000</t>
  </si>
  <si>
    <t>2024-04-03 00:00:00.000</t>
  </si>
  <si>
    <t>Sevinc Tağıyev</t>
  </si>
  <si>
    <t>1980-10-20 00:00:00.000</t>
  </si>
  <si>
    <t>2021-03-06 00:00:00.000</t>
  </si>
  <si>
    <t>Ülviyyə Həsənov</t>
  </si>
  <si>
    <t>1986-12-12 00:00:00.000</t>
  </si>
  <si>
    <t>2022-05-10 00:00:00.000</t>
  </si>
  <si>
    <t>2001-04-20 00:00:00.000</t>
  </si>
  <si>
    <t>2024-10-27 00:00:00.000</t>
  </si>
  <si>
    <t>Aysel Cəfərov</t>
  </si>
  <si>
    <t>1975-11-07 00:00:00.000</t>
  </si>
  <si>
    <t>2024-01-13 00:00:00.000</t>
  </si>
  <si>
    <t>1976-05-24 00:00:00.000</t>
  </si>
  <si>
    <t>2021-04-03 00:00:00.000</t>
  </si>
  <si>
    <t>Günel Məmmədov</t>
  </si>
  <si>
    <t>2021-02-26 00:00:00.000</t>
  </si>
  <si>
    <t>1998-11-13 00:00:00.000</t>
  </si>
  <si>
    <t>2022-08-08 00:00:00.000</t>
  </si>
  <si>
    <t>Rüfət Bağırov</t>
  </si>
  <si>
    <t>1973-02-08 00:00:00.000</t>
  </si>
  <si>
    <t>2019-03-10 00:00:00.000</t>
  </si>
  <si>
    <t>Samir Əzizov</t>
  </si>
  <si>
    <t>2002-05-28 00:00:00.000</t>
  </si>
  <si>
    <t>2023-10-15 00:00:00.000</t>
  </si>
  <si>
    <t>Ülviyyə Orucov</t>
  </si>
  <si>
    <t>1978-03-16 00:00:00.000</t>
  </si>
  <si>
    <t>2022-12-14 00:00:00.000</t>
  </si>
  <si>
    <t>1982-08-12 00:00:00.000</t>
  </si>
  <si>
    <t>2022-12-21 00:00:00.000</t>
  </si>
  <si>
    <t>Nicat Abbasov</t>
  </si>
  <si>
    <t>1981-04-16 00:00:00.000</t>
  </si>
  <si>
    <t>2019-05-30 00:00:00.000</t>
  </si>
  <si>
    <t>Vüqar Orucov</t>
  </si>
  <si>
    <t>1971-04-26 00:00:00.000</t>
  </si>
  <si>
    <t>1975-05-27 00:00:00.000</t>
  </si>
  <si>
    <t>1992-09-21 00:00:00.000</t>
  </si>
  <si>
    <t>2020-02-21 00:00:00.000</t>
  </si>
  <si>
    <t>1999-08-27 00:00:00.000</t>
  </si>
  <si>
    <t>2023-09-08 00:00:00.000</t>
  </si>
  <si>
    <t>Anar Abbasov</t>
  </si>
  <si>
    <t>1973-07-14 00:00:00.000</t>
  </si>
  <si>
    <t>2024-01-25 00:00:00.000</t>
  </si>
  <si>
    <t>Fuad Orucov</t>
  </si>
  <si>
    <t>1979-08-26 00:00:00.000</t>
  </si>
  <si>
    <t>2021-02-14 00:00:00.000</t>
  </si>
  <si>
    <t>Anar Hüseynov</t>
  </si>
  <si>
    <t>1975-05-01 00:00:00.000</t>
  </si>
  <si>
    <t>2020-09-06 00:00:00.000</t>
  </si>
  <si>
    <t>Orxan Məmmədov</t>
  </si>
  <si>
    <t>1978-05-31 00:00:00.000</t>
  </si>
  <si>
    <t>1986-12-19 00:00:00.000</t>
  </si>
  <si>
    <t>2022-03-15 00:00:00.000</t>
  </si>
  <si>
    <t>1986-10-04 00:00:00.000</t>
  </si>
  <si>
    <t>2021-01-25 00:00:00.000</t>
  </si>
  <si>
    <t>Nicat Hüseynov</t>
  </si>
  <si>
    <t>2022-09-19 00:00:00.000</t>
  </si>
  <si>
    <t>Xəyalə Vəliyev</t>
  </si>
  <si>
    <t>Nərgiz Tağıyev</t>
  </si>
  <si>
    <t>2000-07-05 00:00:00.000</t>
  </si>
  <si>
    <t>2021-08-29 00:00:00.000</t>
  </si>
  <si>
    <t>Nicat Əzizov</t>
  </si>
  <si>
    <t>1989-12-30 00:00:00.000</t>
  </si>
  <si>
    <t>2021-11-21 00:00:00.000</t>
  </si>
  <si>
    <t>Nərgiz Nəbiyev</t>
  </si>
  <si>
    <t>1968-08-02 00:00:00.000</t>
  </si>
  <si>
    <t>2019-08-10 00:00:00.000</t>
  </si>
  <si>
    <t>1973-02-15 00:00:00.000</t>
  </si>
  <si>
    <t>2019-05-04 00:00:00.000</t>
  </si>
  <si>
    <t>1996-07-09 00:00:00.000</t>
  </si>
  <si>
    <t>2020-05-01 00:00:00.000</t>
  </si>
  <si>
    <t>1969-01-27 00:00:00.000</t>
  </si>
  <si>
    <t>2021-12-15 00:00:00.000</t>
  </si>
  <si>
    <t>2022-06-23 00:00:00.000</t>
  </si>
  <si>
    <t>Fidan Əliyev</t>
  </si>
  <si>
    <t>1984-12-27 00:00:00.000</t>
  </si>
  <si>
    <t>2019-07-13 00:00:00.000</t>
  </si>
  <si>
    <t>Səbinə Cəfərov</t>
  </si>
  <si>
    <t>1993-02-18 00:00:00.000</t>
  </si>
  <si>
    <t>2024-02-08 00:00:00.000</t>
  </si>
  <si>
    <t>Günel Quliyev</t>
  </si>
  <si>
    <t>1988-09-30 00:00:00.000</t>
  </si>
  <si>
    <t>2022-05-17 00:00:00.000</t>
  </si>
  <si>
    <t>Fərid Novruzov</t>
  </si>
  <si>
    <t>1990-06-02 00:00:00.000</t>
  </si>
  <si>
    <t>2022-01-14 00:00:00.000</t>
  </si>
  <si>
    <t>Ramin Həsənov</t>
  </si>
  <si>
    <t>1977-05-28 00:00:00.000</t>
  </si>
  <si>
    <t>1978-10-07 00:00:00.000</t>
  </si>
  <si>
    <t>2021-10-30 00:00:00.000</t>
  </si>
  <si>
    <t>Sevinc Nəbiyev</t>
  </si>
  <si>
    <t>2023-07-12 00:00:00.000</t>
  </si>
  <si>
    <t>1988-10-10 00:00:00.000</t>
  </si>
  <si>
    <t>2019-07-17 00:00:00.000</t>
  </si>
  <si>
    <t>Zeynəb Məmmədov</t>
  </si>
  <si>
    <t>1986-11-16 00:00:00.000</t>
  </si>
  <si>
    <t>2022-05-06 00:00:00.000</t>
  </si>
  <si>
    <t>Orxan Tağıyev</t>
  </si>
  <si>
    <t>1966-05-19 00:00:00.000</t>
  </si>
  <si>
    <t>2023-11-06 00:00:00.000</t>
  </si>
  <si>
    <t>1975-06-13 00:00:00.000</t>
  </si>
  <si>
    <t>2023-12-09 00:00:00.000</t>
  </si>
  <si>
    <t>Rüfət Tağıyev</t>
  </si>
  <si>
    <t>1996-05-31 00:00:00.000</t>
  </si>
  <si>
    <t>2022-09-27 00:00:00.000</t>
  </si>
  <si>
    <t>Nərmin Rzayev</t>
  </si>
  <si>
    <t>1966-03-08 00:00:00.000</t>
  </si>
  <si>
    <t>2019-09-30 00:00:00.000</t>
  </si>
  <si>
    <t>Rüfət Quliyev</t>
  </si>
  <si>
    <t>1987-07-11 00:00:00.000</t>
  </si>
  <si>
    <t>2021-03-12 00:00:00.000</t>
  </si>
  <si>
    <t>2001-07-08 00:00:00.000</t>
  </si>
  <si>
    <t>2023-11-30 00:00:00.000</t>
  </si>
  <si>
    <t>Könül Rəhimov</t>
  </si>
  <si>
    <t>1972-03-27 00:00:00.000</t>
  </si>
  <si>
    <t>2002-04-17 00:00:00.000</t>
  </si>
  <si>
    <t>Mehriban Əzizov</t>
  </si>
  <si>
    <t>1972-07-26 00:00:00.000</t>
  </si>
  <si>
    <t>2023-05-28 00:00:00.000</t>
  </si>
  <si>
    <t>Anar Bağırov</t>
  </si>
  <si>
    <t>1982-09-11 00:00:00.000</t>
  </si>
  <si>
    <t>2020-05-02 00:00:00.000</t>
  </si>
  <si>
    <t>1974-01-05 00:00:00.000</t>
  </si>
  <si>
    <t>2022-04-02 00:00:00.000</t>
  </si>
  <si>
    <t>Kamran Abbasov</t>
  </si>
  <si>
    <t>1981-10-01 00:00:00.000</t>
  </si>
  <si>
    <t>2019-10-20 00:00:00.000</t>
  </si>
  <si>
    <t>1987-02-22 00:00:00.000</t>
  </si>
  <si>
    <t>2022-10-29 00:00:00.000</t>
  </si>
  <si>
    <t>1977-12-09 00:00:00.000</t>
  </si>
  <si>
    <t>2024-01-14 00:00:00.000</t>
  </si>
  <si>
    <t>1988-10-21 00:00:00.000</t>
  </si>
  <si>
    <t>Orxan Musayev</t>
  </si>
  <si>
    <t>1999-09-15 00:00:00.000</t>
  </si>
  <si>
    <t>2021-07-28 00:00:00.000</t>
  </si>
  <si>
    <t>Elşən Novruzov</t>
  </si>
  <si>
    <t>1999-05-30 00:00:00.000</t>
  </si>
  <si>
    <t>2023-07-05 00:00:00.000</t>
  </si>
  <si>
    <t>Nərmin Vəliyev</t>
  </si>
  <si>
    <t>1980-04-15 00:00:00.000</t>
  </si>
  <si>
    <t>2022-06-28 00:00:00.000</t>
  </si>
  <si>
    <t>Murad Məmmədov</t>
  </si>
  <si>
    <t>1998-11-06 00:00:00.000</t>
  </si>
  <si>
    <t>2023-10-23 00:00:00.000</t>
  </si>
  <si>
    <t>Elvin Cəfərov</t>
  </si>
  <si>
    <t>1967-09-06 00:00:00.000</t>
  </si>
  <si>
    <t>Kənan Quliyev</t>
  </si>
  <si>
    <t>1988-08-27 00:00:00.000</t>
  </si>
  <si>
    <t>2019-04-13 00:00:00.000</t>
  </si>
  <si>
    <t>Kamran Novruzov</t>
  </si>
  <si>
    <t>1976-10-17 00:00:00.000</t>
  </si>
  <si>
    <t>2022-04-07 00:00:00.000</t>
  </si>
  <si>
    <t>Vəfa Orucov</t>
  </si>
  <si>
    <t>1974-03-27 00:00:00.000</t>
  </si>
  <si>
    <t>2020-12-23 00:00:00.000</t>
  </si>
  <si>
    <t>Röya Tağıyev</t>
  </si>
  <si>
    <t>1975-05-10 00:00:00.000</t>
  </si>
  <si>
    <t>2024-11-28 00:00:00.000</t>
  </si>
  <si>
    <t>Nicat Novruzov</t>
  </si>
  <si>
    <t>1990-02-15 00:00:00.000</t>
  </si>
  <si>
    <t>Mehriban Hüseynov</t>
  </si>
  <si>
    <t>1978-11-09 00:00:00.000</t>
  </si>
  <si>
    <t>2019-06-12 00:00:00.000</t>
  </si>
  <si>
    <t>1998-06-18 00:00:00.000</t>
  </si>
  <si>
    <t>2020-05-04 00:00:00.000</t>
  </si>
  <si>
    <t>1966-04-15 00:00:00.000</t>
  </si>
  <si>
    <t>2021-04-16 00:00:00.000</t>
  </si>
  <si>
    <t>Mehriban Tağıyev</t>
  </si>
  <si>
    <t>2004-04-09 00:00:00.000</t>
  </si>
  <si>
    <t>2023-08-28 00:00:00.000</t>
  </si>
  <si>
    <t>1981-02-23 00:00:00.000</t>
  </si>
  <si>
    <t>2022-09-29 00:00:00.000</t>
  </si>
  <si>
    <t>1973-05-10 00:00:00.000</t>
  </si>
  <si>
    <t>2019-01-22 00:00:00.000</t>
  </si>
  <si>
    <t>Kənan Bağırov</t>
  </si>
  <si>
    <t>1997-10-08 00:00:00.000</t>
  </si>
  <si>
    <t>2021-10-04 00:00:00.000</t>
  </si>
  <si>
    <t>Günel Rəhimov</t>
  </si>
  <si>
    <t>1999-01-05 00:00:00.000</t>
  </si>
  <si>
    <t>Fərid İsmayılov</t>
  </si>
  <si>
    <t>1998-11-26 00:00:00.000</t>
  </si>
  <si>
    <t>2024-12-01 00:00:00.000</t>
  </si>
  <si>
    <t>Könül İsmayılov</t>
  </si>
  <si>
    <t>1980-08-29 00:00:00.000</t>
  </si>
  <si>
    <t>Sevinc Əzizov</t>
  </si>
  <si>
    <t>1974-06-19 00:00:00.000</t>
  </si>
  <si>
    <t>2021-03-04 00:00:00.000</t>
  </si>
  <si>
    <t>1999-05-10 00:00:00.000</t>
  </si>
  <si>
    <t>2019-11-30 00:00:00.000</t>
  </si>
  <si>
    <t>2004-11-05 00:00:00.000</t>
  </si>
  <si>
    <t>2019-08-03 00:00:00.000</t>
  </si>
  <si>
    <t>1968-06-26 00:00:00.000</t>
  </si>
  <si>
    <t>2023-06-23 00:00:00.000</t>
  </si>
  <si>
    <t>1988-11-16 00:00:00.000</t>
  </si>
  <si>
    <t>2022-10-09 00:00:00.000</t>
  </si>
  <si>
    <t>1970-07-27 00:00:00.000</t>
  </si>
  <si>
    <t>2023-05-12 00:00:00.000</t>
  </si>
  <si>
    <t>1993-12-28 00:00:00.000</t>
  </si>
  <si>
    <t>2021-11-11 00:00:00.000</t>
  </si>
  <si>
    <t>Nicat Rəhimov</t>
  </si>
  <si>
    <t>1969-05-07 00:00:00.000</t>
  </si>
  <si>
    <t>2023-07-31 00:00:00.000</t>
  </si>
  <si>
    <t>Elvin Abbasov</t>
  </si>
  <si>
    <t>1996-03-27 00:00:00.000</t>
  </si>
  <si>
    <t>2020-03-04 00:00:00.000</t>
  </si>
  <si>
    <t>Kənan Hüseynov</t>
  </si>
  <si>
    <t>1997-12-26 00:00:00.000</t>
  </si>
  <si>
    <t>1973-12-11 00:00:00.000</t>
  </si>
  <si>
    <t>2021-04-26 00:00:00.000</t>
  </si>
  <si>
    <t>Röya Orucov</t>
  </si>
  <si>
    <t>1980-09-14 00:00:00.000</t>
  </si>
  <si>
    <t>2001-11-17 00:00:00.000</t>
  </si>
  <si>
    <t>2020-10-11 00:00:00.000</t>
  </si>
  <si>
    <t>Xəyalə Kərimov</t>
  </si>
  <si>
    <t>1969-02-11 00:00:00.000</t>
  </si>
  <si>
    <t>1971-01-03 00:00:00.000</t>
  </si>
  <si>
    <t>2023-10-02 00:00:00.000</t>
  </si>
  <si>
    <t>Nərgiz Quliyev</t>
  </si>
  <si>
    <t>2000-05-08 00:00:00.000</t>
  </si>
  <si>
    <t>2019-07-30 00:00:00.000</t>
  </si>
  <si>
    <t>Günel Orucov</t>
  </si>
  <si>
    <t>2001-11-05 00:00:00.000</t>
  </si>
  <si>
    <t>Nigar Rəhimov</t>
  </si>
  <si>
    <t>1995-06-13 00:00:00.000</t>
  </si>
  <si>
    <t>2022-12-05 00:00:00.000</t>
  </si>
  <si>
    <t>Aysel Vəliyev</t>
  </si>
  <si>
    <t>1984-03-27 00:00:00.000</t>
  </si>
  <si>
    <t>1980-09-10 00:00:00.000</t>
  </si>
  <si>
    <t>2022-05-16 00:00:00.000</t>
  </si>
  <si>
    <t>Rüfət Məmmədov</t>
  </si>
  <si>
    <t>1973-08-26 00:00:00.000</t>
  </si>
  <si>
    <t>2019-04-01 00:00:00.000</t>
  </si>
  <si>
    <t>Lalə Tağıyev</t>
  </si>
  <si>
    <t>1982-11-18 00:00:00.000</t>
  </si>
  <si>
    <t>2021-07-27 00:00:00.000</t>
  </si>
  <si>
    <t>1982-07-27 00:00:00.000</t>
  </si>
  <si>
    <t>2019-11-20 00:00:00.000</t>
  </si>
  <si>
    <t>Sevinc Rəhimov</t>
  </si>
  <si>
    <t>1981-02-19 00:00:00.000</t>
  </si>
  <si>
    <t>2024-11-04 00:00:00.000</t>
  </si>
  <si>
    <t>1992-10-28 00:00:00.000</t>
  </si>
  <si>
    <t>Ülviyyə Tağıyev</t>
  </si>
  <si>
    <t>1995-11-06 00:00:00.000</t>
  </si>
  <si>
    <t>2023-05-06 00:00:00.000</t>
  </si>
  <si>
    <t>1993-05-26 00:00:00.000</t>
  </si>
  <si>
    <t>2023-05-29 00:00:00.000</t>
  </si>
  <si>
    <t>1965-08-20 00:00:00.000</t>
  </si>
  <si>
    <t>1968-04-16 00:00:00.000</t>
  </si>
  <si>
    <t>2020-10-21 00:00:00.000</t>
  </si>
  <si>
    <t>Orxan İsmayılov</t>
  </si>
  <si>
    <t>1999-11-11 00:00:00.000</t>
  </si>
  <si>
    <t>2022-11-28 00:00:00.000</t>
  </si>
  <si>
    <t>Ceyhun Hüseynov</t>
  </si>
  <si>
    <t>1993-05-17 00:00:00.000</t>
  </si>
  <si>
    <t>2019-01-27 00:00:00.000</t>
  </si>
  <si>
    <t>Sevinc Orucov</t>
  </si>
  <si>
    <t>1980-09-19 00:00:00.000</t>
  </si>
  <si>
    <t>2024-11-08 00:00:00.000</t>
  </si>
  <si>
    <t>Günel Rzayev</t>
  </si>
  <si>
    <t>1966-01-03 00:00:00.000</t>
  </si>
  <si>
    <t>2021-04-18 00:00:00.000</t>
  </si>
  <si>
    <t>Nicat Kərimov</t>
  </si>
  <si>
    <t>1995-01-15 00:00:00.000</t>
  </si>
  <si>
    <t>2023-04-01 00:00:00.000</t>
  </si>
  <si>
    <t>Şəbnəm Abbasov</t>
  </si>
  <si>
    <t>1976-02-06 00:00:00.000</t>
  </si>
  <si>
    <t>2021-04-11 00:00:00.000</t>
  </si>
  <si>
    <t>Orxan Əliyev</t>
  </si>
  <si>
    <t>1973-10-12 00:00:00.000</t>
  </si>
  <si>
    <t>2022-03-20 00:00:00.000</t>
  </si>
  <si>
    <t>1992-05-24 00:00:00.000</t>
  </si>
  <si>
    <t>2023-12-12 00:00:00.000</t>
  </si>
  <si>
    <t>Türkan Rəhimov</t>
  </si>
  <si>
    <t>1995-06-23 00:00:00.000</t>
  </si>
  <si>
    <t>2023-10-14 00:00:00.000</t>
  </si>
  <si>
    <t>Kamran Cəfərov</t>
  </si>
  <si>
    <t>1989-03-20 00:00:00.000</t>
  </si>
  <si>
    <t>Nərmin Novruzov</t>
  </si>
  <si>
    <t>1974-10-15 00:00:00.000</t>
  </si>
  <si>
    <t>2019-02-12 00:00:00.000</t>
  </si>
  <si>
    <t>Vəfa Novruzov</t>
  </si>
  <si>
    <t>1973-03-06 00:00:00.000</t>
  </si>
  <si>
    <t>2021-08-15 00:00:00.000</t>
  </si>
  <si>
    <t>Fuad Sadıqov</t>
  </si>
  <si>
    <t>1972-11-03 00:00:00.000</t>
  </si>
  <si>
    <t>2020-06-22 00:00:00.000</t>
  </si>
  <si>
    <t>Orxan Əzizov</t>
  </si>
  <si>
    <t>1996-03-13 00:00:00.000</t>
  </si>
  <si>
    <t>2023-09-07 00:00:00.000</t>
  </si>
  <si>
    <t>Leyla Tağıyev</t>
  </si>
  <si>
    <t>1998-10-02 00:00:00.000</t>
  </si>
  <si>
    <t>2022-11-22 00:00:00.000</t>
  </si>
  <si>
    <t>Zaur Novruzov</t>
  </si>
  <si>
    <t>1974-05-22 00:00:00.000</t>
  </si>
  <si>
    <t>2019-04-20 00:00:00.000</t>
  </si>
  <si>
    <t>1984-08-05 00:00:00.000</t>
  </si>
  <si>
    <t>Fidan Məmmədov</t>
  </si>
  <si>
    <t>1997-01-02 00:00:00.000</t>
  </si>
  <si>
    <t>2022-10-23 00:00:00.000</t>
  </si>
  <si>
    <t>1968-06-12 00:00:00.000</t>
  </si>
  <si>
    <t>1976-10-30 00:00:00.000</t>
  </si>
  <si>
    <t>2020-10-25 00:00:00.000</t>
  </si>
  <si>
    <t>2000-01-18 00:00:00.000</t>
  </si>
  <si>
    <t>2023-01-01 00:00:00.000</t>
  </si>
  <si>
    <t>1976-05-14 00:00:00.000</t>
  </si>
  <si>
    <t>2019-01-28 00:00:00.000</t>
  </si>
  <si>
    <t>1979-01-11 00:00:00.000</t>
  </si>
  <si>
    <t>Səbinə Sadıqov</t>
  </si>
  <si>
    <t>1980-12-05 00:00:00.000</t>
  </si>
  <si>
    <t>2024-09-16 00:00:00.000</t>
  </si>
  <si>
    <t>Aynur Bağırov</t>
  </si>
  <si>
    <t>1977-02-04 00:00:00.000</t>
  </si>
  <si>
    <t>2022-04-21 00:00:00.000</t>
  </si>
  <si>
    <t>Lalə Nəbiyev</t>
  </si>
  <si>
    <t>1977-07-10 00:00:00.000</t>
  </si>
  <si>
    <t>2020-06-11 00:00:00.000</t>
  </si>
  <si>
    <t>Ramin Musayev</t>
  </si>
  <si>
    <t>1971-05-21 00:00:00.000</t>
  </si>
  <si>
    <t>2023-09-29 00:00:00.000</t>
  </si>
  <si>
    <t>1989-10-05 00:00:00.000</t>
  </si>
  <si>
    <t>2022-08-02 00:00:00.000</t>
  </si>
  <si>
    <t>Türkan Kərimov</t>
  </si>
  <si>
    <t>2020-02-19 00:00:00.000</t>
  </si>
  <si>
    <t>Lalə Bağırov</t>
  </si>
  <si>
    <t>1968-11-26 00:00:00.000</t>
  </si>
  <si>
    <t>2024-07-19 00:00:00.000</t>
  </si>
  <si>
    <t>Röya Kərimov</t>
  </si>
  <si>
    <t>1994-09-16 00:00:00.000</t>
  </si>
  <si>
    <t>2021-07-14 00:00:00.000</t>
  </si>
  <si>
    <t>1970-12-20 00:00:00.000</t>
  </si>
  <si>
    <t>2023-09-18 00:00:00.000</t>
  </si>
  <si>
    <t>Mehriban Rzayev</t>
  </si>
  <si>
    <t>1982-03-15 00:00:00.000</t>
  </si>
  <si>
    <t>2020-04-10 00:00:00.000</t>
  </si>
  <si>
    <t>Elşən Həsənov</t>
  </si>
  <si>
    <t>1993-08-19 00:00:00.000</t>
  </si>
  <si>
    <t>2022-02-24 00:00:00.000</t>
  </si>
  <si>
    <t>1965-10-31 00:00:00.000</t>
  </si>
  <si>
    <t>Samir Vəliyev</t>
  </si>
  <si>
    <t>1970-07-02 00:00:00.000</t>
  </si>
  <si>
    <t>Ceyhun Abbasov</t>
  </si>
  <si>
    <t>2002-11-25 00:00:00.000</t>
  </si>
  <si>
    <t>2020-06-04 00:00:00.000</t>
  </si>
  <si>
    <t>Ramin Quliyev</t>
  </si>
  <si>
    <t>1968-05-16 00:00:00.000</t>
  </si>
  <si>
    <t>2020-10-24 00:00:00.000</t>
  </si>
  <si>
    <t>2003-09-29 00:00:00.000</t>
  </si>
  <si>
    <t>2023-02-02 00:00:00.000</t>
  </si>
  <si>
    <t>Fidan Rzayev</t>
  </si>
  <si>
    <t>1995-08-19 00:00:00.000</t>
  </si>
  <si>
    <t>2020-01-18 00:00:00.000</t>
  </si>
  <si>
    <t>1986-06-04 00:00:00.000</t>
  </si>
  <si>
    <t>2023-06-25 00:00:00.000</t>
  </si>
  <si>
    <t>Şəbnəm Əliyev</t>
  </si>
  <si>
    <t>1967-05-20 00:00:00.000</t>
  </si>
  <si>
    <t>Könül Hüseynov</t>
  </si>
  <si>
    <t>2001-11-16 00:00:00.000</t>
  </si>
  <si>
    <t>2019-11-07 00:00:00.000</t>
  </si>
  <si>
    <t>Samir Orucov</t>
  </si>
  <si>
    <t>1981-06-24 00:00:00.000</t>
  </si>
  <si>
    <t>2019-01-15 00:00:00.000</t>
  </si>
  <si>
    <t>Kamran Musayev</t>
  </si>
  <si>
    <t>1967-01-01 00:00:00.000</t>
  </si>
  <si>
    <t>Nicat Məmmədov</t>
  </si>
  <si>
    <t>1989-03-07 00:00:00.000</t>
  </si>
  <si>
    <t>1977-08-28 00:00:00.000</t>
  </si>
  <si>
    <t>2020-03-11 00:00:00.000</t>
  </si>
  <si>
    <t>1995-02-19 00:00:00.000</t>
  </si>
  <si>
    <t>Lalə Hüseynov</t>
  </si>
  <si>
    <t>1976-02-15 00:00:00.000</t>
  </si>
  <si>
    <t>2024-10-08 00:00:00.000</t>
  </si>
  <si>
    <t>1992-09-12 00:00:00.000</t>
  </si>
  <si>
    <t>2023-03-16 00:00:00.000</t>
  </si>
  <si>
    <t>1973-03-18 00:00:00.000</t>
  </si>
  <si>
    <t>1985-05-07 00:00:00.000</t>
  </si>
  <si>
    <t>2023-01-14 00:00:00.000</t>
  </si>
  <si>
    <t>1985-07-06 00:00:00.000</t>
  </si>
  <si>
    <t>2022-08-16 00:00:00.000</t>
  </si>
  <si>
    <t>Səbinə Məmmədov</t>
  </si>
  <si>
    <t>2000-12-21 00:00:00.000</t>
  </si>
  <si>
    <t>1979-02-10 00:00:00.000</t>
  </si>
  <si>
    <t>Rəşad Sadıqov</t>
  </si>
  <si>
    <t>1990-05-28 00:00:00.000</t>
  </si>
  <si>
    <t>2020-04-26 00:00:00.000</t>
  </si>
  <si>
    <t>Röya İsmayılov</t>
  </si>
  <si>
    <t>1977-03-18 00:00:00.000</t>
  </si>
  <si>
    <t>2020-11-13 00:00:00.000</t>
  </si>
  <si>
    <t>Samir Hüseynov</t>
  </si>
  <si>
    <t>1993-12-03 00:00:00.000</t>
  </si>
  <si>
    <t>2020-11-20 00:00:00.000</t>
  </si>
  <si>
    <t>Rəşad Rzayev</t>
  </si>
  <si>
    <t>2019-03-08 00:00:00.000</t>
  </si>
  <si>
    <t>Tural Hüseynov</t>
  </si>
  <si>
    <t>1997-12-09 00:00:00.000</t>
  </si>
  <si>
    <t>2019-09-13 00:00:00.000</t>
  </si>
  <si>
    <t>1998-06-03 00:00:00.000</t>
  </si>
  <si>
    <t>2022-06-07 00:00:00.000</t>
  </si>
  <si>
    <t>Elşən Əliyev</t>
  </si>
  <si>
    <t>1994-09-21 00:00:00.000</t>
  </si>
  <si>
    <t>2021-08-12 00:00:00.000</t>
  </si>
  <si>
    <t>1974-12-30 00:00:00.000</t>
  </si>
  <si>
    <t>2024-01-05 00:00:00.000</t>
  </si>
  <si>
    <t>1982-02-14 00:00:00.000</t>
  </si>
  <si>
    <t>2024-01-26 00:00:00.000</t>
  </si>
  <si>
    <t>2000-06-14 00:00:00.000</t>
  </si>
  <si>
    <t>2020-07-29 00:00:00.000</t>
  </si>
  <si>
    <t>Kənan Əzizov</t>
  </si>
  <si>
    <t>1983-08-24 00:00:00.000</t>
  </si>
  <si>
    <t>2019-07-27 00:00:00.000</t>
  </si>
  <si>
    <t>2003-01-26 00:00:00.000</t>
  </si>
  <si>
    <t>2019-09-12 00:00:00.000</t>
  </si>
  <si>
    <t>Türkan Həsənov</t>
  </si>
  <si>
    <t>1981-09-11 00:00:00.000</t>
  </si>
  <si>
    <t>2019-08-28 00:00:00.000</t>
  </si>
  <si>
    <t>1992-12-05 00:00:00.000</t>
  </si>
  <si>
    <t>2020-05-05 00:00:00.000</t>
  </si>
  <si>
    <t>2002-03-11 00:00:00.000</t>
  </si>
  <si>
    <t>2022-02-23 00:00:00.000</t>
  </si>
  <si>
    <t>2003-06-08 00:00:00.000</t>
  </si>
  <si>
    <t>1979-11-18 00:00:00.000</t>
  </si>
  <si>
    <t>2024-09-10 00:00:00.000</t>
  </si>
  <si>
    <t>Ülviyyə Quliyev</t>
  </si>
  <si>
    <t>1977-09-24 00:00:00.000</t>
  </si>
  <si>
    <t>Nicat Rzayev</t>
  </si>
  <si>
    <t>1990-08-14 00:00:00.000</t>
  </si>
  <si>
    <t>2021-07-30 00:00:00.000</t>
  </si>
  <si>
    <t>Vəfa Nəbiyev</t>
  </si>
  <si>
    <t>1997-07-13 00:00:00.000</t>
  </si>
  <si>
    <t>2024-09-20 00:00:00.000</t>
  </si>
  <si>
    <t>Könül Əliyev</t>
  </si>
  <si>
    <t>1971-12-07 00:00:00.000</t>
  </si>
  <si>
    <t>Tural İsmayılov</t>
  </si>
  <si>
    <t>2004-04-12 00:00:00.000</t>
  </si>
  <si>
    <t>2024-03-21 00:00:00.000</t>
  </si>
  <si>
    <t>1970-05-14 00:00:00.000</t>
  </si>
  <si>
    <t>2020-02-08 00:00:00.000</t>
  </si>
  <si>
    <t>Nicat Quliyev</t>
  </si>
  <si>
    <t>2001-02-17 00:00:00.000</t>
  </si>
  <si>
    <t>2021-11-01 00:00:00.000</t>
  </si>
  <si>
    <t>Səbinə Abbasov</t>
  </si>
  <si>
    <t>1980-09-01 00:00:00.000</t>
  </si>
  <si>
    <t>2020-05-15 00:00:00.000</t>
  </si>
  <si>
    <t>Leyla Musayev</t>
  </si>
  <si>
    <t>1977-01-05 00:00:00.000</t>
  </si>
  <si>
    <t>2019-03-19 00:00:00.000</t>
  </si>
  <si>
    <t>2004-10-18 00:00:00.000</t>
  </si>
  <si>
    <t>2024-07-25 00:00:00.000</t>
  </si>
  <si>
    <t>Ülviyyə İsmayılov</t>
  </si>
  <si>
    <t>1969-07-27 00:00:00.000</t>
  </si>
  <si>
    <t>2022-03-08 00:00:00.000</t>
  </si>
  <si>
    <t>1982-05-06 00:00:00.000</t>
  </si>
  <si>
    <t>2020-11-04 00:00:00.000</t>
  </si>
  <si>
    <t>1991-08-15 00:00:00.000</t>
  </si>
  <si>
    <t>2020-07-08 00:00:00.000</t>
  </si>
  <si>
    <t>1997-03-17 00:00:00.000</t>
  </si>
  <si>
    <t>2022-08-20 00:00:00.000</t>
  </si>
  <si>
    <t>1997-12-23 00:00:00.000</t>
  </si>
  <si>
    <t>2024-07-24 00:00:00.000</t>
  </si>
  <si>
    <t>1975-11-26 00:00:00.000</t>
  </si>
  <si>
    <t>2021-09-23 00:00:00.000</t>
  </si>
  <si>
    <t>1972-04-04 00:00:00.000</t>
  </si>
  <si>
    <t>2022-06-02 00:00:00.000</t>
  </si>
  <si>
    <t>Kənan Tağıyev</t>
  </si>
  <si>
    <t>1970-06-23 00:00:00.000</t>
  </si>
  <si>
    <t>2019-10-22 00:00:00.000</t>
  </si>
  <si>
    <t>1974-06-01 00:00:00.000</t>
  </si>
  <si>
    <t>2023-11-19 00:00:00.000</t>
  </si>
  <si>
    <t>Səbinə Tağıyev</t>
  </si>
  <si>
    <t>1993-04-24 00:00:00.000</t>
  </si>
  <si>
    <t>Samir Novruzov</t>
  </si>
  <si>
    <t>1972-01-16 00:00:00.000</t>
  </si>
  <si>
    <t>1967-06-29 00:00:00.000</t>
  </si>
  <si>
    <t>2019-06-15 00:00:00.000</t>
  </si>
  <si>
    <t>1975-10-05 00:00:00.000</t>
  </si>
  <si>
    <t>2019-05-25 00:00:00.000</t>
  </si>
  <si>
    <t>1995-04-12 00:00:00.000</t>
  </si>
  <si>
    <t>1975-12-23 00:00:00.000</t>
  </si>
  <si>
    <t>2019-08-18 00:00:00.000</t>
  </si>
  <si>
    <t>Səbinə Həsənov</t>
  </si>
  <si>
    <t>2000-07-28 00:00:00.000</t>
  </si>
  <si>
    <t>2022-12-16 00:00:00.000</t>
  </si>
  <si>
    <t>1975-02-18 00:00:00.000</t>
  </si>
  <si>
    <t>2023-12-07 00:00:00.000</t>
  </si>
  <si>
    <t>1985-02-15 00:00:00.000</t>
  </si>
  <si>
    <t>1972-03-20 00:00:00.000</t>
  </si>
  <si>
    <t>2023-04-10 00:00:00.000</t>
  </si>
  <si>
    <t>Elvin Quliyev</t>
  </si>
  <si>
    <t>1994-01-07 00:00:00.000</t>
  </si>
  <si>
    <t>1972-06-08 00:00:00.000</t>
  </si>
  <si>
    <t>2022-08-14 00:00:00.000</t>
  </si>
  <si>
    <t>1976-01-08 00:00:00.000</t>
  </si>
  <si>
    <t>Nicat Əliyev</t>
  </si>
  <si>
    <t>1979-11-19 00:00:00.000</t>
  </si>
  <si>
    <t>2024-04-27 00:00:00.000</t>
  </si>
  <si>
    <t>1997-11-19 00:00:00.000</t>
  </si>
  <si>
    <t>1995-12-13 00:00:00.000</t>
  </si>
  <si>
    <t>2024-12-28 00:00:00.000</t>
  </si>
  <si>
    <t>1994-11-20 00:00:00.000</t>
  </si>
  <si>
    <t>2024-12-13 00:00:00.000</t>
  </si>
  <si>
    <t>2000-06-26 00:00:00.000</t>
  </si>
  <si>
    <t>2022-10-25 00:00:00.000</t>
  </si>
  <si>
    <t>Elvin Məmmədov</t>
  </si>
  <si>
    <t>1969-03-07 00:00:00.000</t>
  </si>
  <si>
    <t>2019-03-12 00:00:00.000</t>
  </si>
  <si>
    <t>1966-05-20 00:00:00.000</t>
  </si>
  <si>
    <t>2020-04-25 00:00:00.000</t>
  </si>
  <si>
    <t>2000-03-09 00:00:00.000</t>
  </si>
  <si>
    <t>2020-05-11 00:00:00.000</t>
  </si>
  <si>
    <t>Zaur Rzayev</t>
  </si>
  <si>
    <t>1966-04-08 00:00:00.000</t>
  </si>
  <si>
    <t>2019-03-26 00:00:00.000</t>
  </si>
  <si>
    <t>Rüfət Sadıqov</t>
  </si>
  <si>
    <t>1973-06-26 00:00:00.000</t>
  </si>
  <si>
    <t>2023-07-25 00:00:00.000</t>
  </si>
  <si>
    <t>1999-07-03 00:00:00.000</t>
  </si>
  <si>
    <t>2023-08-09 00:00:00.000</t>
  </si>
  <si>
    <t>1979-06-25 00:00:00.000</t>
  </si>
  <si>
    <t>2022-10-11 00:00:00.000</t>
  </si>
  <si>
    <t>1975-04-30 00:00:00.000</t>
  </si>
  <si>
    <t>2021-09-27 00:00:00.000</t>
  </si>
  <si>
    <t>2004-06-24 00:00:00.000</t>
  </si>
  <si>
    <t>Vüqar Məmmədov</t>
  </si>
  <si>
    <t>1968-11-24 00:00:00.000</t>
  </si>
  <si>
    <t>2022-04-26 00:00:00.000</t>
  </si>
  <si>
    <t>Elşən Nəbiyev</t>
  </si>
  <si>
    <t>1991-09-24 00:00:00.000</t>
  </si>
  <si>
    <t>Nərmin Abbasov</t>
  </si>
  <si>
    <t>1973-09-13 00:00:00.000</t>
  </si>
  <si>
    <t>2021-03-02 00:00:00.000</t>
  </si>
  <si>
    <t>1974-02-07 00:00:00.000</t>
  </si>
  <si>
    <t>2021-06-16 00:00:00.000</t>
  </si>
  <si>
    <t>1972-04-27 00:00:00.000</t>
  </si>
  <si>
    <t>2019-07-21 00:00:00.000</t>
  </si>
  <si>
    <t>Elvin Tağıyev</t>
  </si>
  <si>
    <t>1994-01-06 00:00:00.000</t>
  </si>
  <si>
    <t>2021-01-06 00:00:00.000</t>
  </si>
  <si>
    <t>Sevinc İsmayılov</t>
  </si>
  <si>
    <t>1997-11-03 00:00:00.000</t>
  </si>
  <si>
    <t>2021-10-05 00:00:00.000</t>
  </si>
  <si>
    <t>2003-06-28 00:00:00.000</t>
  </si>
  <si>
    <t>2024-04-21 00:00:00.000</t>
  </si>
  <si>
    <t>1979-06-12 00:00:00.000</t>
  </si>
  <si>
    <t>2020-08-03 00:00:00.000</t>
  </si>
  <si>
    <t>1992-11-22 00:00:00.000</t>
  </si>
  <si>
    <t>2024-02-18 00:00:00.000</t>
  </si>
  <si>
    <t>1999-10-12 00:00:00.000</t>
  </si>
  <si>
    <t>2020-09-09 00:00:00.000</t>
  </si>
  <si>
    <t>2004-01-17 00:00:00.000</t>
  </si>
  <si>
    <t>2019-01-07 00:00:00.000</t>
  </si>
  <si>
    <t>1989-01-16 00:00:00.000</t>
  </si>
  <si>
    <t>Fərid Vəliyev</t>
  </si>
  <si>
    <t>1977-08-26 00:00:00.000</t>
  </si>
  <si>
    <t>1971-08-27 00:00:00.000</t>
  </si>
  <si>
    <t>1975-09-19 00:00:00.000</t>
  </si>
  <si>
    <t>2021-10-08 00:00:00.000</t>
  </si>
  <si>
    <t>1980-09-07 00:00:00.000</t>
  </si>
  <si>
    <t>2019-01-26 00:00:00.000</t>
  </si>
  <si>
    <t>1976-07-12 00:00:00.000</t>
  </si>
  <si>
    <t>2022-05-28 00:00:00.000</t>
  </si>
  <si>
    <t>Orxan Hüseynov</t>
  </si>
  <si>
    <t>1965-07-18 00:00:00.000</t>
  </si>
  <si>
    <t>2022-11-02 00:00:00.000</t>
  </si>
  <si>
    <t>Ramin Rzayev</t>
  </si>
  <si>
    <t>2004-11-24 00:00:00.000</t>
  </si>
  <si>
    <t>2024-08-15 00:00:00.000</t>
  </si>
  <si>
    <t>2021-03-26 00:00:00.000</t>
  </si>
  <si>
    <t>1988-02-17 00:00:00.000</t>
  </si>
  <si>
    <t>Fərid Həsənov</t>
  </si>
  <si>
    <t>1969-01-28 00:00:00.000</t>
  </si>
  <si>
    <t>2002-12-09 00:00:00.000</t>
  </si>
  <si>
    <t>2019-04-30 00:00:00.000</t>
  </si>
  <si>
    <t>2002-07-30 00:00:00.000</t>
  </si>
  <si>
    <t>1999-01-14 00:00:00.000</t>
  </si>
  <si>
    <t>1997-06-20 00:00:00.000</t>
  </si>
  <si>
    <t>2022-09-12 00:00:00.000</t>
  </si>
  <si>
    <t>1982-01-24 00:00:00.000</t>
  </si>
  <si>
    <t>2023-12-17 00:00:00.000</t>
  </si>
  <si>
    <t>1984-09-24 00:00:00.000</t>
  </si>
  <si>
    <t>2024-05-06 00:00:00.000</t>
  </si>
  <si>
    <t>Şəbnəm Novruzov</t>
  </si>
  <si>
    <t>1991-10-09 00:00:00.000</t>
  </si>
  <si>
    <t>2019-08-06 00:00:00.000</t>
  </si>
  <si>
    <t>Anar Sadıqov</t>
  </si>
  <si>
    <t>1991-10-29 00:00:00.000</t>
  </si>
  <si>
    <t>1969-05-14 00:00:00.000</t>
  </si>
  <si>
    <t>1992-06-11 00:00:00.000</t>
  </si>
  <si>
    <t>2024-06-06 00:00:00.000</t>
  </si>
  <si>
    <t>Günel Abbasov</t>
  </si>
  <si>
    <t>1993-08-15 00:00:00.000</t>
  </si>
  <si>
    <t>1992-09-17 00:00:00.000</t>
  </si>
  <si>
    <t>2020-08-29 00:00:00.000</t>
  </si>
  <si>
    <t>Şəbnəm Musayev</t>
  </si>
  <si>
    <t>1965-01-22 00:00:00.000</t>
  </si>
  <si>
    <t>2020-02-12 00:00:00.000</t>
  </si>
  <si>
    <t>Fərid Nəbiyev</t>
  </si>
  <si>
    <t>1965-03-17 00:00:00.000</t>
  </si>
  <si>
    <t>Murad Nəbiyev</t>
  </si>
  <si>
    <t>1982-10-31 00:00:00.000</t>
  </si>
  <si>
    <t>2021-06-09 00:00:00.000</t>
  </si>
  <si>
    <t>1980-06-22 00:00:00.000</t>
  </si>
  <si>
    <t>2019-10-10 00:00:00.000</t>
  </si>
  <si>
    <t>Fərid Bağırov</t>
  </si>
  <si>
    <t>1968-09-02 00:00:00.000</t>
  </si>
  <si>
    <t>2024-11-25 00:00:00.000</t>
  </si>
  <si>
    <t>1987-03-11 00:00:00.000</t>
  </si>
  <si>
    <t>2020-05-18 00:00:00.000</t>
  </si>
  <si>
    <t>Fərid Hüseynov</t>
  </si>
  <si>
    <t>1992-04-28 00:00:00.000</t>
  </si>
  <si>
    <t>Fuad Nəbiyev</t>
  </si>
  <si>
    <t>1977-08-06 00:00:00.000</t>
  </si>
  <si>
    <t>2021-10-28 00:00:00.000</t>
  </si>
  <si>
    <t>Aysel Əliyev</t>
  </si>
  <si>
    <t>2003-05-13 00:00:00.000</t>
  </si>
  <si>
    <t>2019-04-19 00:00:00.000</t>
  </si>
  <si>
    <t>1990-06-08 00:00:00.000</t>
  </si>
  <si>
    <t>1991-07-26 00:00:00.000</t>
  </si>
  <si>
    <t>2022-02-20 00:00:00.000</t>
  </si>
  <si>
    <t>1983-03-16 00:00:00.000</t>
  </si>
  <si>
    <t>2020-12-14 00:00:00.000</t>
  </si>
  <si>
    <t>1976-03-05 00:00:00.000</t>
  </si>
  <si>
    <t>Rüfət Rəhimov</t>
  </si>
  <si>
    <t>2000-12-26 00:00:00.000</t>
  </si>
  <si>
    <t>Anar Novruzov</t>
  </si>
  <si>
    <t>2004-09-30 00:00:00.000</t>
  </si>
  <si>
    <t>2019-02-28 00:00:00.000</t>
  </si>
  <si>
    <t>1980-01-04 00:00:00.000</t>
  </si>
  <si>
    <t>2019-03-04 00:00:00.000</t>
  </si>
  <si>
    <t>1984-04-22 00:00:00.000</t>
  </si>
  <si>
    <t>2021-01-12 00:00:00.000</t>
  </si>
  <si>
    <t>Nigar Kərimov</t>
  </si>
  <si>
    <t>2022-03-05 00:00:00.000</t>
  </si>
  <si>
    <t>Murad Cəfərov</t>
  </si>
  <si>
    <t>1979-02-02 00:00:00.000</t>
  </si>
  <si>
    <t>1970-11-16 00:00:00.000</t>
  </si>
  <si>
    <t>1967-04-26 00:00:00.000</t>
  </si>
  <si>
    <t>Kənan İsmayılov</t>
  </si>
  <si>
    <t>1987-03-29 00:00:00.000</t>
  </si>
  <si>
    <t>2023-03-27 00:00:00.000</t>
  </si>
  <si>
    <t>1986-12-10 00:00:00.000</t>
  </si>
  <si>
    <t>2022-12-22 00:00:00.000</t>
  </si>
  <si>
    <t>Sevinc Musayev</t>
  </si>
  <si>
    <t>1992-07-26 00:00:00.000</t>
  </si>
  <si>
    <t>2020-08-24 00:00:00.000</t>
  </si>
  <si>
    <t>1984-09-03 00:00:00.000</t>
  </si>
  <si>
    <t>2021-11-17 00:00:00.000</t>
  </si>
  <si>
    <t>1974-01-19 00:00:00.000</t>
  </si>
  <si>
    <t>2020-10-02 00:00:00.000</t>
  </si>
  <si>
    <t>1965-07-16 00:00:00.000</t>
  </si>
  <si>
    <t>2020-04-23 00:00:00.000</t>
  </si>
  <si>
    <t>Aysel Orucov</t>
  </si>
  <si>
    <t>1974-06-24 00:00:00.000</t>
  </si>
  <si>
    <t>2019-06-29 00:00:00.000</t>
  </si>
  <si>
    <t>Xəyalə Məmmədov</t>
  </si>
  <si>
    <t>1972-06-14 00:00:00.000</t>
  </si>
  <si>
    <t>2021-10-14 00:00:00.000</t>
  </si>
  <si>
    <t>2003-03-09 00:00:00.000</t>
  </si>
  <si>
    <t>2020-02-24 00:00:00.000</t>
  </si>
  <si>
    <t>Türkan Orucov</t>
  </si>
  <si>
    <t>1984-09-14 00:00:00.000</t>
  </si>
  <si>
    <t>2019-03-02 00:00:00.000</t>
  </si>
  <si>
    <t>1987-06-22 00:00:00.000</t>
  </si>
  <si>
    <t>2021-05-18 00:00:00.000</t>
  </si>
  <si>
    <t>Rəşad Cəfərov</t>
  </si>
  <si>
    <t>1995-04-08 00:00:00.000</t>
  </si>
  <si>
    <t>2024-07-26 00:00:00.000</t>
  </si>
  <si>
    <t>Ülviyyə Novruzov</t>
  </si>
  <si>
    <t>1981-05-18 00:00:00.000</t>
  </si>
  <si>
    <t>2022-08-29 00:00:00.000</t>
  </si>
  <si>
    <t>Anar Orucov</t>
  </si>
  <si>
    <t>1969-05-21 00:00:00.000</t>
  </si>
  <si>
    <t>2023-06-05 00:00:00.000</t>
  </si>
  <si>
    <t>1999-06-09 00:00:00.000</t>
  </si>
  <si>
    <t>2023-05-14 00:00:00.000</t>
  </si>
  <si>
    <t>1969-10-16 00:00:00.000</t>
  </si>
  <si>
    <t>Ramin Tağıyev</t>
  </si>
  <si>
    <t>1990-07-08 00:00:00.000</t>
  </si>
  <si>
    <t>1970-05-26 00:00:00.000</t>
  </si>
  <si>
    <t>1991-04-01 00:00:00.000</t>
  </si>
  <si>
    <t>2022-08-13 00:00:00.000</t>
  </si>
  <si>
    <t>Toğrul Vəliyev</t>
  </si>
  <si>
    <t>2002-07-03 00:00:00.000</t>
  </si>
  <si>
    <t>2023-05-09 00:00:00.000</t>
  </si>
  <si>
    <t>1996-12-24 00:00:00.000</t>
  </si>
  <si>
    <t>2020-02-27 00:00:00.000</t>
  </si>
  <si>
    <t>1966-06-03 00:00:00.000</t>
  </si>
  <si>
    <t>2002-03-16 00:00:00.000</t>
  </si>
  <si>
    <t>2023-08-25 00:00:00.000</t>
  </si>
  <si>
    <t>1996-06-25 00:00:00.000</t>
  </si>
  <si>
    <t>2019-09-04 00:00:00.000</t>
  </si>
  <si>
    <t>1984-12-31 00:00:00.000</t>
  </si>
  <si>
    <t>2024-03-17 00:00:00.000</t>
  </si>
  <si>
    <t>Vəfa Bağırov</t>
  </si>
  <si>
    <t>1975-12-05 00:00:00.000</t>
  </si>
  <si>
    <t>2021-05-29 00:00:00.000</t>
  </si>
  <si>
    <t>Türkan Rzayev</t>
  </si>
  <si>
    <t>1985-01-07 00:00:00.000</t>
  </si>
  <si>
    <t>Tural Kərimov</t>
  </si>
  <si>
    <t>1977-03-20 00:00:00.000</t>
  </si>
  <si>
    <t>2019-02-26 00:00:00.000</t>
  </si>
  <si>
    <t>1986-07-15 00:00:00.000</t>
  </si>
  <si>
    <t>2023-07-08 00:00:00.000</t>
  </si>
  <si>
    <t>Zaur İsmayılov</t>
  </si>
  <si>
    <t>1972-01-21 00:00:00.000</t>
  </si>
  <si>
    <t>Röya Həsənov</t>
  </si>
  <si>
    <t>1994-11-27 00:00:00.000</t>
  </si>
  <si>
    <t>2020-06-21 00:00:00.000</t>
  </si>
  <si>
    <t>Ceyhun Əzizov</t>
  </si>
  <si>
    <t>2023-12-04 00:00:00.000</t>
  </si>
  <si>
    <t>1971-03-09 00:00:00.000</t>
  </si>
  <si>
    <t>2020-01-20 00:00:00.000</t>
  </si>
  <si>
    <t>1966-10-13 00:00:00.000</t>
  </si>
  <si>
    <t>Ramin Əliyev</t>
  </si>
  <si>
    <t>2020-04-24 00:00:00.000</t>
  </si>
  <si>
    <t>Türkan Cəfərov</t>
  </si>
  <si>
    <t>1987-12-18 00:00:00.000</t>
  </si>
  <si>
    <t>2019-05-29 00:00:00.000</t>
  </si>
  <si>
    <t>1988-05-17 00:00:00.000</t>
  </si>
  <si>
    <t>2023-08-19 00:00:00.000</t>
  </si>
  <si>
    <t>1968-10-08 00:00:00.000</t>
  </si>
  <si>
    <t>2019-07-08 00:00:00.000</t>
  </si>
  <si>
    <t>1966-08-07 00:00:00.000</t>
  </si>
  <si>
    <t>2021-05-14 00:00:00.000</t>
  </si>
  <si>
    <t>1974-09-27 00:00:00.000</t>
  </si>
  <si>
    <t>1989-10-29 00:00:00.000</t>
  </si>
  <si>
    <t>Kənan Nəbiyev</t>
  </si>
  <si>
    <t>1977-03-06 00:00:00.000</t>
  </si>
  <si>
    <t>2023-06-02 00:00:00.000</t>
  </si>
  <si>
    <t>1983-07-01 00:00:00.000</t>
  </si>
  <si>
    <t>2021-05-01 00:00:00.000</t>
  </si>
  <si>
    <t>Vüqar Əzizov</t>
  </si>
  <si>
    <t>1989-09-09 00:00:00.000</t>
  </si>
  <si>
    <t>1986-11-24 00:00:00.000</t>
  </si>
  <si>
    <t>2019-08-09 00:00:00.000</t>
  </si>
  <si>
    <t>1970-04-05 00:00:00.000</t>
  </si>
  <si>
    <t>2020-05-23 00:00:00.000</t>
  </si>
  <si>
    <t>1974-05-12 00:00:00.000</t>
  </si>
  <si>
    <t>2022-11-30 00:00:00.000</t>
  </si>
  <si>
    <t>1971-05-19 00:00:00.000</t>
  </si>
  <si>
    <t>2024-08-18 00:00:00.000</t>
  </si>
  <si>
    <t>Vüqar Rzayev</t>
  </si>
  <si>
    <t>1998-06-22 00:00:00.000</t>
  </si>
  <si>
    <t>1989-10-28 00:00:00.000</t>
  </si>
  <si>
    <t>2021-10-16 00:00:00.000</t>
  </si>
  <si>
    <t>Elşən Rzayev</t>
  </si>
  <si>
    <t>1979-01-03 00:00:00.000</t>
  </si>
  <si>
    <t>Mehriban Orucov</t>
  </si>
  <si>
    <t>1966-08-06 00:00:00.000</t>
  </si>
  <si>
    <t>2003-02-01 00:00:00.000</t>
  </si>
  <si>
    <t>1969-09-22 00:00:00.000</t>
  </si>
  <si>
    <t>2020-10-07 00:00:00.000</t>
  </si>
  <si>
    <t>Günel Vəliyev</t>
  </si>
  <si>
    <t>1991-05-28 00:00:00.000</t>
  </si>
  <si>
    <t>Sevinc Rzayev</t>
  </si>
  <si>
    <t>1976-10-14 00:00:00.000</t>
  </si>
  <si>
    <t>2022-08-04 00:00:00.000</t>
  </si>
  <si>
    <t>1983-11-16 00:00:00.000</t>
  </si>
  <si>
    <t>2020-10-10 00:00:00.000</t>
  </si>
  <si>
    <t>Zeynəb Abbasov</t>
  </si>
  <si>
    <t>2021-12-19 00:00:00.000</t>
  </si>
  <si>
    <t>Elvin Orucov</t>
  </si>
  <si>
    <t>1988-09-27 00:00:00.000</t>
  </si>
  <si>
    <t>Nərmin İsmayılov</t>
  </si>
  <si>
    <t>1989-03-19 00:00:00.000</t>
  </si>
  <si>
    <t>2019-07-31 00:00:00.000</t>
  </si>
  <si>
    <t>1988-08-11 00:00:00.000</t>
  </si>
  <si>
    <t>Mehriban Bağırov</t>
  </si>
  <si>
    <t>1985-07-24 00:00:00.000</t>
  </si>
  <si>
    <t>2020-08-05 00:00:00.000</t>
  </si>
  <si>
    <t>1970-12-26 00:00:00.000</t>
  </si>
  <si>
    <t>2019-05-19 00:00:00.000</t>
  </si>
  <si>
    <t>1980-09-09 00:00:00.000</t>
  </si>
  <si>
    <t>2020-08-27 00:00:00.000</t>
  </si>
  <si>
    <t>2004-05-08 00:00:00.000</t>
  </si>
  <si>
    <t>2024-09-09 00:00:00.000</t>
  </si>
  <si>
    <t>Nigar Hüseynov</t>
  </si>
  <si>
    <t>1997-08-27 00:00:00.000</t>
  </si>
  <si>
    <t>2020-09-24 00:00:00.000</t>
  </si>
  <si>
    <t>1971-05-24 00:00:00.000</t>
  </si>
  <si>
    <t>Vüqar Novruzov</t>
  </si>
  <si>
    <t>1995-08-11 00:00:00.000</t>
  </si>
  <si>
    <t>2021-01-01 00:00:00.000</t>
  </si>
  <si>
    <t>1973-08-10 00:00:00.000</t>
  </si>
  <si>
    <t>2019-06-01 00:00:00.000</t>
  </si>
  <si>
    <t>Mehriban Novruzov</t>
  </si>
  <si>
    <t>1979-01-27 00:00:00.000</t>
  </si>
  <si>
    <t>1998-08-15 00:00:00.000</t>
  </si>
  <si>
    <t>2024-06-09 00:00:00.000</t>
  </si>
  <si>
    <t>1976-04-29 00:00:00.000</t>
  </si>
  <si>
    <t>1979-04-18 00:00:00.000</t>
  </si>
  <si>
    <t>2024-03-03 00:00:00.000</t>
  </si>
  <si>
    <t>1993-06-26 00:00:00.000</t>
  </si>
  <si>
    <t>2020-05-13 00:00:00.000</t>
  </si>
  <si>
    <t>1975-06-01 00:00:00.000</t>
  </si>
  <si>
    <t>2024-06-08 00:00:00.000</t>
  </si>
  <si>
    <t>2002-05-22 00:00:00.000</t>
  </si>
  <si>
    <t>2024-11-30 00:00:00.000</t>
  </si>
  <si>
    <t>1967-10-27 00:00:00.000</t>
  </si>
  <si>
    <t>1977-12-15 00:00:00.000</t>
  </si>
  <si>
    <t>2023-05-24 00:00:00.000</t>
  </si>
  <si>
    <t>Kamran İsmayılov</t>
  </si>
  <si>
    <t>1993-10-03 00:00:00.000</t>
  </si>
  <si>
    <t>2024-03-14 00:00:00.000</t>
  </si>
  <si>
    <t>1994-09-26 00:00:00.000</t>
  </si>
  <si>
    <t>1996-06-04 00:00:00.000</t>
  </si>
  <si>
    <t>2019-08-16 00:00:00.000</t>
  </si>
  <si>
    <t>Nərmin Kərimov</t>
  </si>
  <si>
    <t>1990-07-21 00:00:00.000</t>
  </si>
  <si>
    <t>Leyla Bağırov</t>
  </si>
  <si>
    <t>1999-02-19 00:00:00.000</t>
  </si>
  <si>
    <t>2019-11-29 00:00:00.000</t>
  </si>
  <si>
    <t>1965-07-23 00:00:00.000</t>
  </si>
  <si>
    <t>2021-06-22 00:00:00.000</t>
  </si>
  <si>
    <t>1998-06-10 00:00:00.000</t>
  </si>
  <si>
    <t>2024-09-05 00:00:00.000</t>
  </si>
  <si>
    <t>Fidan Nəbiyev</t>
  </si>
  <si>
    <t>1999-10-23 00:00:00.000</t>
  </si>
  <si>
    <t>2020-11-09 00:00:00.000</t>
  </si>
  <si>
    <t>1997-01-12 00:00:00.000</t>
  </si>
  <si>
    <t>2023-10-09 00:00:00.000</t>
  </si>
  <si>
    <t>1985-08-26 00:00:00.000</t>
  </si>
  <si>
    <t>Lalə Abbasov</t>
  </si>
  <si>
    <t>2002-12-31 00:00:00.000</t>
  </si>
  <si>
    <t>2022-07-01 00:00:00.000</t>
  </si>
  <si>
    <t>Zaur Orucov</t>
  </si>
  <si>
    <t>1983-06-21 00:00:00.000</t>
  </si>
  <si>
    <t>2021-04-10 00:00:00.000</t>
  </si>
  <si>
    <t>Röya Əzizov</t>
  </si>
  <si>
    <t>1973-04-29 00:00:00.000</t>
  </si>
  <si>
    <t>2022-09-05 00:00:00.000</t>
  </si>
  <si>
    <t>Könül Nəbiyev</t>
  </si>
  <si>
    <t>1983-03-09 00:00:00.000</t>
  </si>
  <si>
    <t>2022-10-07 00:00:00.000</t>
  </si>
  <si>
    <t>Nərmin Əzizov</t>
  </si>
  <si>
    <t>2000-09-13 00:00:00.000</t>
  </si>
  <si>
    <t>2019-12-02 00:00:00.000</t>
  </si>
  <si>
    <t>1971-12-30 00:00:00.000</t>
  </si>
  <si>
    <t>2023-02-09 00:00:00.000</t>
  </si>
  <si>
    <t>1969-11-03 00:00:00.000</t>
  </si>
  <si>
    <t>1973-06-09 00:00:00.000</t>
  </si>
  <si>
    <t>2019-05-06 00:00:00.000</t>
  </si>
  <si>
    <t>1986-04-18 00:00:00.000</t>
  </si>
  <si>
    <t>2021-12-06 00:00:00.000</t>
  </si>
  <si>
    <t>Günel Nəbiyev</t>
  </si>
  <si>
    <t>1976-12-05 00:00:00.000</t>
  </si>
  <si>
    <t>2023-11-20 00:00:00.000</t>
  </si>
  <si>
    <t>Günel Kərimov</t>
  </si>
  <si>
    <t>1981-12-06 00:00:00.000</t>
  </si>
  <si>
    <t>2022-08-17 00:00:00.000</t>
  </si>
  <si>
    <t>Toğrul Hüseynov</t>
  </si>
  <si>
    <t>1973-06-02 00:00:00.000</t>
  </si>
  <si>
    <t>2023-02-24 00:00:00.000</t>
  </si>
  <si>
    <t>1971-12-16 00:00:00.000</t>
  </si>
  <si>
    <t>Toğrul Cəfərov</t>
  </si>
  <si>
    <t>1989-05-27 00:00:00.000</t>
  </si>
  <si>
    <t>2023-05-11 00:00:00.000</t>
  </si>
  <si>
    <t>1991-06-21 00:00:00.000</t>
  </si>
  <si>
    <t>2021-04-30 00:00:00.000</t>
  </si>
  <si>
    <t>1972-03-25 00:00:00.000</t>
  </si>
  <si>
    <t>2021-10-01 00:00:00.000</t>
  </si>
  <si>
    <t>1986-02-08 00:00:00.000</t>
  </si>
  <si>
    <t>2023-12-15 00:00:00.000</t>
  </si>
  <si>
    <t>Mehriban Məmmədov</t>
  </si>
  <si>
    <t>1978-04-02 00:00:00.000</t>
  </si>
  <si>
    <t>Zeynəb Rzayev</t>
  </si>
  <si>
    <t>1968-03-20 00:00:00.000</t>
  </si>
  <si>
    <t>2021-10-29 00:00:00.000</t>
  </si>
  <si>
    <t>Tural Nəbiyev</t>
  </si>
  <si>
    <t>1971-11-10 00:00:00.000</t>
  </si>
  <si>
    <t>1987-02-02 00:00:00.000</t>
  </si>
  <si>
    <t>Lalə Novruzov</t>
  </si>
  <si>
    <t>1999-07-16 00:00:00.000</t>
  </si>
  <si>
    <t>Vəfa Həsənov</t>
  </si>
  <si>
    <t>2002-03-06 00:00:00.000</t>
  </si>
  <si>
    <t>1979-01-07 00:00:00.000</t>
  </si>
  <si>
    <t>2020-05-09 00:00:00.000</t>
  </si>
  <si>
    <t>Emin Rzayev</t>
  </si>
  <si>
    <t>1975-12-12 00:00:00.000</t>
  </si>
  <si>
    <t>2023-12-13 00:00:00.000</t>
  </si>
  <si>
    <t>1978-02-04 00:00:00.000</t>
  </si>
  <si>
    <t>2020-04-13 00:00:00.000</t>
  </si>
  <si>
    <t>Nərmin Tağıyev</t>
  </si>
  <si>
    <t>1965-12-18 00:00:00.000</t>
  </si>
  <si>
    <t>2019-07-24 00:00:00.000</t>
  </si>
  <si>
    <t>Şəbnəm Hüseynov</t>
  </si>
  <si>
    <t>1983-02-15 00:00:00.000</t>
  </si>
  <si>
    <t>2001-01-05 00:00:00.000</t>
  </si>
  <si>
    <t>2022-06-21 00:00:00.000</t>
  </si>
  <si>
    <t>1982-07-31 00:00:00.000</t>
  </si>
  <si>
    <t>2019-08-25 00:00:00.000</t>
  </si>
  <si>
    <t>Fidan Həsənov</t>
  </si>
  <si>
    <t>2001-09-19 00:00:00.000</t>
  </si>
  <si>
    <t>Ceyhun Kərimov</t>
  </si>
  <si>
    <t>1980-08-09 00:00:00.000</t>
  </si>
  <si>
    <t>2022-01-28 00:00:00.000</t>
  </si>
  <si>
    <t>Leyla İsmayılov</t>
  </si>
  <si>
    <t>1996-09-06 00:00:00.000</t>
  </si>
  <si>
    <t>2024-03-06 00:00:00.000</t>
  </si>
  <si>
    <t>1973-01-18 00:00:00.000</t>
  </si>
  <si>
    <t>2023-06-06 00:00:00.000</t>
  </si>
  <si>
    <t>1998-02-06 00:00:00.000</t>
  </si>
  <si>
    <t>Vüqar Həsənov</t>
  </si>
  <si>
    <t>1968-08-31 00:00:00.000</t>
  </si>
  <si>
    <t>2022-12-09 00:00:00.000</t>
  </si>
  <si>
    <t>2003-11-06 00:00:00.000</t>
  </si>
  <si>
    <t>2024-12-18 00:00:00.000</t>
  </si>
  <si>
    <t>1975-12-17 00:00:00.000</t>
  </si>
  <si>
    <t>1981-01-07 00:00:00.000</t>
  </si>
  <si>
    <t>2019-01-11 00:00:00.000</t>
  </si>
  <si>
    <t>Xəyalə Rzayev</t>
  </si>
  <si>
    <t>2019-11-26 00:00:00.000</t>
  </si>
  <si>
    <t>Lalə Quliyev</t>
  </si>
  <si>
    <t>1994-04-22 00:00:00.000</t>
  </si>
  <si>
    <t>1990-05-22 00:00:00.000</t>
  </si>
  <si>
    <t>2023-05-30 00:00:00.000</t>
  </si>
  <si>
    <t>Xəyalə Abbasov</t>
  </si>
  <si>
    <t>1991-06-15 00:00:00.000</t>
  </si>
  <si>
    <t>2023-01-04 00:00:00.000</t>
  </si>
  <si>
    <t>1970-10-22 00:00:00.000</t>
  </si>
  <si>
    <t>1998-02-25 00:00:00.000</t>
  </si>
  <si>
    <t>2023-07-21 00:00:00.000</t>
  </si>
  <si>
    <t>1994-08-06 00:00:00.000</t>
  </si>
  <si>
    <t>1997-10-01 00:00:00.000</t>
  </si>
  <si>
    <t>2021-08-31 00:00:00.000</t>
  </si>
  <si>
    <t>1967-09-15 00:00:00.000</t>
  </si>
  <si>
    <t>1984-10-06 00:00:00.000</t>
  </si>
  <si>
    <t>Kənan Cəfərov</t>
  </si>
  <si>
    <t>1979-04-20 00:00:00.000</t>
  </si>
  <si>
    <t>1982-03-13 00:00:00.000</t>
  </si>
  <si>
    <t>1972-10-18 00:00:00.000</t>
  </si>
  <si>
    <t>2020-12-05 00:00:00.000</t>
  </si>
  <si>
    <t>Elşən İsmayılov</t>
  </si>
  <si>
    <t>1974-09-09 00:00:00.000</t>
  </si>
  <si>
    <t>2021-12-11 00:00:00.000</t>
  </si>
  <si>
    <t>1996-08-28 00:00:00.000</t>
  </si>
  <si>
    <t>2019-07-25 00:00:00.000</t>
  </si>
  <si>
    <t>2019-12-20 00:00:00.000</t>
  </si>
  <si>
    <t>1999-12-22 00:00:00.000</t>
  </si>
  <si>
    <t>2021-06-21 00:00:00.000</t>
  </si>
  <si>
    <t>1998-07-08 00:00:00.000</t>
  </si>
  <si>
    <t>2023-05-15 00:00:00.000</t>
  </si>
  <si>
    <t>Vüqar İsmayılov</t>
  </si>
  <si>
    <t>1968-09-23 00:00:00.000</t>
  </si>
  <si>
    <t>2022-03-03 00:00:00.000</t>
  </si>
  <si>
    <t>Ceyhun Musayev</t>
  </si>
  <si>
    <t>1984-04-23 00:00:00.000</t>
  </si>
  <si>
    <t>2024-12-22 00:00:00.000</t>
  </si>
  <si>
    <t>2001-02-07 00:00:00.000</t>
  </si>
  <si>
    <t>2020-12-24 00:00:00.000</t>
  </si>
  <si>
    <t>1997-11-13 00:00:00.000</t>
  </si>
  <si>
    <t>1992-08-01 00:00:00.000</t>
  </si>
  <si>
    <t>2023-11-01 00:00:00.000</t>
  </si>
  <si>
    <t>Türkan Nəbiyev</t>
  </si>
  <si>
    <t>1981-05-03 00:00:00.000</t>
  </si>
  <si>
    <t>2020-02-20 00:00:00.000</t>
  </si>
  <si>
    <t>1967-05-08 00:00:00.000</t>
  </si>
  <si>
    <t>2020-09-30 00:00:00.000</t>
  </si>
  <si>
    <t>1990-05-13 00:00:00.000</t>
  </si>
  <si>
    <t>1997-01-27 00:00:00.000</t>
  </si>
  <si>
    <t>2023-10-18 00:00:00.000</t>
  </si>
  <si>
    <t>Ülviyyə Rəhimov</t>
  </si>
  <si>
    <t>1985-10-17 00:00:00.000</t>
  </si>
  <si>
    <t>2021-01-26 00:00:00.000</t>
  </si>
  <si>
    <t>Nigar Rzayev</t>
  </si>
  <si>
    <t>1990-06-18 00:00:00.000</t>
  </si>
  <si>
    <t>2023-09-12 00:00:00.000</t>
  </si>
  <si>
    <t>Xəyalə İsmayılov</t>
  </si>
  <si>
    <t>2004-07-25 00:00:00.000</t>
  </si>
  <si>
    <t>2019-05-10 00:00:00.000</t>
  </si>
  <si>
    <t>Rəşad Məmmədov</t>
  </si>
  <si>
    <t>2003-03-19 00:00:00.000</t>
  </si>
  <si>
    <t>2020-11-23 00:00:00.000</t>
  </si>
  <si>
    <t>1988-04-22 00:00:00.000</t>
  </si>
  <si>
    <t>1981-03-04 00:00:00.000</t>
  </si>
  <si>
    <t>2022-11-05 00:00:00.000</t>
  </si>
  <si>
    <t>Elşən Məmmədov</t>
  </si>
  <si>
    <t>1979-09-29 00:00:00.000</t>
  </si>
  <si>
    <t>2020-02-22 00:00:00.000</t>
  </si>
  <si>
    <t>Rəşad Kərimov</t>
  </si>
  <si>
    <t>1968-12-22 00:00:00.000</t>
  </si>
  <si>
    <t>2024-07-09 00:00:00.000</t>
  </si>
  <si>
    <t>2004-06-29 00:00:00.000</t>
  </si>
  <si>
    <t>2000-05-23 00:00:00.000</t>
  </si>
  <si>
    <t>1985-04-03 00:00:00.000</t>
  </si>
  <si>
    <t>2020-12-08 00:00:00.000</t>
  </si>
  <si>
    <t>Aysel Bağırov</t>
  </si>
  <si>
    <t>1998-12-21 00:00:00.000</t>
  </si>
  <si>
    <t>2022-10-30 00:00:00.000</t>
  </si>
  <si>
    <t>Orxan Nəbiyev</t>
  </si>
  <si>
    <t>1967-06-26 00:00:00.000</t>
  </si>
  <si>
    <t>2020-12-17 00:00:00.000</t>
  </si>
  <si>
    <t>1992-01-18 00:00:00.000</t>
  </si>
  <si>
    <t>2020-03-01 00:00:00.000</t>
  </si>
  <si>
    <t>1974-09-29 00:00:00.000</t>
  </si>
  <si>
    <t>2024-11-27 00:00:00.000</t>
  </si>
  <si>
    <t>Toğrul Əzizov</t>
  </si>
  <si>
    <t>1967-05-15 00:00:00.000</t>
  </si>
  <si>
    <t>2019-04-03 00:00:00.000</t>
  </si>
  <si>
    <t>1997-07-05 00:00:00.000</t>
  </si>
  <si>
    <t>2024-10-18 00:00:00.000</t>
  </si>
  <si>
    <t>Sevinc Quliyev</t>
  </si>
  <si>
    <t>1985-09-04 00:00:00.000</t>
  </si>
  <si>
    <t>2021-02-03 00:00:00.000</t>
  </si>
  <si>
    <t>Aynur Əliyev</t>
  </si>
  <si>
    <t>2019-07-11 00:00:00.000</t>
  </si>
  <si>
    <t>1979-10-06 00:00:00.000</t>
  </si>
  <si>
    <t>1971-06-12 00:00:00.000</t>
  </si>
  <si>
    <t>2021-06-01 00:00:00.000</t>
  </si>
  <si>
    <t>1978-05-13 00:00:00.000</t>
  </si>
  <si>
    <t>2024-10-29 00:00:00.000</t>
  </si>
  <si>
    <t>Murad Bağırov</t>
  </si>
  <si>
    <t>1970-03-08 00:00:00.000</t>
  </si>
  <si>
    <t>2019-08-23 00:00:00.000</t>
  </si>
  <si>
    <t>1995-01-23 00:00:00.000</t>
  </si>
  <si>
    <t>1967-05-22 00:00:00.000</t>
  </si>
  <si>
    <t>2024-12-25 00:00:00.000</t>
  </si>
  <si>
    <t>1985-07-31 00:00:00.000</t>
  </si>
  <si>
    <t>2020-08-19 00:00:00.000</t>
  </si>
  <si>
    <t>Vüqar Kərimov</t>
  </si>
  <si>
    <t>1985-05-22 00:00:00.000</t>
  </si>
  <si>
    <t>2022-01-05 00:00:00.000</t>
  </si>
  <si>
    <t>1965-01-21 00:00:00.000</t>
  </si>
  <si>
    <t>2024-06-12 00:00:00.000</t>
  </si>
  <si>
    <t>1967-07-06 00:00:00.000</t>
  </si>
  <si>
    <t>2020-05-16 00:00:00.000</t>
  </si>
  <si>
    <t>1980-03-03 00:00:00.000</t>
  </si>
  <si>
    <t>Aynur Həsənov</t>
  </si>
  <si>
    <t>1986-04-02 00:00:00.000</t>
  </si>
  <si>
    <t>2021-10-22 00:00:00.000</t>
  </si>
  <si>
    <t>Vüqar Əliyev</t>
  </si>
  <si>
    <t>2001-03-22 00:00:00.000</t>
  </si>
  <si>
    <t>2019-06-17 00:00:00.000</t>
  </si>
  <si>
    <t>Lalə Kərimov</t>
  </si>
  <si>
    <t>1985-01-19 00:00:00.000</t>
  </si>
  <si>
    <t>2021-09-17 00:00:00.000</t>
  </si>
  <si>
    <t>1975-07-18 00:00:00.000</t>
  </si>
  <si>
    <t>1980-01-18 00:00:00.000</t>
  </si>
  <si>
    <t>2019-05-03 00:00:00.000</t>
  </si>
  <si>
    <t>Aynur Novruzov</t>
  </si>
  <si>
    <t>1977-03-21 00:00:00.000</t>
  </si>
  <si>
    <t>1973-07-19 00:00:00.000</t>
  </si>
  <si>
    <t>Nərgiz Sadıqov</t>
  </si>
  <si>
    <t>1966-12-09 00:00:00.000</t>
  </si>
  <si>
    <t>2019-08-02 00:00:00.000</t>
  </si>
  <si>
    <t>1970-04-18 00:00:00.000</t>
  </si>
  <si>
    <t>1969-08-10 00:00:00.000</t>
  </si>
  <si>
    <t>2022-02-05 00:00:00.000</t>
  </si>
  <si>
    <t>Fidan Abbasov</t>
  </si>
  <si>
    <t>2003-03-14 00:00:00.000</t>
  </si>
  <si>
    <t>2024-03-13 00:00:00.000</t>
  </si>
  <si>
    <t>1971-02-14 00:00:00.000</t>
  </si>
  <si>
    <t>2024-02-16 00:00:00.000</t>
  </si>
  <si>
    <t>1966-05-12 00:00:00.000</t>
  </si>
  <si>
    <t>Lalə Rəhimov</t>
  </si>
  <si>
    <t>2000-08-23 00:00:00.000</t>
  </si>
  <si>
    <t>Aynur Məmmədov</t>
  </si>
  <si>
    <t>2003-07-15 00:00:00.000</t>
  </si>
  <si>
    <t>2022-06-12 00:00:00.000</t>
  </si>
  <si>
    <t>Zeynəb Həsənov</t>
  </si>
  <si>
    <t>1974-01-17 00:00:00.000</t>
  </si>
  <si>
    <t>2020-01-26 00:00:00.000</t>
  </si>
  <si>
    <t>Ramin Hüseynov</t>
  </si>
  <si>
    <t>1968-02-25 00:00:00.000</t>
  </si>
  <si>
    <t>1983-08-14 00:00:00.000</t>
  </si>
  <si>
    <t>2020-01-31 00:00:00.000</t>
  </si>
  <si>
    <t>1982-03-08 00:00:00.000</t>
  </si>
  <si>
    <t>2021-03-16 00:00:00.000</t>
  </si>
  <si>
    <t>1994-08-11 00:00:00.000</t>
  </si>
  <si>
    <t>2024-05-19 00:00:00.000</t>
  </si>
  <si>
    <t>1971-12-08 00:00:00.000</t>
  </si>
  <si>
    <t>2022-06-08 00:00:00.000</t>
  </si>
  <si>
    <t>Tural Cəfərov</t>
  </si>
  <si>
    <t>1995-03-14 00:00:00.000</t>
  </si>
  <si>
    <t>2023-09-19 00:00:00.000</t>
  </si>
  <si>
    <t>Röya Bağırov</t>
  </si>
  <si>
    <t>1986-11-02 00:00:00.000</t>
  </si>
  <si>
    <t>2022-09-14 00:00:00.000</t>
  </si>
  <si>
    <t>Fərid Əzizov</t>
  </si>
  <si>
    <t>1983-11-14 00:00:00.000</t>
  </si>
  <si>
    <t>Vüqar Musayev</t>
  </si>
  <si>
    <t>1995-02-12 00:00:00.000</t>
  </si>
  <si>
    <t>2021-04-21 00:00:00.000</t>
  </si>
  <si>
    <t>Vüqar Quliyev</t>
  </si>
  <si>
    <t>1971-03-03 00:00:00.000</t>
  </si>
  <si>
    <t>Kamran Həsənov</t>
  </si>
  <si>
    <t>1985-08-05 00:00:00.000</t>
  </si>
  <si>
    <t>2024-01-27 00:00:00.000</t>
  </si>
  <si>
    <t>1971-01-08 00:00:00.000</t>
  </si>
  <si>
    <t>2022-06-17 00:00:00.000</t>
  </si>
  <si>
    <t>1971-10-28 00:00:00.000</t>
  </si>
  <si>
    <t>2023-10-24 00:00:00.000</t>
  </si>
  <si>
    <t>1998-05-31 00:00:00.000</t>
  </si>
  <si>
    <t>2021-10-24 00:00:00.000</t>
  </si>
  <si>
    <t>1981-12-11 00:00:00.000</t>
  </si>
  <si>
    <t>2023-08-01 00:00:00.000</t>
  </si>
  <si>
    <t>Aynur Tağıyev</t>
  </si>
  <si>
    <t>2003-06-03 00:00:00.000</t>
  </si>
  <si>
    <t>2024-05-07 00:00:00.000</t>
  </si>
  <si>
    <t>1965-11-01 00:00:00.000</t>
  </si>
  <si>
    <t>2021-06-03 00:00:00.000</t>
  </si>
  <si>
    <t>1977-08-08 00:00:00.000</t>
  </si>
  <si>
    <t>2021-11-22 00:00:00.000</t>
  </si>
  <si>
    <t>Emin Kərimov</t>
  </si>
  <si>
    <t>1978-08-18 00:00:00.000</t>
  </si>
  <si>
    <t>1992-10-07 00:00:00.000</t>
  </si>
  <si>
    <t>2023-03-01 00:00:00.000</t>
  </si>
  <si>
    <t>Murad Rzayev</t>
  </si>
  <si>
    <t>1999-11-25 00:00:00.000</t>
  </si>
  <si>
    <t>2021-01-07 00:00:00.000</t>
  </si>
  <si>
    <t>Tural Orucov</t>
  </si>
  <si>
    <t>1974-11-08 00:00:00.000</t>
  </si>
  <si>
    <t>2022-11-15 00:00:00.000</t>
  </si>
  <si>
    <t>1968-11-30 00:00:00.000</t>
  </si>
  <si>
    <t>2023-06-20 00:00:00.000</t>
  </si>
  <si>
    <t>Səbinə Quliyev</t>
  </si>
  <si>
    <t>1997-09-26 00:00:00.000</t>
  </si>
  <si>
    <t>1978-01-23 00:00:00.000</t>
  </si>
  <si>
    <t>1978-08-05 00:00:00.000</t>
  </si>
  <si>
    <t>2023-12-28 00:00:00.000</t>
  </si>
  <si>
    <t>Sevinc Novruzov</t>
  </si>
  <si>
    <t>1968-04-08 00:00:00.000</t>
  </si>
  <si>
    <t>1998-01-28 00:00:00.000</t>
  </si>
  <si>
    <t>Şəbnəm Vəliyev</t>
  </si>
  <si>
    <t>2022-01-13 00:00:00.000</t>
  </si>
  <si>
    <t>1988-01-28 00:00:00.000</t>
  </si>
  <si>
    <t>2021-10-21 00:00:00.000</t>
  </si>
  <si>
    <t>2024-11-17 00:00:00.000</t>
  </si>
  <si>
    <t>1997-12-12 00:00:00.000</t>
  </si>
  <si>
    <t>2022-08-25 00:00:00.000</t>
  </si>
  <si>
    <t>1978-07-11 00:00:00.000</t>
  </si>
  <si>
    <t>2022-07-30 00:00:00.000</t>
  </si>
  <si>
    <t>1993-05-01 00:00:00.000</t>
  </si>
  <si>
    <t>2024-12-02 00:00:00.000</t>
  </si>
  <si>
    <t>Tural Rzayev</t>
  </si>
  <si>
    <t>1982-09-07 00:00:00.000</t>
  </si>
  <si>
    <t>1969-08-05 00:00:00.000</t>
  </si>
  <si>
    <t>2020-09-07 00:00:00.000</t>
  </si>
  <si>
    <t>Tural Tağıyev</t>
  </si>
  <si>
    <t>1967-08-03 00:00:00.000</t>
  </si>
  <si>
    <t>2024-09-11 00:00:00.000</t>
  </si>
  <si>
    <t>2003-09-07 00:00:00.000</t>
  </si>
  <si>
    <t>2024-12-03 00:00:00.000</t>
  </si>
  <si>
    <t>2003-09-13 00:00:00.000</t>
  </si>
  <si>
    <t>2000-02-02 00:00:00.000</t>
  </si>
  <si>
    <t>2002-06-21 00:00:00.000</t>
  </si>
  <si>
    <t>1978-11-20 00:00:00.000</t>
  </si>
  <si>
    <t>2020-10-03 00:00:00.000</t>
  </si>
  <si>
    <t>Ceyhun Əliyev</t>
  </si>
  <si>
    <t>1970-12-09 00:00:00.000</t>
  </si>
  <si>
    <t>2024-10-10 00:00:00.000</t>
  </si>
  <si>
    <t>1969-12-15 00:00:00.000</t>
  </si>
  <si>
    <t>2000-01-17 00:00:00.000</t>
  </si>
  <si>
    <t>1970-06-25 00:00:00.000</t>
  </si>
  <si>
    <t>1996-06-09 00:00:00.000</t>
  </si>
  <si>
    <t>2024-07-20 00:00:00.000</t>
  </si>
  <si>
    <t>Türkan İsmayılov</t>
  </si>
  <si>
    <t>1983-07-18 00:00:00.000</t>
  </si>
  <si>
    <t>2021-05-19 00:00:00.000</t>
  </si>
  <si>
    <t>Ramin Rəhimov</t>
  </si>
  <si>
    <t>1996-01-02 00:00:00.000</t>
  </si>
  <si>
    <t>2021-11-04 00:00:00.000</t>
  </si>
  <si>
    <t>Zaur Həsənov</t>
  </si>
  <si>
    <t>1989-08-24 00:00:00.000</t>
  </si>
  <si>
    <t>2019-09-24 00:00:00.000</t>
  </si>
  <si>
    <t>1968-11-18 00:00:00.000</t>
  </si>
  <si>
    <t>1973-05-14 00:00:00.000</t>
  </si>
  <si>
    <t>2021-07-09 00:00:00.000</t>
  </si>
  <si>
    <t>1972-09-22 00:00:00.000</t>
  </si>
  <si>
    <t>1966-11-29 00:00:00.000</t>
  </si>
  <si>
    <t>2021-02-21 00:00:00.000</t>
  </si>
  <si>
    <t>1969-08-12 00:00:00.000</t>
  </si>
  <si>
    <t>2000-10-03 00:00:00.000</t>
  </si>
  <si>
    <t>2000-10-17 00:00:00.000</t>
  </si>
  <si>
    <t>2021-09-19 00:00:00.000</t>
  </si>
  <si>
    <t>1968-01-08 00:00:00.000</t>
  </si>
  <si>
    <t>1971-07-26 00:00:00.000</t>
  </si>
  <si>
    <t>1973-07-23 00:00:00.000</t>
  </si>
  <si>
    <t>2020-01-22 00:00:00.000</t>
  </si>
  <si>
    <t>1997-05-22 00:00:00.000</t>
  </si>
  <si>
    <t>2023-01-20 00:00:00.000</t>
  </si>
  <si>
    <t>Zeynəb Quliyev</t>
  </si>
  <si>
    <t>1984-07-01 00:00:00.000</t>
  </si>
  <si>
    <t>2022-12-01 00:00:00.000</t>
  </si>
  <si>
    <t>2000-05-15 00:00:00.000</t>
  </si>
  <si>
    <t>1990-03-02 00:00:00.000</t>
  </si>
  <si>
    <t>1981-10-14 00:00:00.000</t>
  </si>
  <si>
    <t>2020-03-25 00:00:00.000</t>
  </si>
  <si>
    <t>Xəyalə Bağırov</t>
  </si>
  <si>
    <t>1968-11-25 00:00:00.000</t>
  </si>
  <si>
    <t>1983-05-28 00:00:00.000</t>
  </si>
  <si>
    <t>2023-12-29 00:00:00.000</t>
  </si>
  <si>
    <t>1993-09-18 00:00:00.000</t>
  </si>
  <si>
    <t>2020-08-28 00:00:00.000</t>
  </si>
  <si>
    <t>1999-04-22 00:00:00.000</t>
  </si>
  <si>
    <t>2023-02-08 00:00:00.000</t>
  </si>
  <si>
    <t>2000-05-12 00:00:00.000</t>
  </si>
  <si>
    <t>2024-11-29 00:00:00.000</t>
  </si>
  <si>
    <t>Səbinə Əliyev</t>
  </si>
  <si>
    <t>1999-12-25 00:00:00.000</t>
  </si>
  <si>
    <t>2019-01-30 00:00:00.000</t>
  </si>
  <si>
    <t>Kamran Hüseynov</t>
  </si>
  <si>
    <t>1984-03-30 00:00:00.000</t>
  </si>
  <si>
    <t>2020-05-17 00:00:00.000</t>
  </si>
  <si>
    <t>Rüfət Novruzov</t>
  </si>
  <si>
    <t>1976-05-27 00:00:00.000</t>
  </si>
  <si>
    <t>2023-06-21 00:00:00.000</t>
  </si>
  <si>
    <t>1997-09-24 00:00:00.000</t>
  </si>
  <si>
    <t>1976-08-03 00:00:00.000</t>
  </si>
  <si>
    <t>2024-03-20 00:00:00.000</t>
  </si>
  <si>
    <t>2001-07-15 00:00:00.000</t>
  </si>
  <si>
    <t>1994-03-30 00:00:00.000</t>
  </si>
  <si>
    <t>2024-08-02 00:00:00.000</t>
  </si>
  <si>
    <t>Vüqar Bağırov</t>
  </si>
  <si>
    <t>1979-07-11 00:00:00.000</t>
  </si>
  <si>
    <t>2019-02-02 00:00:00.000</t>
  </si>
  <si>
    <t>1968-12-24 00:00:00.000</t>
  </si>
  <si>
    <t>2024-06-02 00:00:00.000</t>
  </si>
  <si>
    <t>Samir Quliyev</t>
  </si>
  <si>
    <t>1998-01-10 00:00:00.000</t>
  </si>
  <si>
    <t>1976-04-02 00:00:00.000</t>
  </si>
  <si>
    <t>2024-03-16 00:00:00.000</t>
  </si>
  <si>
    <t>2024-06-01 00:00:00.000</t>
  </si>
  <si>
    <t>Ramin Məmmədov</t>
  </si>
  <si>
    <t>1975-10-31 00:00:00.000</t>
  </si>
  <si>
    <t>2021-08-20 00:00:00.000</t>
  </si>
  <si>
    <t>Səbinə Musayev</t>
  </si>
  <si>
    <t>2000-04-19 00:00:00.000</t>
  </si>
  <si>
    <t>2021-02-13 00:00:00.000</t>
  </si>
  <si>
    <t>Röya Novruzov</t>
  </si>
  <si>
    <t>1997-04-10 00:00:00.000</t>
  </si>
  <si>
    <t>2021-05-24 00:00:00.000</t>
  </si>
  <si>
    <t>2002-03-09 00:00:00.000</t>
  </si>
  <si>
    <t>2021-05-27 00:00:00.000</t>
  </si>
  <si>
    <t>1977-04-19 00:00:00.000</t>
  </si>
  <si>
    <t>2024-06-29 00:00:00.000</t>
  </si>
  <si>
    <t>1975-04-11 00:00:00.000</t>
  </si>
  <si>
    <t>2004-07-31 00:00:00.000</t>
  </si>
  <si>
    <t>1998-07-31 00:00:00.000</t>
  </si>
  <si>
    <t>2022-09-20 00:00:00.000</t>
  </si>
  <si>
    <t>Fuad Quliyev</t>
  </si>
  <si>
    <t>2023-02-05 00:00:00.000</t>
  </si>
  <si>
    <t>1971-07-15 00:00:00.000</t>
  </si>
  <si>
    <t>2020-06-23 00:00:00.000</t>
  </si>
  <si>
    <t>Rəşad Tağıyev</t>
  </si>
  <si>
    <t>1991-10-13 00:00:00.000</t>
  </si>
  <si>
    <t>2022-02-19 00:00:00.000</t>
  </si>
  <si>
    <t>1986-06-14 00:00:00.000</t>
  </si>
  <si>
    <t>1985-08-13 00:00:00.000</t>
  </si>
  <si>
    <t>2024-12-10 00:00:00.000</t>
  </si>
  <si>
    <t>1970-09-30 00:00:00.000</t>
  </si>
  <si>
    <t>1996-12-22 00:00:00.000</t>
  </si>
  <si>
    <t>2020-06-02 00:00:00.000</t>
  </si>
  <si>
    <t>1979-01-04 00:00:00.000</t>
  </si>
  <si>
    <t>2019-11-02 00:00:00.000</t>
  </si>
  <si>
    <t>1985-07-20 00:00:00.000</t>
  </si>
  <si>
    <t>1981-06-08 00:00:00.000</t>
  </si>
  <si>
    <t>2024-04-05 00:00:00.000</t>
  </si>
  <si>
    <t>2020-10-06 00:00:00.000</t>
  </si>
  <si>
    <t>1970-03-22 00:00:00.000</t>
  </si>
  <si>
    <t>2024-10-14 00:00:00.000</t>
  </si>
  <si>
    <t>LOAN_ID</t>
  </si>
  <si>
    <t>LOAN_TYPE</t>
  </si>
  <si>
    <t>LOAN_AMOUNT</t>
  </si>
  <si>
    <t>INTEREST_RATE</t>
  </si>
  <si>
    <t>TERM_MONTHS</t>
  </si>
  <si>
    <t>START_DATE</t>
  </si>
  <si>
    <t>STATUS</t>
  </si>
  <si>
    <t>DAYS_PAST_DUE</t>
  </si>
  <si>
    <t>FIXED-START_DATE</t>
  </si>
  <si>
    <t>FIXED_LOAN_AMOUNT</t>
  </si>
  <si>
    <t>Business Loan</t>
  </si>
  <si>
    <t>Active</t>
  </si>
  <si>
    <t>2020-05-20 00:00:00.000</t>
  </si>
  <si>
    <t>Personal Loan</t>
  </si>
  <si>
    <t>2025-06-17 00:00:00.000</t>
  </si>
  <si>
    <t>2024-11-07 00:00:00.000</t>
  </si>
  <si>
    <t>2021-09-24 00:00:00.000</t>
  </si>
  <si>
    <t>Closed</t>
  </si>
  <si>
    <t>2025-01-06 00:00:00.000</t>
  </si>
  <si>
    <t>Credit Card</t>
  </si>
  <si>
    <t>2025-05-30 00:00:00.000</t>
  </si>
  <si>
    <t>Mortgage</t>
  </si>
  <si>
    <t>2022-07-25 00:00:00.000</t>
  </si>
  <si>
    <t>2023-11-26 00:00:00.000</t>
  </si>
  <si>
    <t>Auto Loan</t>
  </si>
  <si>
    <t>2022-09-07 00:00:00.000</t>
  </si>
  <si>
    <t>2022-10-21 00:00:00.000</t>
  </si>
  <si>
    <t>Default</t>
  </si>
  <si>
    <t>2020-02-16 00:00:00.000</t>
  </si>
  <si>
    <t>2023-08-04 00:00:00.000</t>
  </si>
  <si>
    <t>2021-03-10 00:00:00.000</t>
  </si>
  <si>
    <t>2024-09-21 00:00:00.000</t>
  </si>
  <si>
    <t>2022-06-29 00:00:00.000</t>
  </si>
  <si>
    <t>2021-09-02 00:00:00.000</t>
  </si>
  <si>
    <t>2024-10-31 00:00:00.000</t>
  </si>
  <si>
    <t>2022-06-13 00:00:00.000</t>
  </si>
  <si>
    <t>2024-12-04 00:00:00.000</t>
  </si>
  <si>
    <t>2020-01-21 00:00:00.000</t>
  </si>
  <si>
    <t>2025-04-10 00:00:00.000</t>
  </si>
  <si>
    <t>2020-01-19 00:00:00.000</t>
  </si>
  <si>
    <t>2021-02-07 00:00:00.000</t>
  </si>
  <si>
    <t>2021-02-27 00:00:00.000</t>
  </si>
  <si>
    <t>2022-09-24 00:00:00.000</t>
  </si>
  <si>
    <t>2022-01-12 00:00:00.000</t>
  </si>
  <si>
    <t>2020-11-08 00:00:00.000</t>
  </si>
  <si>
    <t>2022-08-18 00:00:00.000</t>
  </si>
  <si>
    <t>2020-12-27 00:00:00.000</t>
  </si>
  <si>
    <t>2021-11-25 00:00:00.000</t>
  </si>
  <si>
    <t>2025-02-18 00:00:00.000</t>
  </si>
  <si>
    <t>2020-06-29 00:00:00.000</t>
  </si>
  <si>
    <t>2025-06-15 00:00:00.000</t>
  </si>
  <si>
    <t>2024-11-26 00:00:00.000</t>
  </si>
  <si>
    <t>2020-05-12 00:00:00.000</t>
  </si>
  <si>
    <t>2023-10-16 00:00:00.000</t>
  </si>
  <si>
    <t>2025-06-05 00:00:00.000</t>
  </si>
  <si>
    <t>2021-07-05 00:00:00.000</t>
  </si>
  <si>
    <t>2021-11-23 00:00:00.000</t>
  </si>
  <si>
    <t>2020-04-17 00:00:00.000</t>
  </si>
  <si>
    <t>2025-05-21 00:00:00.000</t>
  </si>
  <si>
    <t>2023-02-20 00:00:00.000</t>
  </si>
  <si>
    <t>2020-04-11 00:00:00.000</t>
  </si>
  <si>
    <t>2020-12-16 00:00:00.000</t>
  </si>
  <si>
    <t>2020-09-26 00:00:00.000</t>
  </si>
  <si>
    <t>2023-01-28 00:00:00.000</t>
  </si>
  <si>
    <t>2021-01-08 00:00:00.000</t>
  </si>
  <si>
    <t>2020-12-04 00:00:00.000</t>
  </si>
  <si>
    <t>2021-05-12 00:00:00.000</t>
  </si>
  <si>
    <t>2023-08-05 00:00:00.000</t>
  </si>
  <si>
    <t>2024-04-07 00:00:00.000</t>
  </si>
  <si>
    <t>2024-12-08 00:00:00.000</t>
  </si>
  <si>
    <t>2020-04-16 00:00:00.000</t>
  </si>
  <si>
    <t>2024-09-15 00:00:00.000</t>
  </si>
  <si>
    <t>2024-06-03 00:00:00.000</t>
  </si>
  <si>
    <t>2024-03-26 00:00:00.000</t>
  </si>
  <si>
    <t>2021-02-01 00:00:00.000</t>
  </si>
  <si>
    <t>2025-02-04 00:00:00.000</t>
  </si>
  <si>
    <t>2024-03-29 00:00:00.000</t>
  </si>
  <si>
    <t>2021-08-10 00:00:00.000</t>
  </si>
  <si>
    <t>2022-02-01 00:00:00.000</t>
  </si>
  <si>
    <t>2022-07-27 00:00:00.000</t>
  </si>
  <si>
    <t>2022-10-02 00:00:00.000</t>
  </si>
  <si>
    <t>2023-05-19 00:00:00.000</t>
  </si>
  <si>
    <t>2023-06-22 00:00:00.000</t>
  </si>
  <si>
    <t>2025-05-16 00:00:00.000</t>
  </si>
  <si>
    <t>2024-09-17 00:00:00.000</t>
  </si>
  <si>
    <t>2023-09-09 00:00:00.000</t>
  </si>
  <si>
    <t>2025-02-09 00:00:00.000</t>
  </si>
  <si>
    <t>2025-06-03 00:00:00.000</t>
  </si>
  <si>
    <t>2023-01-09 00:00:00.000</t>
  </si>
  <si>
    <t>2020-06-09 00:00:00.000</t>
  </si>
  <si>
    <t>2021-11-05 00:00:00.000</t>
  </si>
  <si>
    <t>2021-08-02 00:00:00.000</t>
  </si>
  <si>
    <t>2022-03-07 00:00:00.000</t>
  </si>
  <si>
    <t>2025-03-30 00:00:00.000</t>
  </si>
  <si>
    <t>2022-08-15 00:00:00.000</t>
  </si>
  <si>
    <t>2025-05-27 00:00:00.000</t>
  </si>
  <si>
    <t>2023-05-23 00:00:00.000</t>
  </si>
  <si>
    <t>2020-09-17 00:00:00.000</t>
  </si>
  <si>
    <t>2024-03-22 00:00:00.000</t>
  </si>
  <si>
    <t>2025-05-24 00:00:00.000</t>
  </si>
  <si>
    <t>2021-12-22 00:00:00.000</t>
  </si>
  <si>
    <t>2021-08-30 00:00:00.000</t>
  </si>
  <si>
    <t>2024-03-23 00:00:00.000</t>
  </si>
  <si>
    <t>2022-05-15 00:00:00.000</t>
  </si>
  <si>
    <t>2023-05-03 00:00:00.000</t>
  </si>
  <si>
    <t>2022-09-28 00:00:00.000</t>
  </si>
  <si>
    <t>2023-11-25 00:00:00.000</t>
  </si>
  <si>
    <t>2022-11-19 00:00:00.000</t>
  </si>
  <si>
    <t>2022-07-22 00:00:00.000</t>
  </si>
  <si>
    <t>2021-03-20 00:00:00.000</t>
  </si>
  <si>
    <t>2023-04-19 00:00:00.000</t>
  </si>
  <si>
    <t>2023-05-01 00:00:00.000</t>
  </si>
  <si>
    <t>2021-12-25 00:00:00.000</t>
  </si>
  <si>
    <t>2025-04-26 00:00:00.000</t>
  </si>
  <si>
    <t>2021-08-14 00:00:00.000</t>
  </si>
  <si>
    <t>2022-06-10 00:00:00.000</t>
  </si>
  <si>
    <t>2025-01-30 00:00:00.000</t>
  </si>
  <si>
    <t>2023-10-29 00:00:00.000</t>
  </si>
  <si>
    <t>2024-01-23 00:00:00.000</t>
  </si>
  <si>
    <t>2023-04-09 00:00:00.000</t>
  </si>
  <si>
    <t>2023-09-24 00:00:00.000</t>
  </si>
  <si>
    <t>2022-12-27 00:00:00.000</t>
  </si>
  <si>
    <t>2021-11-08 00:00:00.000</t>
  </si>
  <si>
    <t>2022-04-18 00:00:00.000</t>
  </si>
  <si>
    <t>2021-03-28 00:00:00.000</t>
  </si>
  <si>
    <t>2022-09-02 00:00:00.000</t>
  </si>
  <si>
    <t>2025-06-13 00:00:00.000</t>
  </si>
  <si>
    <t>2022-08-12 00:00:00.000</t>
  </si>
  <si>
    <t>2025-04-20 00:00:00.000</t>
  </si>
  <si>
    <t>2021-03-11 00:00:00.000</t>
  </si>
  <si>
    <t>2025-04-14 00:00:00.000</t>
  </si>
  <si>
    <t>2021-05-21 00:00:00.000</t>
  </si>
  <si>
    <t>2021-10-17 00:00:00.000</t>
  </si>
  <si>
    <t>2021-11-28 00:00:00.000</t>
  </si>
  <si>
    <t>2025-01-03 00:00:00.000</t>
  </si>
  <si>
    <t>2025-03-27 00:00:00.000</t>
  </si>
  <si>
    <t>2025-05-28 00:00:00.000</t>
  </si>
  <si>
    <t>2024-08-08 00:00:00.000</t>
  </si>
  <si>
    <t>2021-09-11 00:00:00.000</t>
  </si>
  <si>
    <t>2024-04-13 00:00:00.000</t>
  </si>
  <si>
    <t>2022-05-09 00:00:00.000</t>
  </si>
  <si>
    <t>2024-11-15 00:00:00.000</t>
  </si>
  <si>
    <t>2025-01-11 00:00:00.000</t>
  </si>
  <si>
    <t>2020-10-01 00:00:00.000</t>
  </si>
  <si>
    <t>2023-03-10 00:00:00.000</t>
  </si>
  <si>
    <t>2022-06-09 00:00:00.000</t>
  </si>
  <si>
    <t>2022-06-18 00:00:00.000</t>
  </si>
  <si>
    <t>2025-01-13 00:00:00.000</t>
  </si>
  <si>
    <t>2021-05-08 00:00:00.000</t>
  </si>
  <si>
    <t>2023-03-19 00:00:00.000</t>
  </si>
  <si>
    <t>2024-08-23 00:00:00.000</t>
  </si>
  <si>
    <t>2023-05-10 00:00:00.000</t>
  </si>
  <si>
    <t>2025-02-22 00:00:00.000</t>
  </si>
  <si>
    <t>2020-07-22 00:00:00.000</t>
  </si>
  <si>
    <t>2022-04-05 00:00:00.000</t>
  </si>
  <si>
    <t>2025-02-20 00:00:00.000</t>
  </si>
  <si>
    <t>2024-03-12 00:00:00.000</t>
  </si>
  <si>
    <t>2022-10-04 00:00:00.000</t>
  </si>
  <si>
    <t>2020-07-04 00:00:00.000</t>
  </si>
  <si>
    <t>2020-02-28 00:00:00.000</t>
  </si>
  <si>
    <t>2024-03-01 00:00:00.000</t>
  </si>
  <si>
    <t>2021-06-10 00:00:00.000</t>
  </si>
  <si>
    <t>2020-07-20 00:00:00.000</t>
  </si>
  <si>
    <t>2025-02-02 00:00:00.000</t>
  </si>
  <si>
    <t>2022-02-12 00:00:00.000</t>
  </si>
  <si>
    <t>2024-06-05 00:00:00.000</t>
  </si>
  <si>
    <t>2020-12-26 00:00:00.000</t>
  </si>
  <si>
    <t>2024-06-27 00:00:00.000</t>
  </si>
  <si>
    <t>2021-11-06 00:00:00.000</t>
  </si>
  <si>
    <t>2021-12-18 00:00:00.000</t>
  </si>
  <si>
    <t>2024-08-19 00:00:00.000</t>
  </si>
  <si>
    <t>2021-10-09 00:00:00.000</t>
  </si>
  <si>
    <t>2025-04-22 00:00:00.000</t>
  </si>
  <si>
    <t>2024-12-15 00:00:00.000</t>
  </si>
  <si>
    <t>2023-08-17 00:00:00.000</t>
  </si>
  <si>
    <t>2025-01-16 00:00:00.000</t>
  </si>
  <si>
    <t>2024-07-18 00:00:00.000</t>
  </si>
  <si>
    <t>2023-04-27 00:00:00.000</t>
  </si>
  <si>
    <t>2023-08-02 00:00:00.000</t>
  </si>
  <si>
    <t>2023-08-23 00:00:00.000</t>
  </si>
  <si>
    <t>2022-02-21 00:00:00.000</t>
  </si>
  <si>
    <t>2024-10-04 00:00:00.000</t>
  </si>
  <si>
    <t>2020-04-21 00:00:00.000</t>
  </si>
  <si>
    <t>2020-04-15 00:00:00.000</t>
  </si>
  <si>
    <t>2024-04-18 00:00:00.000</t>
  </si>
  <si>
    <t>2020-07-14 00:00:00.000</t>
  </si>
  <si>
    <t>2020-08-26 00:00:00.000</t>
  </si>
  <si>
    <t>2023-12-23 00:00:00.000</t>
  </si>
  <si>
    <t>2023-04-30 00:00:00.000</t>
  </si>
  <si>
    <t>2023-08-14 00:00:00.000</t>
  </si>
  <si>
    <t>2023-07-30 00:00:00.000</t>
  </si>
  <si>
    <t>2021-06-08 00:00:00.000</t>
  </si>
  <si>
    <t>2023-01-30 00:00:00.000</t>
  </si>
  <si>
    <t>2024-10-06 00:00:00.000</t>
  </si>
  <si>
    <t>2023-03-22 00:00:00.000</t>
  </si>
  <si>
    <t>2024-05-31 00:00:00.000</t>
  </si>
  <si>
    <t>2022-03-18 00:00:00.000</t>
  </si>
  <si>
    <t>2022-10-03 00:00:00.000</t>
  </si>
  <si>
    <t>2023-03-31 00:00:00.000</t>
  </si>
  <si>
    <t>2022-04-20 00:00:00.000</t>
  </si>
  <si>
    <t>2024-10-01 00:00:00.000</t>
  </si>
  <si>
    <t>2021-07-07 00:00:00.000</t>
  </si>
  <si>
    <t>2024-12-26 00:00:00.000</t>
  </si>
  <si>
    <t>2024-04-17 00:00:00.000</t>
  </si>
  <si>
    <t>2021-04-17 00:00:00.000</t>
  </si>
  <si>
    <t>2024-01-28 00:00:00.000</t>
  </si>
  <si>
    <t>2020-07-26 00:00:00.000</t>
  </si>
  <si>
    <t>2021-03-15 00:00:00.000</t>
  </si>
  <si>
    <t>2024-12-24 00:00:00.000</t>
  </si>
  <si>
    <t>2021-03-17 00:00:00.000</t>
  </si>
  <si>
    <t>2024-01-09 00:00:00.000</t>
  </si>
  <si>
    <t>2021-04-19 00:00:00.000</t>
  </si>
  <si>
    <t>2022-07-11 00:00:00.000</t>
  </si>
  <si>
    <t>2025-03-25 00:00:00.000</t>
  </si>
  <si>
    <t>2021-12-05 00:00:00.000</t>
  </si>
  <si>
    <t>2024-07-31 00:00:00.000</t>
  </si>
  <si>
    <t>2024-12-14 00:00:00.000</t>
  </si>
  <si>
    <t>2024-04-25 00:00:00.000</t>
  </si>
  <si>
    <t>2022-07-21 00:00:00.000</t>
  </si>
  <si>
    <t>2020-11-01 00:00:00.000</t>
  </si>
  <si>
    <t>2022-07-29 00:00:00.000</t>
  </si>
  <si>
    <t>2024-04-22 00:00:00.000</t>
  </si>
  <si>
    <t>2020-01-05 00:00:00.000</t>
  </si>
  <si>
    <t>2021-11-02 00:00:00.000</t>
  </si>
  <si>
    <t>2025-06-08 00:00:00.000</t>
  </si>
  <si>
    <t>2022-09-26 00:00:00.000</t>
  </si>
  <si>
    <t>2022-03-04 00:00:00.000</t>
  </si>
  <si>
    <t>2022-03-11 00:00:00.000</t>
  </si>
  <si>
    <t>2024-03-07 00:00:00.000</t>
  </si>
  <si>
    <t>2020-06-06 00:00:00.000</t>
  </si>
  <si>
    <t>2023-07-15 00:00:00.000</t>
  </si>
  <si>
    <t>2023-11-09 00:00:00.000</t>
  </si>
  <si>
    <t>2020-01-03 00:00:00.000</t>
  </si>
  <si>
    <t>2022-06-22 00:00:00.000</t>
  </si>
  <si>
    <t>2024-02-01 00:00:00.000</t>
  </si>
  <si>
    <t>2025-02-12 00:00:00.000</t>
  </si>
  <si>
    <t>2021-06-17 00:00:00.000</t>
  </si>
  <si>
    <t>2021-05-30 00:00:00.000</t>
  </si>
  <si>
    <t>2024-01-21 00:00:00.000</t>
  </si>
  <si>
    <t>2023-03-30 00:00:00.000</t>
  </si>
  <si>
    <t>2023-04-15 00:00:00.000</t>
  </si>
  <si>
    <t>2025-04-02 00:00:00.000</t>
  </si>
  <si>
    <t>2020-03-23 00:00:00.000</t>
  </si>
  <si>
    <t>2020-07-23 00:00:00.000</t>
  </si>
  <si>
    <t>2024-11-21 00:00:00.000</t>
  </si>
  <si>
    <t>2023-07-07 00:00:00.000</t>
  </si>
  <si>
    <t>2022-05-24 00:00:00.000</t>
  </si>
  <si>
    <t>2022-04-29 00:00:00.000</t>
  </si>
  <si>
    <t>2024-04-04 00:00:00.000</t>
  </si>
  <si>
    <t>2020-09-28 00:00:00.000</t>
  </si>
  <si>
    <t>2023-01-19 00:00:00.000</t>
  </si>
  <si>
    <t>2020-04-30 00:00:00.000</t>
  </si>
  <si>
    <t>2021-10-02 00:00:00.000</t>
  </si>
  <si>
    <t>2021-11-12 00:00:00.000</t>
  </si>
  <si>
    <t>2024-08-13 00:00:00.000</t>
  </si>
  <si>
    <t>2023-02-21 00:00:00.000</t>
  </si>
  <si>
    <t>2021-05-25 00:00:00.000</t>
  </si>
  <si>
    <t>2021-04-06 00:00:00.000</t>
  </si>
  <si>
    <t>2024-02-04 00:00:00.000</t>
  </si>
  <si>
    <t>2021-04-12 00:00:00.000</t>
  </si>
  <si>
    <t>2022-04-13 00:00:00.000</t>
  </si>
  <si>
    <t>2021-06-29 00:00:00.000</t>
  </si>
  <si>
    <t>2023-05-18 00:00:00.000</t>
  </si>
  <si>
    <t>2020-02-03 00:00:00.000</t>
  </si>
  <si>
    <t>2024-10-28 00:00:00.000</t>
  </si>
  <si>
    <t>2022-09-11 00:00:00.000</t>
  </si>
  <si>
    <t>2022-10-16 00:00:00.000</t>
  </si>
  <si>
    <t>2021-08-26 00:00:00.000</t>
  </si>
  <si>
    <t>2022-06-15 00:00:00.000</t>
  </si>
  <si>
    <t>2025-02-19 00:00:00.000</t>
  </si>
  <si>
    <t>2023-09-06 00:00:00.000</t>
  </si>
  <si>
    <t>2022-11-27 00:00:00.000</t>
  </si>
  <si>
    <t>2024-05-09 00:00:00.000</t>
  </si>
  <si>
    <t>2024-10-26 00:00:00.000</t>
  </si>
  <si>
    <t>2020-05-03 00:00:00.000</t>
  </si>
  <si>
    <t>2024-06-21 00:00:00.000</t>
  </si>
  <si>
    <t>2023-05-13 00:00:00.000</t>
  </si>
  <si>
    <t>2020-10-19 00:00:00.000</t>
  </si>
  <si>
    <t>2024-12-07 00:00:00.000</t>
  </si>
  <si>
    <t>2020-11-24 00:00:00.000</t>
  </si>
  <si>
    <t>2020-12-30 00:00:00.000</t>
  </si>
  <si>
    <t>2020-07-12 00:00:00.000</t>
  </si>
  <si>
    <t>2023-12-31 00:00:00.000</t>
  </si>
  <si>
    <t>2020-06-15 00:00:00.000</t>
  </si>
  <si>
    <t>2021-01-03 00:00:00.000</t>
  </si>
  <si>
    <t>2022-03-28 00:00:00.000</t>
  </si>
  <si>
    <t>2024-06-07 00:00:00.000</t>
  </si>
  <si>
    <t>2024-10-15 00:00:00.000</t>
  </si>
  <si>
    <t>2021-08-16 00:00:00.000</t>
  </si>
  <si>
    <t>2023-06-14 00:00:00.000</t>
  </si>
  <si>
    <t>2024-06-22 00:00:00.000</t>
  </si>
  <si>
    <t>2021-07-22 00:00:00.000</t>
  </si>
  <si>
    <t>2022-12-23 00:00:00.000</t>
  </si>
  <si>
    <t>2020-03-29 00:00:00.000</t>
  </si>
  <si>
    <t>2020-11-27 00:00:00.000</t>
  </si>
  <si>
    <t>2025-04-11 00:00:00.000</t>
  </si>
  <si>
    <t>2024-02-06 00:00:00.000</t>
  </si>
  <si>
    <t>2021-03-18 00:00:00.000</t>
  </si>
  <si>
    <t>2021-01-17 00:00:00.000</t>
  </si>
  <si>
    <t>2023-09-21 00:00:00.000</t>
  </si>
  <si>
    <t>2022-04-01 00:00:00.000</t>
  </si>
  <si>
    <t>2020-10-30 00:00:00.000</t>
  </si>
  <si>
    <t>2024-10-22 00:00:00.000</t>
  </si>
  <si>
    <t>2025-05-14 00:00:00.000</t>
  </si>
  <si>
    <t>2020-06-16 00:00:00.000</t>
  </si>
  <si>
    <t>2024-02-29 00:00:00.000</t>
  </si>
  <si>
    <t>2025-06-02 00:00:00.000</t>
  </si>
  <si>
    <t>2025-03-16 00:00:00.000</t>
  </si>
  <si>
    <t>2021-01-23 00:00:00.000</t>
  </si>
  <si>
    <t>2020-10-14 00:00:00.000</t>
  </si>
  <si>
    <t>2020-10-05 00:00:00.000</t>
  </si>
  <si>
    <t>2025-03-08 00:00:00.000</t>
  </si>
  <si>
    <t>2024-04-28 00:00:00.000</t>
  </si>
  <si>
    <t>2023-09-05 00:00:00.000</t>
  </si>
  <si>
    <t>2025-05-25 00:00:00.000</t>
  </si>
  <si>
    <t>2024-11-20 00:00:00.000</t>
  </si>
  <si>
    <t>2024-05-22 00:00:00.000</t>
  </si>
  <si>
    <t>2020-06-30 00:00:00.000</t>
  </si>
  <si>
    <t>2025-06-04 00:00:00.000</t>
  </si>
  <si>
    <t>2024-03-31 00:00:00.000</t>
  </si>
  <si>
    <t>2023-02-23 00:00:00.000</t>
  </si>
  <si>
    <t>2023-06-11 00:00:00.000</t>
  </si>
  <si>
    <t>2024-12-29 00:00:00.000</t>
  </si>
  <si>
    <t>2024-02-15 00:00:00.000</t>
  </si>
  <si>
    <t>2024-10-24 00:00:00.000</t>
  </si>
  <si>
    <t>2025-06-14 00:00:00.000</t>
  </si>
  <si>
    <t>2021-01-13 00:00:00.000</t>
  </si>
  <si>
    <t>2022-04-30 00:00:00.000</t>
  </si>
  <si>
    <t>2020-09-27 00:00:00.000</t>
  </si>
  <si>
    <t>2020-12-20 00:00:00.000</t>
  </si>
  <si>
    <t>2022-04-14 00:00:00.000</t>
  </si>
  <si>
    <t>2024-05-14 00:00:00.000</t>
  </si>
  <si>
    <t>2025-05-03 00:00:00.000</t>
  </si>
  <si>
    <t>2024-05-16 00:00:00.000</t>
  </si>
  <si>
    <t>2020-09-20 00:00:00.000</t>
  </si>
  <si>
    <t>2025-01-15 00:00:00.000</t>
  </si>
  <si>
    <t>2023-06-28 00:00:00.000</t>
  </si>
  <si>
    <t>2023-02-07 00:00:00.000</t>
  </si>
  <si>
    <t>2021-11-27 00:00:00.000</t>
  </si>
  <si>
    <t>2024-07-01 00:00:00.000</t>
  </si>
  <si>
    <t>2021-09-25 00:00:00.000</t>
  </si>
  <si>
    <t>2022-09-30 00:00:00.000</t>
  </si>
  <si>
    <t>2024-11-24 00:00:00.000</t>
  </si>
  <si>
    <t>2021-03-19 00:00:00.000</t>
  </si>
  <si>
    <t>2020-06-25 00:00:00.000</t>
  </si>
  <si>
    <t>2023-10-21 00:00:00.000</t>
  </si>
  <si>
    <t>2023-10-03 00:00:00.000</t>
  </si>
  <si>
    <t>2025-04-03 00:00:00.000</t>
  </si>
  <si>
    <t>2023-10-11 00:00:00.000</t>
  </si>
  <si>
    <t>2023-06-04 00:00:00.000</t>
  </si>
  <si>
    <t>2020-06-26 00:00:00.000</t>
  </si>
  <si>
    <t>2023-06-19 00:00:00.000</t>
  </si>
  <si>
    <t>2020-10-09 00:00:00.000</t>
  </si>
  <si>
    <t>2023-07-03 00:00:00.000</t>
  </si>
  <si>
    <t>2022-08-22 00:00:00.000</t>
  </si>
  <si>
    <t>2025-06-23 00:00:00.000</t>
  </si>
  <si>
    <t>2020-05-30 00:00:00.000</t>
  </si>
  <si>
    <t>2022-08-24 00:00:00.000</t>
  </si>
  <si>
    <t>2023-01-29 00:00:00.000</t>
  </si>
  <si>
    <t>2020-07-11 00:00:00.000</t>
  </si>
  <si>
    <t>2024-01-29 00:00:00.000</t>
  </si>
  <si>
    <t>2024-06-15 00:00:00.000</t>
  </si>
  <si>
    <t>2025-05-31 00:00:00.000</t>
  </si>
  <si>
    <t>2023-10-07 00:00:00.000</t>
  </si>
  <si>
    <t>2020-04-03 00:00:00.000</t>
  </si>
  <si>
    <t>2020-08-01 00:00:00.000</t>
  </si>
  <si>
    <t>2021-11-16 00:00:00.000</t>
  </si>
  <si>
    <t>2020-11-03 00:00:00.000</t>
  </si>
  <si>
    <t>2022-11-09 00:00:00.000</t>
  </si>
  <si>
    <t>2025-03-04 00:00:00.000</t>
  </si>
  <si>
    <t>2023-01-21 00:00:00.000</t>
  </si>
  <si>
    <t>2023-05-04 00:00:00.000</t>
  </si>
  <si>
    <t>2021-04-24 00:00:00.000</t>
  </si>
  <si>
    <t>2021-09-05 00:00:00.000</t>
  </si>
  <si>
    <t>2023-01-03 00:00:00.000</t>
  </si>
  <si>
    <t>2022-05-05 00:00:00.000</t>
  </si>
  <si>
    <t>2023-06-30 00:00:00.000</t>
  </si>
  <si>
    <t>2020-03-14 00:00:00.000</t>
  </si>
  <si>
    <t>2021-06-05 00:00:00.000</t>
  </si>
  <si>
    <t>2020-07-30 00:00:00.000</t>
  </si>
  <si>
    <t>2021-09-13 00:00:00.000</t>
  </si>
  <si>
    <t>2022-01-26 00:00:00.000</t>
  </si>
  <si>
    <t>2020-01-04 00:00:00.000</t>
  </si>
  <si>
    <t>2024-08-22 00:00:00.000</t>
  </si>
  <si>
    <t>2022-02-28 00:00:00.000</t>
  </si>
  <si>
    <t>2024-02-22 00:00:00.000</t>
  </si>
  <si>
    <t>2022-05-23 00:00:00.000</t>
  </si>
  <si>
    <t>2021-08-18 00:00:00.000</t>
  </si>
  <si>
    <t>2021-05-16 00:00:00.000</t>
  </si>
  <si>
    <t>2023-02-01 00:00:00.000</t>
  </si>
  <si>
    <t>2021-04-22 00:00:00.000</t>
  </si>
  <si>
    <t>2025-01-18 00:00:00.000</t>
  </si>
  <si>
    <t>2022-11-01 00:00:00.000</t>
  </si>
  <si>
    <t>2022-06-30 00:00:00.000</t>
  </si>
  <si>
    <t>2023-02-11 00:00:00.000</t>
  </si>
  <si>
    <t>2022-07-02 00:00:00.000</t>
  </si>
  <si>
    <t>2025-01-19 00:00:00.000</t>
  </si>
  <si>
    <t>2023-03-02 00:00:00.000</t>
  </si>
  <si>
    <t>2025-05-12 00:00:00.000</t>
  </si>
  <si>
    <t>2021-02-18 00:00:00.000</t>
  </si>
  <si>
    <t>2024-11-06 00:00:00.000</t>
  </si>
  <si>
    <t>2023-10-22 00:00:00.000</t>
  </si>
  <si>
    <t>2020-07-25 00:00:00.000</t>
  </si>
  <si>
    <t>2024-02-24 00:00:00.000</t>
  </si>
  <si>
    <t>2020-06-10 00:00:00.000</t>
  </si>
  <si>
    <t>2023-01-12 00:00:00.000</t>
  </si>
  <si>
    <t>2020-11-25 00:00:00.000</t>
  </si>
  <si>
    <t>2021-09-30 00:00:00.000</t>
  </si>
  <si>
    <t>2024-08-03 00:00:00.000</t>
  </si>
  <si>
    <t>2024-04-01 00:00:00.000</t>
  </si>
  <si>
    <t>2025-02-05 00:00:00.000</t>
  </si>
  <si>
    <t>2023-12-26 00:00:00.000</t>
  </si>
  <si>
    <t>2024-08-21 00:00:00.000</t>
  </si>
  <si>
    <t>2021-09-15 00:00:00.000</t>
  </si>
  <si>
    <t>2023-01-13 00:00:00.000</t>
  </si>
  <si>
    <t>2025-01-29 00:00:00.000</t>
  </si>
  <si>
    <t>2024-03-05 00:00:00.000</t>
  </si>
  <si>
    <t>2024-01-11 00:00:00.000</t>
  </si>
  <si>
    <t>2021-04-29 00:00:00.000</t>
  </si>
  <si>
    <t>2024-02-26 00:00:00.000</t>
  </si>
  <si>
    <t>2022-08-30 00:00:00.000</t>
  </si>
  <si>
    <t>2022-12-18 00:00:00.000</t>
  </si>
  <si>
    <t>2022-02-14 00:00:00.000</t>
  </si>
  <si>
    <t>2023-05-31 00:00:00.000</t>
  </si>
  <si>
    <t>2022-02-18 00:00:00.000</t>
  </si>
  <si>
    <t>2021-09-03 00:00:00.000</t>
  </si>
  <si>
    <t>2023-04-08 00:00:00.000</t>
  </si>
  <si>
    <t>2023-12-06 00:00:00.000</t>
  </si>
  <si>
    <t>2023-07-13 00:00:00.000</t>
  </si>
  <si>
    <t>2022-07-23 00:00:00.000</t>
  </si>
  <si>
    <t>2024-09-13 00:00:00.000</t>
  </si>
  <si>
    <t>2023-08-13 00:00:00.000</t>
  </si>
  <si>
    <t>2023-11-22 00:00:00.000</t>
  </si>
  <si>
    <t>2020-09-03 00:00:00.000</t>
  </si>
  <si>
    <t>2021-01-18 00:00:00.000</t>
  </si>
  <si>
    <t>2020-08-06 00:00:00.000</t>
  </si>
  <si>
    <t>2022-05-14 00:00:00.000</t>
  </si>
  <si>
    <t>2020-05-06 00:00:00.000</t>
  </si>
  <si>
    <t>2023-07-02 00:00:00.000</t>
  </si>
  <si>
    <t>2021-01-09 00:00:00.000</t>
  </si>
  <si>
    <t>2024-07-17 00:00:00.000</t>
  </si>
  <si>
    <t>2021-05-05 00:00:00.000</t>
  </si>
  <si>
    <t>2020-02-23 00:00:00.000</t>
  </si>
  <si>
    <t>2025-05-01 00:00:00.000</t>
  </si>
  <si>
    <t>2023-11-21 00:00:00.000</t>
  </si>
  <si>
    <t>2021-10-23 00:00:00.000</t>
  </si>
  <si>
    <t>2020-02-14 00:00:00.000</t>
  </si>
  <si>
    <t>2023-04-03 00:00:00.000</t>
  </si>
  <si>
    <t>2021-03-27 00:00:00.000</t>
  </si>
  <si>
    <t>2020-06-27 00:00:00.000</t>
  </si>
  <si>
    <t>2024-06-19 00:00:00.000</t>
  </si>
  <si>
    <t>2022-04-06 00:00:00.000</t>
  </si>
  <si>
    <t>2024-07-15 00:00:00.000</t>
  </si>
  <si>
    <t>2020-06-17 00:00:00.000</t>
  </si>
  <si>
    <t>2021-10-03 00:00:00.000</t>
  </si>
  <si>
    <t>2020-03-06 00:00:00.000</t>
  </si>
  <si>
    <t>2024-07-23 00:00:00.000</t>
  </si>
  <si>
    <t>2020-01-02 00:00:00.000</t>
  </si>
  <si>
    <t>2022-09-23 00:00:00.000</t>
  </si>
  <si>
    <t>2021-11-20 00:00:00.000</t>
  </si>
  <si>
    <t>2022-07-06 00:00:00.000</t>
  </si>
  <si>
    <t>2021-06-19 00:00:00.000</t>
  </si>
  <si>
    <t>2021-12-04 00:00:00.000</t>
  </si>
  <si>
    <t>2020-05-07 00:00:00.000</t>
  </si>
  <si>
    <t>2020-07-27 00:00:00.000</t>
  </si>
  <si>
    <t>2021-02-24 00:00:00.000</t>
  </si>
  <si>
    <t>2024-11-18 00:00:00.000</t>
  </si>
  <si>
    <t>2022-08-05 00:00:00.000</t>
  </si>
  <si>
    <t>2022-01-07 00:00:00.000</t>
  </si>
  <si>
    <t>2021-12-03 00:00:00.000</t>
  </si>
  <si>
    <t>2024-01-10 00:00:00.000</t>
  </si>
  <si>
    <t>2021-09-21 00:00:00.000</t>
  </si>
  <si>
    <t>2024-12-11 00:00:00.000</t>
  </si>
  <si>
    <t>2020-03-28 00:00:00.000</t>
  </si>
  <si>
    <t>2023-05-27 00:00:00.000</t>
  </si>
  <si>
    <t>2023-09-23 00:00:00.000</t>
  </si>
  <si>
    <t>2021-12-31 00:00:00.000</t>
  </si>
  <si>
    <t>2020-11-14 00:00:00.000</t>
  </si>
  <si>
    <t>2025-02-08 00:00:00.000</t>
  </si>
  <si>
    <t>2022-12-25 00:00:00.000</t>
  </si>
  <si>
    <t>2025-01-01 00:00:00.000</t>
  </si>
  <si>
    <t>2022-09-04 00:00:00.000</t>
  </si>
  <si>
    <t>2021-02-12 00:00:00.000</t>
  </si>
  <si>
    <t>2021-07-03 00:00:00.000</t>
  </si>
  <si>
    <t>2020-11-26 00:00:00.000</t>
  </si>
  <si>
    <t>2025-04-07 00:00:00.000</t>
  </si>
  <si>
    <t>2023-09-01 00:00:00.000</t>
  </si>
  <si>
    <t>2022-12-06 00:00:00.000</t>
  </si>
  <si>
    <t>2023-08-10 00:00:00.000</t>
  </si>
  <si>
    <t>2023-07-19 00:00:00.000</t>
  </si>
  <si>
    <t>2022-07-07 00:00:00.000</t>
  </si>
  <si>
    <t>2024-02-07 00:00:00.000</t>
  </si>
  <si>
    <t>2023-02-03 00:00:00.000</t>
  </si>
  <si>
    <t>2024-06-28 00:00:00.000</t>
  </si>
  <si>
    <t>2022-12-19 00:00:00.000</t>
  </si>
  <si>
    <t>2025-05-19 00:00:00.000</t>
  </si>
  <si>
    <t>2021-04-27 00:00:00.000</t>
  </si>
  <si>
    <t>2024-08-04 00:00:00.000</t>
  </si>
  <si>
    <t>2023-02-26 00:00:00.000</t>
  </si>
  <si>
    <t>2023-03-06 00:00:00.000</t>
  </si>
  <si>
    <t>2020-07-05 00:00:00.000</t>
  </si>
  <si>
    <t>2021-04-20 00:00:00.000</t>
  </si>
  <si>
    <t>2023-04-12 00:00:00.000</t>
  </si>
  <si>
    <t>2025-03-22 00:00:00.000</t>
  </si>
  <si>
    <t>2020-07-17 00:00:00.000</t>
  </si>
  <si>
    <t>2025-03-13 00:00:00.000</t>
  </si>
  <si>
    <t>2025-02-16 00:00:00.000</t>
  </si>
  <si>
    <t>2024-08-06 00:00:00.000</t>
  </si>
  <si>
    <t>2022-06-27 00:00:00.000</t>
  </si>
  <si>
    <t>2023-11-27 00:00:00.000</t>
  </si>
  <si>
    <t>2023-12-10 00:00:00.000</t>
  </si>
  <si>
    <t>2024-02-13 00:00:00.000</t>
  </si>
  <si>
    <t>2025-01-05 00:00:00.000</t>
  </si>
  <si>
    <t>2023-08-21 00:00:00.000</t>
  </si>
  <si>
    <t>2025-03-10 00:00:00.000</t>
  </si>
  <si>
    <t>2020-06-12 00:00:00.000</t>
  </si>
  <si>
    <t>2021-09-01 00:00:00.000</t>
  </si>
  <si>
    <t>2020-07-28 00:00:00.000</t>
  </si>
  <si>
    <t>2023-11-14 00:00:00.000</t>
  </si>
  <si>
    <t>2024-08-01 00:00:00.000</t>
  </si>
  <si>
    <t>2020-02-25 00:00:00.000</t>
  </si>
  <si>
    <t>2020-09-08 00:00:00.000</t>
  </si>
  <si>
    <t>2020-10-27 00:00:00.000</t>
  </si>
  <si>
    <t>2024-01-20 00:00:00.000</t>
  </si>
  <si>
    <t>2022-03-10 00:00:00.000</t>
  </si>
  <si>
    <t>2020-03-21 00:00:00.000</t>
  </si>
  <si>
    <t>2024-05-15 00:00:00.000</t>
  </si>
  <si>
    <t>2022-08-21 00:00:00.000</t>
  </si>
  <si>
    <t>2021-05-04 00:00:00.000</t>
  </si>
  <si>
    <t>2025-01-27 00:00:00.000</t>
  </si>
  <si>
    <t>2025-04-29 00:00:00.000</t>
  </si>
  <si>
    <t>2022-01-01 00:00:00.000</t>
  </si>
  <si>
    <t>2020-06-01 00:00:00.000</t>
  </si>
  <si>
    <t>2025-01-21 00:00:00.000</t>
  </si>
  <si>
    <t>2022-02-09 00:00:00.000</t>
  </si>
  <si>
    <t>2023-07-23 00:00:00.000</t>
  </si>
  <si>
    <t>2023-09-15 00:00:00.000</t>
  </si>
  <si>
    <t>2022-01-08 00:00:00.000</t>
  </si>
  <si>
    <t>2020-12-12 00:00:00.000</t>
  </si>
  <si>
    <t>2021-10-11 00:00:00.000</t>
  </si>
  <si>
    <t>2022-01-25 00:00:00.000</t>
  </si>
  <si>
    <t>2024-09-01 00:00:00.000</t>
  </si>
  <si>
    <t>2021-01-10 00:00:00.000</t>
  </si>
  <si>
    <t>2021-01-20 00:00:00.000</t>
  </si>
  <si>
    <t>2024-05-08 00:00:00.000</t>
  </si>
  <si>
    <t>2020-11-29 00:00:00.000</t>
  </si>
  <si>
    <t>2024-11-14 00:00:00.000</t>
  </si>
  <si>
    <t>2021-07-19 00:00:00.000</t>
  </si>
  <si>
    <t>2023-11-12 00:00:00.000</t>
  </si>
  <si>
    <t>2020-03-10 00:00:00.000</t>
  </si>
  <si>
    <t>2023-02-12 00:00:00.000</t>
  </si>
  <si>
    <t>2021-04-07 00:00:00.000</t>
  </si>
  <si>
    <t>2022-07-28 00:00:00.000</t>
  </si>
  <si>
    <t>2021-07-24 00:00:00.000</t>
  </si>
  <si>
    <t>2024-08-05 00:00:00.000</t>
  </si>
  <si>
    <t>2023-10-17 00:00:00.000</t>
  </si>
  <si>
    <t>2025-04-06 00:00:00.000</t>
  </si>
  <si>
    <t>2024-07-03 00:00:00.000</t>
  </si>
  <si>
    <t>2020-05-31 00:00:00.000</t>
  </si>
  <si>
    <t>2022-04-22 00:00:00.000</t>
  </si>
  <si>
    <t>2024-04-02 00:00:00.000</t>
  </si>
  <si>
    <t>2022-10-10 00:00:00.000</t>
  </si>
  <si>
    <t>2025-01-08 00:00:00.000</t>
  </si>
  <si>
    <t>2022-07-26 00:00:00.000</t>
  </si>
  <si>
    <t>2023-08-16 00:00:00.000</t>
  </si>
  <si>
    <t>2023-04-16 00:00:00.000</t>
  </si>
  <si>
    <t>2020-06-14 00:00:00.000</t>
  </si>
  <si>
    <t>2022-04-25 00:00:00.000</t>
  </si>
  <si>
    <t>2023-01-31 00:00:00.000</t>
  </si>
  <si>
    <t>2025-04-18 00:00:00.000</t>
  </si>
  <si>
    <t>2022-12-20 00:00:00.000</t>
  </si>
  <si>
    <t>2024-11-23 00:00:00.000</t>
  </si>
  <si>
    <t>2024-07-30 00:00:00.000</t>
  </si>
  <si>
    <t>2025-05-08 00:00:00.000</t>
  </si>
  <si>
    <t>2022-09-25 00:00:00.000</t>
  </si>
  <si>
    <t>2021-05-11 00:00:00.000</t>
  </si>
  <si>
    <t>2023-10-27 00:00:00.000</t>
  </si>
  <si>
    <t>2021-08-04 00:00:00.000</t>
  </si>
  <si>
    <t>2021-06-30 00:00:00.000</t>
  </si>
  <si>
    <t>2022-02-16 00:00:00.000</t>
  </si>
  <si>
    <t>2020-07-07 00:00:00.000</t>
  </si>
  <si>
    <t>2021-02-15 00:00:00.000</t>
  </si>
  <si>
    <t>2023-11-10 00:00:00.000</t>
  </si>
  <si>
    <t>2023-03-05 00:00:00.000</t>
  </si>
  <si>
    <t>2025-03-09 00:00:00.000</t>
  </si>
  <si>
    <t>2023-01-17 00:00:00.000</t>
  </si>
  <si>
    <t>2020-11-22 00:00:00.000</t>
  </si>
  <si>
    <t>2023-04-04 00:00:00.000</t>
  </si>
  <si>
    <t>2022-02-26 00:00:00.000</t>
  </si>
  <si>
    <t>2023-12-11 00:00:00.000</t>
  </si>
  <si>
    <t>2023-02-25 00:00:00.000</t>
  </si>
  <si>
    <t>2020-05-21 00:00:00.000</t>
  </si>
  <si>
    <t>2024-02-21 00:00:00.000</t>
  </si>
  <si>
    <t>2025-06-28 00:00:00.000</t>
  </si>
  <si>
    <t>2020-01-27 00:00:00.000</t>
  </si>
  <si>
    <t>2021-01-22 00:00:00.000</t>
  </si>
  <si>
    <t>2022-09-01 00:00:00.000</t>
  </si>
  <si>
    <t>2024-03-27 00:00:00.000</t>
  </si>
  <si>
    <t>2025-05-17 00:00:00.000</t>
  </si>
  <si>
    <t>2021-01-15 00:00:00.000</t>
  </si>
  <si>
    <t>2025-05-18 00:00:00.000</t>
  </si>
  <si>
    <t>2020-11-06 00:00:00.000</t>
  </si>
  <si>
    <t>2024-03-10 00:00:00.000</t>
  </si>
  <si>
    <t>2023-10-20 00:00:00.000</t>
  </si>
  <si>
    <t>2022-01-27 00:00:00.000</t>
  </si>
  <si>
    <t>2021-03-24 00:00:00.000</t>
  </si>
  <si>
    <t>2025-06-27 00:00:00.000</t>
  </si>
  <si>
    <t>2024-09-26 00:00:00.000</t>
  </si>
  <si>
    <t>2024-11-12 00:00:00.000</t>
  </si>
  <si>
    <t>2024-08-09 00:00:00.000</t>
  </si>
  <si>
    <t>2021-06-11 00:00:00.000</t>
  </si>
  <si>
    <t>2021-07-13 00:00:00.000</t>
  </si>
  <si>
    <t>2020-01-13 00:00:00.000</t>
  </si>
  <si>
    <t>2023-12-24 00:00:00.000</t>
  </si>
  <si>
    <t>2020-11-07 00:00:00.000</t>
  </si>
  <si>
    <t>2023-01-24 00:00:00.000</t>
  </si>
  <si>
    <t>2020-08-17 00:00:00.000</t>
  </si>
  <si>
    <t>2024-12-16 00:00:00.000</t>
  </si>
  <si>
    <t>2022-06-01 00:00:00.000</t>
  </si>
  <si>
    <t>2025-01-10 00:00:00.000</t>
  </si>
  <si>
    <t>2024-06-23 00:00:00.000</t>
  </si>
  <si>
    <t>2024-03-08 00:00:00.000</t>
  </si>
  <si>
    <t>2022-09-13 00:00:00.000</t>
  </si>
  <si>
    <t>2024-10-02 00:00:00.000</t>
  </si>
  <si>
    <t>2022-12-17 00:00:00.000</t>
  </si>
  <si>
    <t>2022-03-21 00:00:00.000</t>
  </si>
  <si>
    <t>2023-03-26 00:00:00.000</t>
  </si>
  <si>
    <t>2023-01-11 00:00:00.000</t>
  </si>
  <si>
    <t>2023-07-09 00:00:00.000</t>
  </si>
  <si>
    <t>2021-10-07 00:00:00.000</t>
  </si>
  <si>
    <t>2022-10-24 00:00:00.000</t>
  </si>
  <si>
    <t>2024-05-21 00:00:00.000</t>
  </si>
  <si>
    <t>2021-11-03 00:00:00.000</t>
  </si>
  <si>
    <t>2025-06-24 00:00:00.000</t>
  </si>
  <si>
    <t>2020-09-15 00:00:00.000</t>
  </si>
  <si>
    <t>2021-11-14 00:00:00.000</t>
  </si>
  <si>
    <t>2020-12-09 00:00:00.000</t>
  </si>
  <si>
    <t>2023-09-26 00:00:00.000</t>
  </si>
  <si>
    <t>2023-06-09 00:00:00.000</t>
  </si>
  <si>
    <t>2021-04-23 00:00:00.000</t>
  </si>
  <si>
    <t>2024-01-02 00:00:00.000</t>
  </si>
  <si>
    <t>2024-06-20 00:00:00.000</t>
  </si>
  <si>
    <t>2022-06-05 00:00:00.000</t>
  </si>
  <si>
    <t>2021-05-26 00:00:00.000</t>
  </si>
  <si>
    <t>2025-03-17 00:00:00.000</t>
  </si>
  <si>
    <t>2024-11-13 00:00:00.000</t>
  </si>
  <si>
    <t>2020-04-04 00:00:00.000</t>
  </si>
  <si>
    <t>2023-12-21 00:00:00.000</t>
  </si>
  <si>
    <t>2021-05-10 00:00:00.000</t>
  </si>
  <si>
    <t>2024-12-27 00:00:00.000</t>
  </si>
  <si>
    <t>2025-04-17 00:00:00.000</t>
  </si>
  <si>
    <t>2024-05-27 00:00:00.000</t>
  </si>
  <si>
    <t>2021-10-27 00:00:00.000</t>
  </si>
  <si>
    <t>2024-05-13 00:00:00.000</t>
  </si>
  <si>
    <t>2025-03-31 00:00:00.000</t>
  </si>
  <si>
    <t>2024-01-30 00:00:00.000</t>
  </si>
  <si>
    <t>2024-10-05 00:00:00.000</t>
  </si>
  <si>
    <t>2022-04-16 00:00:00.000</t>
  </si>
  <si>
    <t>2021-03-21 00:00:00.000</t>
  </si>
  <si>
    <t>2024-09-02 00:00:00.000</t>
  </si>
  <si>
    <t>2025-02-23 00:00:00.000</t>
  </si>
  <si>
    <t>2024-09-19 00:00:00.000</t>
  </si>
  <si>
    <t>2023-06-08 00:00:00.000</t>
  </si>
  <si>
    <t>BRANCH_NAME</t>
  </si>
  <si>
    <t>Baku Central</t>
  </si>
  <si>
    <t>Baku Yasamal</t>
  </si>
  <si>
    <t>Ganja Branch</t>
  </si>
  <si>
    <t>Sumgait Branch</t>
  </si>
  <si>
    <t>Mingachevir Branch</t>
  </si>
  <si>
    <t>Sheki Branch</t>
  </si>
  <si>
    <t>Lankaran Branch</t>
  </si>
  <si>
    <t>Customer id</t>
  </si>
  <si>
    <t>Customer Name</t>
  </si>
  <si>
    <t>Gender</t>
  </si>
  <si>
    <t>Customer Segment</t>
  </si>
  <si>
    <t>Branch Name</t>
  </si>
  <si>
    <t>Loan Amount</t>
  </si>
  <si>
    <t>Interest Rate</t>
  </si>
  <si>
    <t>Loan Status</t>
  </si>
  <si>
    <t>Risk Category</t>
  </si>
  <si>
    <t>Ümumi Portfel Məbləği:</t>
  </si>
  <si>
    <t>Ümumi Kredit Sayı:</t>
  </si>
  <si>
    <t>Ortalama Kredit Məbləği:</t>
  </si>
  <si>
    <t>Ortalama Faiz Dərəcəsi:</t>
  </si>
  <si>
    <t>Default Kredit Sayı:</t>
  </si>
  <si>
    <t>Default Məbləği:</t>
  </si>
  <si>
    <t>Yüksək Riskli Kredit Sayı:</t>
  </si>
  <si>
    <t>Bakı Filialının Default Məbləği:</t>
  </si>
  <si>
    <t>(ALL)</t>
  </si>
  <si>
    <t>Sum of Loan Amount</t>
  </si>
  <si>
    <t>Count of LOAN_ID</t>
  </si>
  <si>
    <t>Aşağı Risk</t>
  </si>
  <si>
    <t>Default (Batıq)</t>
  </si>
  <si>
    <t>Orta Risk</t>
  </si>
  <si>
    <t>Yüksək Risk</t>
  </si>
  <si>
    <t>Grand Total</t>
  </si>
  <si>
    <t>Years (FIXED-START_DATE)</t>
  </si>
  <si>
    <t>Sum of FIXED_LOAN_AMOUNT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</si>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</sst>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#.##000_);[Red]\(&quot;$&quot;#,###.##000\)"/>
    <numFmt numFmtId="179" formatCode="&quot;$&quot;#,###.##000_);[Red]\(&quot;$&quot;#,###.##000\)"/>
    <numFmt numFmtId="180" formatCode="0.00_);\(0.00\)"/>
    <numFmt numFmtId="181" formatCode="#,000_);[Red]\(#,000\)"/>
    <numFmt numFmtId="182" formatCode="yyyy\-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4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0" fillId="0" borderId="0" xfId="1" applyNumberFormat="1">
      <alignment vertical="center"/>
    </xf>
    <xf numFmtId="180" fontId="0" fillId="0" borderId="0" xfId="3" applyNumberFormat="1">
      <alignment vertical="center"/>
    </xf>
    <xf numFmtId="181" fontId="0" fillId="0" borderId="0" xfId="0" applyNumberFormat="1">
      <alignment vertical="center"/>
    </xf>
    <xf numFmtId="2" fontId="0" fillId="0" borderId="0" xfId="0" applyNumberFormat="1">
      <alignment vertical="center"/>
    </xf>
    <xf numFmtId="18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44" formatCode="_(&quot;$&quot;* #,##0.00_);_(&quot;$&quot;* \(#,##0.00\);_(&quot;$&quot;* &quot;-&quot;??_);_(@_)"/>
    </dxf>
    <dxf>
      <numFmt numFmtId="0" formatCode="General"/>
    </dxf>
    <dxf>
      <numFmt numFmtId="44" formatCode="_(&quot;$&quot;* #,##0.00_);_(&quot;$&quot;* \(#,##0.00\);_(&quot;$&quot;* &quot;-&quot;??_);_(@_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[lahiye 1.xlsx]monthly loan portfolio trend!PivotTable4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Loan Portfolio Trend (2020–2025)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loan portfolio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'monthly loan portfolio trend'!$A$4:$B$76</c:f>
              <c:multiLvlStrCache>
                <c:ptCount val="6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  <c:pt idx="48">
                    <c:v>2024</c:v>
                  </c:pt>
                  <c:pt idx="60">
                    <c:v>2025</c:v>
                  </c:pt>
                </c:lvl>
              </c:multiLvlStrCache>
            </c:multiLvlStrRef>
          </c:cat>
          <c:val>
            <c:numRef>
              <c:f>'monthly loan portfolio trend'!$C$4:$C$76</c:f>
              <c:numCache>
                <c:formatCode>General</c:formatCode>
                <c:ptCount val="66"/>
                <c:pt idx="0">
                  <c:v>634514.17</c:v>
                </c:pt>
                <c:pt idx="1">
                  <c:v>794285.75</c:v>
                </c:pt>
                <c:pt idx="2">
                  <c:v>925804.31</c:v>
                </c:pt>
                <c:pt idx="3">
                  <c:v>1045595.47</c:v>
                </c:pt>
                <c:pt idx="4">
                  <c:v>1234521.93</c:v>
                </c:pt>
                <c:pt idx="5">
                  <c:v>1715549.34</c:v>
                </c:pt>
                <c:pt idx="6">
                  <c:v>1151595.8</c:v>
                </c:pt>
                <c:pt idx="7">
                  <c:v>783593.98</c:v>
                </c:pt>
                <c:pt idx="8">
                  <c:v>639286.64</c:v>
                </c:pt>
                <c:pt idx="9">
                  <c:v>684050.18</c:v>
                </c:pt>
                <c:pt idx="10">
                  <c:v>1054531.86</c:v>
                </c:pt>
                <c:pt idx="11">
                  <c:v>722831.74</c:v>
                </c:pt>
                <c:pt idx="12">
                  <c:v>965843.16</c:v>
                </c:pt>
                <c:pt idx="13">
                  <c:v>725695.5</c:v>
                </c:pt>
                <c:pt idx="14">
                  <c:v>1394894.94</c:v>
                </c:pt>
                <c:pt idx="15">
                  <c:v>876423.19</c:v>
                </c:pt>
                <c:pt idx="16">
                  <c:v>1340895</c:v>
                </c:pt>
                <c:pt idx="17">
                  <c:v>530049.28</c:v>
                </c:pt>
                <c:pt idx="18">
                  <c:v>888773.94</c:v>
                </c:pt>
                <c:pt idx="19">
                  <c:v>1167187.95</c:v>
                </c:pt>
                <c:pt idx="20">
                  <c:v>741566.46</c:v>
                </c:pt>
                <c:pt idx="21">
                  <c:v>510068.58</c:v>
                </c:pt>
                <c:pt idx="22">
                  <c:v>1175554.29</c:v>
                </c:pt>
                <c:pt idx="23">
                  <c:v>600244.94</c:v>
                </c:pt>
                <c:pt idx="24">
                  <c:v>604313.48</c:v>
                </c:pt>
                <c:pt idx="25">
                  <c:v>978237.9</c:v>
                </c:pt>
                <c:pt idx="26">
                  <c:v>717521.46</c:v>
                </c:pt>
                <c:pt idx="27">
                  <c:v>1453272.54</c:v>
                </c:pt>
                <c:pt idx="28">
                  <c:v>621683.73</c:v>
                </c:pt>
                <c:pt idx="29">
                  <c:v>1241682.2</c:v>
                </c:pt>
                <c:pt idx="30">
                  <c:v>728038.11</c:v>
                </c:pt>
                <c:pt idx="31">
                  <c:v>982625.56</c:v>
                </c:pt>
                <c:pt idx="32">
                  <c:v>1137263.15</c:v>
                </c:pt>
                <c:pt idx="33">
                  <c:v>481404.95</c:v>
                </c:pt>
                <c:pt idx="34">
                  <c:v>729468.11</c:v>
                </c:pt>
                <c:pt idx="35">
                  <c:v>1032357.68</c:v>
                </c:pt>
                <c:pt idx="36">
                  <c:v>1089309.49</c:v>
                </c:pt>
                <c:pt idx="37">
                  <c:v>711164.29</c:v>
                </c:pt>
                <c:pt idx="38">
                  <c:v>1373533.81</c:v>
                </c:pt>
                <c:pt idx="39">
                  <c:v>835693.03</c:v>
                </c:pt>
                <c:pt idx="40">
                  <c:v>877748.63</c:v>
                </c:pt>
                <c:pt idx="41">
                  <c:v>1148442.71</c:v>
                </c:pt>
                <c:pt idx="42">
                  <c:v>837845.51</c:v>
                </c:pt>
                <c:pt idx="43">
                  <c:v>667424.85</c:v>
                </c:pt>
                <c:pt idx="44">
                  <c:v>652058.03</c:v>
                </c:pt>
                <c:pt idx="45">
                  <c:v>1108269.56</c:v>
                </c:pt>
                <c:pt idx="46">
                  <c:v>1374139.2</c:v>
                </c:pt>
                <c:pt idx="47">
                  <c:v>712915.69</c:v>
                </c:pt>
                <c:pt idx="48">
                  <c:v>813137.41</c:v>
                </c:pt>
                <c:pt idx="49">
                  <c:v>1203355.55</c:v>
                </c:pt>
                <c:pt idx="50">
                  <c:v>908604.79</c:v>
                </c:pt>
                <c:pt idx="51">
                  <c:v>1351823.12</c:v>
                </c:pt>
                <c:pt idx="52">
                  <c:v>721280.88</c:v>
                </c:pt>
                <c:pt idx="53">
                  <c:v>1120325.92</c:v>
                </c:pt>
                <c:pt idx="54">
                  <c:v>841115.07</c:v>
                </c:pt>
                <c:pt idx="55">
                  <c:v>1155695.03</c:v>
                </c:pt>
                <c:pt idx="56">
                  <c:v>680572.35</c:v>
                </c:pt>
                <c:pt idx="57">
                  <c:v>475796.28</c:v>
                </c:pt>
                <c:pt idx="58">
                  <c:v>760178.5</c:v>
                </c:pt>
                <c:pt idx="59">
                  <c:v>1121004.17</c:v>
                </c:pt>
                <c:pt idx="60">
                  <c:v>996424.2</c:v>
                </c:pt>
                <c:pt idx="61">
                  <c:v>1023188.05</c:v>
                </c:pt>
                <c:pt idx="62">
                  <c:v>935199.1</c:v>
                </c:pt>
                <c:pt idx="63">
                  <c:v>981305.99</c:v>
                </c:pt>
                <c:pt idx="64">
                  <c:v>969600.81</c:v>
                </c:pt>
                <c:pt idx="65">
                  <c:v>996451.24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25622"/>
        <c:axId val="648844560"/>
      </c:lineChart>
      <c:catAx>
        <c:axId val="1754256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844560"/>
        <c:crosses val="autoZero"/>
        <c:auto val="1"/>
        <c:lblAlgn val="ctr"/>
        <c:lblOffset val="100"/>
        <c:noMultiLvlLbl val="0"/>
      </c:catAx>
      <c:valAx>
        <c:axId val="6488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4256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bba7b0-82f6-4ef8-94eb-d1c18ad6d2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269240</xdr:colOff>
      <xdr:row>2</xdr:row>
      <xdr:rowOff>12700</xdr:rowOff>
    </xdr:from>
    <xdr:to>
      <xdr:col>11</xdr:col>
      <xdr:colOff>218440</xdr:colOff>
      <xdr:row>17</xdr:row>
      <xdr:rowOff>12700</xdr:rowOff>
    </xdr:to>
    <xdr:graphicFrame>
      <xdr:nvGraphicFramePr>
        <xdr:cNvPr id="2" name="Chart 1"/>
        <xdr:cNvGraphicFramePr/>
      </xdr:nvGraphicFramePr>
      <xdr:xfrm>
        <a:off x="5184140" y="3784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8.9377430556" refreshedBy="Kenan" recordCount="1300">
  <cacheSource type="worksheet">
    <worksheetSource ref="A1:J1301" sheet="analytics_data"/>
  </cacheSource>
  <cacheFields count="10">
    <cacheField name="LOAN_ID" numFmtId="0">
      <sharedItems containsSemiMixedTypes="0" containsString="0" containsNumber="1" containsInteger="1" minValue="0" maxValue="1300" count="1300"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</sharedItems>
    </cacheField>
    <cacheField name="Customer id" numFmtId="0">
      <sharedItems containsSemiMixedTypes="0" containsString="0" containsNumber="1" containsInteger="1" minValue="0" maxValue="1000" count="723">
        <n v="964"/>
        <n v="702"/>
        <n v="110"/>
        <n v="366"/>
        <n v="629"/>
        <n v="934"/>
        <n v="907"/>
        <n v="326"/>
        <n v="352"/>
        <n v="979"/>
        <n v="708"/>
        <n v="243"/>
        <n v="89"/>
        <n v="261"/>
        <n v="430"/>
        <n v="900"/>
        <n v="957"/>
        <n v="706"/>
        <n v="933"/>
        <n v="902"/>
        <n v="429"/>
        <n v="405"/>
        <n v="348"/>
        <n v="372"/>
        <n v="932"/>
        <n v="233"/>
        <n v="249"/>
        <n v="739"/>
        <n v="469"/>
        <n v="960"/>
        <n v="621"/>
        <n v="670"/>
        <n v="701"/>
        <n v="461"/>
        <n v="238"/>
        <n v="989"/>
        <n v="497"/>
        <n v="693"/>
        <n v="769"/>
        <n v="262"/>
        <n v="121"/>
        <n v="607"/>
        <n v="854"/>
        <n v="712"/>
        <n v="418"/>
        <n v="194"/>
        <n v="319"/>
        <n v="766"/>
        <n v="565"/>
        <n v="417"/>
        <n v="30"/>
        <n v="183"/>
        <n v="569"/>
        <n v="392"/>
        <n v="288"/>
        <n v="894"/>
        <n v="986"/>
        <n v="915"/>
        <n v="472"/>
        <n v="462"/>
        <n v="988"/>
        <n v="316"/>
        <n v="341"/>
        <n v="231"/>
        <n v="289"/>
        <n v="757"/>
        <n v="637"/>
        <n v="489"/>
        <n v="247"/>
        <n v="818"/>
        <n v="591"/>
        <n v="555"/>
        <n v="713"/>
        <n v="864"/>
        <n v="311"/>
        <n v="530"/>
        <n v="27"/>
        <n v="419"/>
        <n v="889"/>
        <n v="80"/>
        <n v="585"/>
        <n v="938"/>
        <n v="731"/>
        <n v="852"/>
        <n v="545"/>
        <n v="63"/>
        <n v="182"/>
        <n v="821"/>
        <n v="888"/>
        <n v="928"/>
        <n v="509"/>
        <n v="85"/>
        <n v="42"/>
        <n v="611"/>
        <n v="640"/>
        <n v="951"/>
        <n v="997"/>
        <n v="778"/>
        <n v="312"/>
        <n v="186"/>
        <n v="257"/>
        <n v="143"/>
        <n v="263"/>
        <n v="759"/>
        <n v="711"/>
        <n v="283"/>
        <n v="270"/>
        <n v="271"/>
        <n v="351"/>
        <n v="45"/>
        <n v="1"/>
        <n v="77"/>
        <n v="62"/>
        <n v="165"/>
        <n v="740"/>
        <n v="843"/>
        <n v="836"/>
        <n v="300"/>
        <n v="55"/>
        <n v="819"/>
        <n v="498"/>
        <n v="697"/>
        <n v="954"/>
        <n v="78"/>
        <n v="95"/>
        <n v="346"/>
        <n v="995"/>
        <n v="235"/>
        <n v="792"/>
        <n v="113"/>
        <n v="394"/>
        <n v="8"/>
        <n v="138"/>
        <n v="127"/>
        <n v="280"/>
        <n v="196"/>
        <n v="19"/>
        <n v="814"/>
        <n v="152"/>
        <n v="825"/>
        <n v="466"/>
        <n v="154"/>
        <n v="170"/>
        <n v="743"/>
        <n v="13"/>
        <n v="994"/>
        <n v="635"/>
        <n v="784"/>
        <n v="632"/>
        <n v="212"/>
        <n v="909"/>
        <n v="435"/>
        <n v="882"/>
        <n v="482"/>
        <n v="234"/>
        <n v="680"/>
        <n v="84"/>
        <n v="414"/>
        <n v="720"/>
        <n v="227"/>
        <n v="655"/>
        <n v="24"/>
        <n v="883"/>
        <n v="46"/>
        <n v="578"/>
        <n v="250"/>
        <n v="834"/>
        <n v="377"/>
        <n v="388"/>
        <n v="529"/>
        <n v="1000"/>
        <n v="188"/>
        <n v="927"/>
        <n v="856"/>
        <n v="716"/>
        <n v="576"/>
        <n v="456"/>
        <n v="175"/>
        <n v="381"/>
        <n v="571"/>
        <n v="574"/>
        <n v="33"/>
        <n v="281"/>
        <n v="850"/>
        <n v="528"/>
        <n v="750"/>
        <n v="368"/>
        <n v="887"/>
        <n v="675"/>
        <n v="993"/>
        <n v="252"/>
        <n v="805"/>
        <n v="689"/>
        <n v="880"/>
        <n v="304"/>
        <n v="762"/>
        <n v="52"/>
        <n v="761"/>
        <n v="604"/>
        <n v="885"/>
        <n v="436"/>
        <n v="549"/>
        <n v="442"/>
        <n v="773"/>
        <n v="126"/>
        <n v="503"/>
        <n v="48"/>
        <n v="935"/>
        <n v="309"/>
        <n v="561"/>
        <n v="617"/>
        <n v="74"/>
        <n v="156"/>
        <n v="660"/>
        <n v="589"/>
        <n v="71"/>
        <n v="81"/>
        <n v="926"/>
        <n v="878"/>
        <n v="299"/>
        <n v="866"/>
        <n v="440"/>
        <n v="350"/>
        <n v="941"/>
        <n v="129"/>
        <n v="317"/>
        <n v="649"/>
        <n v="174"/>
        <n v="422"/>
        <n v="729"/>
        <n v="353"/>
        <n v="246"/>
        <n v="378"/>
        <n v="133"/>
        <n v="550"/>
        <n v="106"/>
        <n v="542"/>
        <n v="40"/>
        <n v="479"/>
        <n v="239"/>
        <n v="68"/>
        <n v="364"/>
        <n v="840"/>
        <n v="178"/>
        <n v="279"/>
        <n v="494"/>
        <n v="867"/>
        <n v="307"/>
        <n v="168"/>
        <n v="180"/>
        <n v="844"/>
        <n v="734"/>
        <n v="10"/>
        <n v="770"/>
        <n v="802"/>
        <n v="961"/>
        <n v="61"/>
        <n v="849"/>
        <n v="451"/>
        <n v="217"/>
        <n v="738"/>
        <n v="991"/>
        <n v="533"/>
        <n v="886"/>
        <n v="771"/>
        <n v="817"/>
        <n v="832"/>
        <n v="719"/>
        <n v="328"/>
        <n v="144"/>
        <n v="705"/>
        <n v="219"/>
        <n v="112"/>
        <n v="273"/>
        <n v="537"/>
        <n v="735"/>
        <n v="984"/>
        <n v="205"/>
        <n v="641"/>
        <n v="828"/>
        <n v="619"/>
        <n v="763"/>
        <n v="547"/>
        <n v="286"/>
        <n v="116"/>
        <n v="564"/>
        <n v="940"/>
        <n v="208"/>
        <n v="744"/>
        <n v="290"/>
        <n v="282"/>
        <n v="163"/>
        <n v="687"/>
        <n v="434"/>
        <n v="577"/>
        <n v="851"/>
        <n v="839"/>
        <n v="473"/>
        <n v="264"/>
        <n v="285"/>
        <n v="149"/>
        <n v="939"/>
        <n v="362"/>
        <n v="944"/>
        <n v="579"/>
        <n v="590"/>
        <n v="202"/>
        <n v="519"/>
        <n v="977"/>
        <n v="72"/>
        <n v="696"/>
        <n v="908"/>
        <n v="443"/>
        <n v="444"/>
        <n v="185"/>
        <n v="782"/>
        <n v="563"/>
        <n v="407"/>
        <n v="663"/>
        <n v="177"/>
        <n v="445"/>
        <n v="253"/>
        <n v="781"/>
        <n v="524"/>
        <n v="698"/>
        <n v="520"/>
        <n v="358"/>
        <n v="367"/>
        <n v="974"/>
        <n v="468"/>
        <n v="411"/>
        <n v="142"/>
        <n v="633"/>
        <n v="421"/>
        <n v="98"/>
        <n v="467"/>
        <n v="335"/>
        <n v="965"/>
        <n v="518"/>
        <n v="330"/>
        <n v="432"/>
        <n v="226"/>
        <n v="361"/>
        <n v="963"/>
        <n v="123"/>
        <n v="707"/>
        <n v="952"/>
        <n v="813"/>
        <n v="919"/>
        <n v="450"/>
        <n v="873"/>
        <n v="504"/>
        <n v="324"/>
        <n v="323"/>
        <n v="684"/>
        <n v="190"/>
        <n v="903"/>
        <n v="998"/>
        <n v="465"/>
        <n v="303"/>
        <n v="464"/>
        <n v="510"/>
        <n v="65"/>
        <n v="370"/>
        <n v="592"/>
        <n v="155"/>
        <n v="912"/>
        <n v="710"/>
        <n v="408"/>
        <n v="973"/>
        <n v="260"/>
        <n v="847"/>
        <n v="527"/>
        <n v="685"/>
        <n v="631"/>
        <n v="215"/>
        <n v="756"/>
        <n v="584"/>
        <n v="793"/>
        <n v="43"/>
        <n v="107"/>
        <n v="446"/>
        <n v="490"/>
        <n v="337"/>
        <n v="546"/>
        <n v="517"/>
        <n v="433"/>
        <n v="221"/>
        <n v="60"/>
        <n v="360"/>
        <n v="20"/>
        <n v="898"/>
        <n v="390"/>
        <n v="109"/>
        <n v="682"/>
        <n v="67"/>
        <n v="786"/>
        <n v="386"/>
        <n v="981"/>
        <n v="21"/>
        <n v="357"/>
        <n v="410"/>
        <n v="371"/>
        <n v="452"/>
        <n v="999"/>
        <n v="827"/>
        <n v="958"/>
        <n v="948"/>
        <n v="669"/>
        <n v="420"/>
        <n v="582"/>
        <n v="808"/>
        <n v="393"/>
        <n v="916"/>
        <n v="302"/>
        <n v="765"/>
        <n v="554"/>
        <n v="600"/>
        <n v="315"/>
        <n v="140"/>
        <n v="742"/>
        <n v="237"/>
        <n v="92"/>
        <n v="772"/>
        <n v="18"/>
        <n v="776"/>
        <n v="224"/>
        <n v="210"/>
        <n v="779"/>
        <n v="835"/>
        <n v="638"/>
        <n v="913"/>
        <n v="329"/>
        <n v="150"/>
        <n v="104"/>
        <n v="115"/>
        <n v="807"/>
        <n v="966"/>
        <n v="652"/>
        <n v="128"/>
        <n v="327"/>
        <n v="568"/>
        <n v="486"/>
        <n v="789"/>
        <n v="54"/>
        <n v="551"/>
        <n v="119"/>
        <n v="749"/>
        <n v="493"/>
        <n v="608"/>
        <n v="73"/>
        <n v="962"/>
        <n v="971"/>
        <n v="76"/>
        <n v="148"/>
        <n v="206"/>
        <n v="86"/>
        <n v="278"/>
        <n v="980"/>
        <n v="755"/>
        <n v="136"/>
        <n v="575"/>
        <n v="151"/>
        <n v="395"/>
        <n v="258"/>
        <n v="383"/>
        <n v="147"/>
        <n v="614"/>
        <n v="911"/>
        <n v="724"/>
        <n v="332"/>
        <n v="721"/>
        <n v="718"/>
        <n v="841"/>
        <n v="790"/>
        <n v="727"/>
        <n v="458"/>
        <n v="737"/>
        <n v="868"/>
        <n v="846"/>
        <n v="800"/>
        <n v="513"/>
        <n v="610"/>
        <n v="955"/>
        <n v="968"/>
        <n v="404"/>
        <n v="139"/>
        <n v="896"/>
        <n v="647"/>
        <n v="815"/>
        <n v="560"/>
        <n v="130"/>
        <n v="733"/>
        <n v="135"/>
        <n v="553"/>
        <n v="531"/>
        <n v="967"/>
        <n v="477"/>
        <n v="293"/>
        <n v="296"/>
        <n v="29"/>
        <n v="209"/>
        <n v="671"/>
        <n v="470"/>
        <n v="791"/>
        <n v="176"/>
        <n v="397"/>
        <n v="44"/>
        <n v="220"/>
        <n v="666"/>
        <n v="391"/>
        <n v="653"/>
        <n v="32"/>
        <n v="103"/>
        <n v="581"/>
        <n v="603"/>
        <n v="985"/>
        <n v="728"/>
        <n v="699"/>
        <n v="623"/>
        <n v="56"/>
        <n v="505"/>
        <n v="532"/>
        <n v="862"/>
        <n v="605"/>
        <n v="476"/>
        <n v="83"/>
        <n v="483"/>
        <n v="25"/>
        <n v="714"/>
        <n v="777"/>
        <n v="507"/>
        <n v="82"/>
        <n v="146"/>
        <n v="448"/>
        <n v="780"/>
        <n v="122"/>
        <n v="695"/>
        <n v="409"/>
        <n v="244"/>
        <n v="198"/>
        <n v="218"/>
        <n v="536"/>
        <n v="613"/>
        <n v="492"/>
        <n v="612"/>
        <n v="308"/>
        <n v="295"/>
        <n v="400"/>
        <n v="857"/>
        <n v="166"/>
        <n v="593"/>
        <n v="164"/>
        <n v="580"/>
        <n v="49"/>
        <n v="291"/>
        <n v="615"/>
        <n v="236"/>
        <n v="229"/>
        <n v="664"/>
        <n v="502"/>
        <n v="225"/>
        <n v="416"/>
        <n v="639"/>
        <n v="245"/>
        <n v="11"/>
        <n v="929"/>
        <n v="105"/>
        <n v="618"/>
        <n v="845"/>
        <n v="269"/>
        <n v="199"/>
        <n v="709"/>
        <n v="254"/>
        <n v="690"/>
        <n v="12"/>
        <n v="333"/>
        <n v="829"/>
        <n v="157"/>
        <n v="406"/>
        <n v="659"/>
        <n v="349"/>
        <n v="342"/>
        <n v="481"/>
        <n v="942"/>
        <n v="628"/>
        <n v="899"/>
        <n v="688"/>
        <n v="203"/>
        <n v="810"/>
        <n v="949"/>
        <n v="715"/>
        <n v="552"/>
        <n v="736"/>
        <n v="722"/>
        <n v="256"/>
        <n v="69"/>
        <n v="597"/>
        <n v="374"/>
        <n v="630"/>
        <n v="799"/>
        <n v="662"/>
        <n v="796"/>
        <n v="75"/>
        <n v="488"/>
        <n v="566"/>
        <n v="538"/>
        <n v="983"/>
        <n v="387"/>
        <n v="16"/>
        <n v="820"/>
        <n v="181"/>
        <n v="117"/>
        <n v="616"/>
        <n v="7"/>
        <n v="838"/>
        <n v="471"/>
        <n v="870"/>
        <n v="292"/>
        <n v="764"/>
        <n v="892"/>
        <n v="795"/>
        <n v="365"/>
        <n v="162"/>
        <n v="347"/>
        <n v="428"/>
        <n v="636"/>
        <n v="114"/>
        <n v="906"/>
        <n v="87"/>
        <n v="423"/>
        <n v="314"/>
        <n v="91"/>
        <n v="876"/>
        <n v="301"/>
        <n v="831"/>
        <n v="211"/>
        <n v="47"/>
        <n v="572"/>
        <n v="339"/>
        <n v="872"/>
        <n v="97"/>
        <n v="240"/>
        <n v="38"/>
        <n v="159"/>
        <n v="863"/>
        <n v="201"/>
        <n v="855"/>
        <n v="195"/>
        <n v="22"/>
        <n v="500"/>
        <n v="801"/>
        <n v="403"/>
        <n v="946"/>
        <n v="14"/>
        <n v="726"/>
        <n v="355"/>
        <n v="990"/>
        <n v="686"/>
        <n v="567"/>
        <n v="41"/>
        <n v="730"/>
        <n v="37"/>
        <n v="331"/>
        <n v="918"/>
        <n v="626"/>
        <n v="930"/>
        <n v="158"/>
        <n v="93"/>
        <n v="223"/>
        <n v="745"/>
        <n v="923"/>
        <n v="338"/>
        <n v="747"/>
        <n v="748"/>
        <n v="172"/>
        <n v="543"/>
        <n v="809"/>
        <n v="2"/>
        <n v="976"/>
        <n v="276"/>
        <n v="956"/>
        <n v="758"/>
        <n v="774"/>
        <n v="4"/>
        <n v="837"/>
        <n v="865"/>
        <n v="691"/>
        <n v="216"/>
        <n v="644"/>
        <n v="667"/>
        <n v="266"/>
        <n v="996"/>
        <n v="53"/>
        <n v="88"/>
        <n v="50"/>
        <n v="953"/>
        <n v="169"/>
        <n v="681"/>
        <n v="334"/>
        <n v="535"/>
        <n v="340"/>
        <n v="242"/>
        <n v="540"/>
        <n v="562"/>
        <n v="426"/>
        <n v="306"/>
        <n v="622"/>
        <n v="322"/>
        <n v="725"/>
        <n v="376"/>
        <n v="890"/>
        <n v="732"/>
        <n v="318"/>
        <n v="625"/>
        <n v="596"/>
        <n v="657"/>
        <n v="661"/>
        <n v="134"/>
        <n v="947"/>
        <n v="806"/>
        <n v="595"/>
        <n v="678"/>
      </sharedItems>
    </cacheField>
    <cacheField name="Customer Name" numFmtId="0">
      <sharedItems count="487">
        <s v="Murad Sadıqov"/>
        <s v="Murad Bağırov"/>
        <s v="Xəyalə Hüseynov"/>
        <s v="Könül Həsənov"/>
        <s v="Zeynəb Rzayev"/>
        <s v="Xəyalə Məmmədov"/>
        <s v="Fərid Nəbiyev"/>
        <s v="Leyla Əzizov"/>
        <s v="Vəfa Orucov"/>
        <s v="Nərgiz Novruzov"/>
        <s v="Röya Əliyev"/>
        <s v="Ramin Bağırov"/>
        <s v="Tural Musayev"/>
        <s v="Ceyhun Novruzov"/>
        <s v="Nərmin Nəbiyev"/>
        <s v="Şəbnəm Novruzov"/>
        <s v="Röya Həsənov"/>
        <s v="Orxan Abbasov"/>
        <s v="Aysel Orucov"/>
        <s v="Aynur Nəbiyev"/>
        <s v="Elşən Həsənov"/>
        <s v="Kamran Cəfərov"/>
        <s v="Murad Məmmədov"/>
        <s v="Nicat Rəhimov"/>
        <s v="Vüqar Nəbiyev"/>
        <s v="Nigar Novruzov"/>
        <s v="Günel Vəliyev"/>
        <s v="Ülviyyə Quliyev"/>
        <s v="Günel Kərimov"/>
        <s v="Ceyhun Musayev"/>
        <s v="Nicat Sadıqov"/>
        <s v="Fərid Kərimov"/>
        <s v="Vəfa Cəfərov"/>
        <s v="Ramin Rzayev"/>
        <s v="Fuad Tağıyev"/>
        <s v="Murad Həsənov"/>
        <s v="Murad Cəfərov"/>
        <s v="Fidan Vəliyev"/>
        <s v="Səbinə Orucov"/>
        <s v="Fidan Hüseynov"/>
        <s v="Şəbnəm Məmmədov"/>
        <s v="Vüqar Əliyev"/>
        <s v="Orxan Rəhimov"/>
        <s v="Zeynəb Əliyev"/>
        <s v="Samir Bağırov"/>
        <s v="Aysel Həsənov"/>
        <s v="Röya Musayev"/>
        <s v="Mehriban Musayev"/>
        <s v="Toğrul Məmmədov"/>
        <s v="Emin Rəhimov"/>
        <s v="Elvin Əliyev"/>
        <s v="Emin Musayev"/>
        <s v="Leyla Sadıqov"/>
        <s v="Nərgiz Nəbiyev"/>
        <s v="Nərmin İsmayılov"/>
        <s v="Leyla Məmmədov"/>
        <s v="Könül Əliyev"/>
        <s v="Kənan Əzizov"/>
        <s v="Mehriban Bağırov"/>
        <s v="Kamran Abbasov"/>
        <s v="Aysel Əzizov"/>
        <s v="Günel Həsənov"/>
        <s v="Emin Cəfərov"/>
        <s v="Vəfa Hüseynov"/>
        <s v="Röya Rzayev"/>
        <s v="Samir Abbasov"/>
        <s v="Türkan Novruzov"/>
        <s v="Könül Abbasov"/>
        <s v="Lalə Kərimov"/>
        <s v="Günel Orucov"/>
        <s v="Tural Əliyev"/>
        <s v="Könül Əzizov"/>
        <s v="Vüqar Rəhimov"/>
        <s v="Səbinə Sadıqov"/>
        <s v="Orxan Hüseynov"/>
        <s v="Ceyhun Rzayev"/>
        <s v="Elvin Hüseynov"/>
        <s v="Rəşad Cəfərov"/>
        <s v="Ülviyyə Novruzov"/>
        <s v="Ceyhun Rəhimov"/>
        <s v="Orxan Sadıqov"/>
        <s v="Fidan Əliyev"/>
        <s v="Rəşad Quliyev"/>
        <s v="Şəbnəm Orucov"/>
        <s v="Nərgiz Rəhimov"/>
        <s v="Leyla Novruzov"/>
        <s v="Fuad Kərimov"/>
        <s v="Lalə Abbasov"/>
        <s v="Səbinə Məmmədov"/>
        <s v="Röya Tağıyev"/>
        <s v="Zaur Həsənov"/>
        <s v="Nicat Hüseynov"/>
        <s v="Emin Tağıyev"/>
        <s v="Ülviyyə Cəfərov"/>
        <s v="Vüqar Hüseynov"/>
        <s v="Ceyhun Cəfərov"/>
        <s v="Lalə Quliyev"/>
        <s v="Aynur Həsənov"/>
        <s v="Fuad Rzayev"/>
        <s v="Ramin Nəbiyev"/>
        <s v="Şəbnəm Kərimov"/>
        <s v="Kamran Novruzov"/>
        <s v="Rəşad Bağırov"/>
        <s v="Könül Məmmədov"/>
        <s v="Samir Musayev"/>
        <s v="Fidan İsmayılov"/>
        <s v="Zaur Orucov"/>
        <s v="Səbinə Tağıyev"/>
        <s v="Günel Musayev"/>
        <s v="Aysel Nəbiyev"/>
        <s v="Nigar İsmayılov"/>
        <s v="Lalə Vəliyev"/>
        <s v="Sevinc Quliyev"/>
        <s v="Tural Kərimov"/>
        <s v="Xəyalə Rəhimov"/>
        <s v="Vüqar Cəfərov"/>
        <s v="Elşən Novruzov"/>
        <s v="Elvin Abbasov"/>
        <s v="Səbinə Rəhimov"/>
        <s v="Tural Hüseynov"/>
        <s v="Elşən Əzizov"/>
        <s v="Orxan İsmayılov"/>
        <s v="Lalə Əzizov"/>
        <s v="Anar Əzizov"/>
        <s v="Elvin Əzizov"/>
        <s v="Şəbnəm Cəfərov"/>
        <s v="Kənan Vəliyev"/>
        <s v="Röya Novruzov"/>
        <s v="Kamran Əliyev"/>
        <s v="Şəbnəm Quliyev"/>
        <s v="Rüfət Orucov"/>
        <s v="Nərgiz Musayev"/>
        <s v="Nigar Abbasov"/>
        <s v="Lalə Rəhimov"/>
        <s v="Elşən Bağırov"/>
        <s v="Vüqar Novruzov"/>
        <s v="Emin Rzayev"/>
        <s v="Zaur Novruzov"/>
        <s v="Lalə Novruzov"/>
        <s v="Zaur Hüseynov"/>
        <s v="Sevinc Cəfərov"/>
        <s v="Səbinə Əzizov"/>
        <s v="Rüfət Rəhimov"/>
        <s v="Xəyalə Əzizov"/>
        <s v="Leyla Abbasov"/>
        <s v="Vüqar Sadıqov"/>
        <s v="Anar Əliyev"/>
        <s v="Aysel Rzayev"/>
        <s v="Fərid Tağıyev"/>
        <s v="Xəyalə Sadıqov"/>
        <s v="Ülviyyə İsmayılov"/>
        <s v="Nərgiz Tağıyev"/>
        <s v="Sevinc Rəhimov"/>
        <s v="Emin Hüseynov"/>
        <s v="Zeynəb Vəliyev"/>
        <s v="Elvin Bağırov"/>
        <s v="Kənan İsmayılov"/>
        <s v="Nicat Əliyev"/>
        <s v="Aynur Novruzov"/>
        <s v="Ceyhun Həsənov"/>
        <s v="Emin Vəliyev"/>
        <s v="Şəbnəm Əzizov"/>
        <s v="Türkan Tağıyev"/>
        <s v="Kənan Rzayev"/>
        <s v="Elvin Novruzov"/>
        <s v="Ülviyyə Orucov"/>
        <s v="Könül İsmayılov"/>
        <s v="Elşən Sadıqov"/>
        <s v="Nicat Həsənov"/>
        <s v="Vüqar Quliyev"/>
        <s v="Günel Məmmədov"/>
        <s v="Nigar Tağıyev"/>
        <s v="Tural Rzayev"/>
        <s v="Röya Bağırov"/>
        <s v="Nərmin Kərimov"/>
        <s v="Zaur Əzizov"/>
        <s v="Fidan Rzayev"/>
        <s v="Sevinc Sadıqov"/>
        <s v="Nicat Məmmədov"/>
        <s v="Səbinə Vəliyev"/>
        <s v="Elvin Kərimov"/>
        <s v="Kamran Orucov"/>
        <s v="Rüfət Sadıqov"/>
        <s v="Orxan Məmmədov"/>
        <s v="Sevinc Həsənov"/>
        <s v="Aysel Sadıqov"/>
        <s v="Nərmin Məmmədov"/>
        <s v="Emin Orucov"/>
        <s v="Səbinə Nəbiyev"/>
        <s v="Anar Rəhimov"/>
        <s v="Samir Orucov"/>
        <s v="Kənan Quliyev"/>
        <s v="Lalə Əliyev"/>
        <s v="Fuad Hüseynov"/>
        <s v="Ramin Musayev"/>
        <s v="Röya Hüseynov"/>
        <s v="Xəyalə Kərimov"/>
        <s v="Emin Bağırov"/>
        <s v="Nərgiz Cəfərov"/>
        <s v="Vəfa Kərimov"/>
        <s v="Samir Əliyev"/>
        <s v="Ceyhun İsmayılov"/>
        <s v="Ceyhun Bağırov"/>
        <s v="Orxan Novruzov"/>
        <s v="Kamran Tağıyev"/>
        <s v="Aysel Rəhimov"/>
        <s v="Fuad Orucov"/>
        <s v="Kamran Rəhimov"/>
        <s v="Şəbnəm Bağırov"/>
        <s v="Samir Novruzov"/>
        <s v="Fərid Əzizov"/>
        <s v="Murad Əzizov"/>
        <s v="Ceyhun Əliyev"/>
        <s v="Günel Rəhimov"/>
        <s v="Ramin Əliyev"/>
        <s v="Rüfət Əliyev"/>
        <s v="Səbinə Həsənov"/>
        <s v="Tural Novruzov"/>
        <s v="Mehriban Quliyev"/>
        <s v="Fidan Musayev"/>
        <s v="Röya Rəhimov"/>
        <s v="Samir Rəhimov"/>
        <s v="Fuad Həsənov"/>
        <s v="Fuad Vəliyev"/>
        <s v="Rəşad Vəliyev"/>
        <s v="Anar Nəbiyev"/>
        <s v="Fuad Musayev"/>
        <s v="Vüqar Musayev"/>
        <s v="Zeynəb Abbasov"/>
        <s v="Nərmin Bağırov"/>
        <s v="Xəyalə Nəbiyev"/>
        <s v="Nərgiz İsmayılov"/>
        <s v="Anar Orucov"/>
        <s v="Sevinc Tağıyev"/>
        <s v="Mehriban Cəfərov"/>
        <s v="Mehriban Kərimov"/>
        <s v="Rəşad Kərimov"/>
        <s v="Ramin Quliyev"/>
        <s v="Könül Rzayev"/>
        <s v="Şəbnəm Tağıyev"/>
        <s v="Samir Kərimov"/>
        <s v="Tural İsmayılov"/>
        <s v="Fərid Quliyev"/>
        <s v="Nigar Bağırov"/>
        <s v="Ramin Orucov"/>
        <s v="Nicat Bağırov"/>
        <s v="Rüfət Kərimov"/>
        <s v="Rəşad Rəhimov"/>
        <s v="Elşən Rzayev"/>
        <s v="Ülviyyə Məmmədov"/>
        <s v="Orxan Tağıyev"/>
        <s v="Murad Nəbiyev"/>
        <s v="Lalə Tağıyev"/>
        <s v="Nigar Quliyev"/>
        <s v="Türkan Cəfərov"/>
        <s v="Kamran Vəliyev"/>
        <s v="Vəfa Novruzov"/>
        <s v="Fərid Rzayev"/>
        <s v="Lalə Hüseynov"/>
        <s v="Nərmin Orucov"/>
        <s v="Zaur Tağıyev"/>
        <s v="Xəyalə Cəfərov"/>
        <s v="Aynur Əliyev"/>
        <s v="Mehriban Tağıyev"/>
        <s v="Türkan Əliyev"/>
        <s v="Vəfa Həsənov"/>
        <s v="Lalə Nəbiyev"/>
        <s v="Türkan Bağırov"/>
        <s v="Zaur Rəhimov"/>
        <s v="Samir Vəliyev"/>
        <s v="Kənan Bağırov"/>
        <s v="Elşən Kərimov"/>
        <s v="Vüqar Kərimov"/>
        <s v="Vəfa Bağırov"/>
        <s v="Səbinə Musayev"/>
        <s v="Nərmin Abbasov"/>
        <s v="Rüfət Vəliyev"/>
        <s v="Fərid Novruzov"/>
        <s v="Günel Quliyev"/>
        <s v="Səbinə Hüseynov"/>
        <s v="Leyla Rəhimov"/>
        <s v="Vəfa Musayev"/>
        <s v="Türkan Həsənov"/>
        <s v="Fərid Məmmədov"/>
        <s v="Rəşad Nəbiyev"/>
        <s v="Murad Abbasov"/>
        <s v="Kamran Bağırov"/>
        <s v="Fərid Hüseynov"/>
        <s v="Fuad Sadıqov"/>
        <s v="Kənan Orucov"/>
        <s v="Ülviyyə Kərimov"/>
        <s v="Vəfa Rzayev"/>
        <s v="Lalə Sadıqov"/>
        <s v="Xəyalə Vəliyev"/>
        <s v="Şəbnəm Vəliyev"/>
        <s v="Günel Rzayev"/>
        <s v="Nicat İsmayılov"/>
        <s v="Ramin Sadıqov"/>
        <s v="Toğrul Musayev"/>
        <s v="Nərmin Əliyev"/>
        <s v="Röya Cəfərov"/>
        <s v="Ceyhun Abbasov"/>
        <s v="Orxan Həsənov"/>
        <s v="Ülviyyə Tağıyev"/>
        <s v="Aynur Musayev"/>
        <s v="Leyla Rzayev"/>
        <s v="Leyla Tağıyev"/>
        <s v="Rəşad Sadıqov"/>
        <s v="Ceyhun Əzizov"/>
        <s v="Rəşad Novruzov"/>
        <s v="Vüqar İsmayılov"/>
        <s v="Aynur Bağırov"/>
        <s v="Samir Quliyev"/>
        <s v="Zaur Əliyev"/>
        <s v="Vüqar Orucov"/>
        <s v="Səbinə Bağırov"/>
        <s v="Nicat Əzizov"/>
        <s v="Emin Quliyev"/>
        <s v="Aynur Tağıyev"/>
        <s v="Aynur Kərimov"/>
        <s v="Türkan İsmayılov"/>
        <s v="Zaur Bağırov"/>
        <s v="Nərmin Tağıyev"/>
        <s v="Fuad Nəbiyev"/>
        <s v="Zeynəb Məmmədov"/>
        <s v="Orxan Kərimov"/>
        <s v="Toğrul Quliyev"/>
        <s v="Emin Sadıqov"/>
        <s v="Nərmin Cəfərov"/>
        <s v="Sevinc Nəbiyev"/>
        <s v="Leyla Əliyev"/>
        <s v="Aynur Sadıqov"/>
        <s v="Fidan Nəbiyev"/>
        <s v="Röya Orucov"/>
        <s v="Nicat Cəfərov"/>
        <s v="Rüfət Abbasov"/>
        <s v="Zaur Abbasov"/>
        <s v="Türkan Rzayev"/>
        <s v="Aynur Rzayev"/>
        <s v="Aynur Cəfərov"/>
        <s v="Nərgiz Həsənov"/>
        <s v="Ceyhun Hüseynov"/>
        <s v="Fərid Musayev"/>
        <s v="Aysel Vəliyev"/>
        <s v="Elşən Musayev"/>
        <s v="Könül Nəbiyev"/>
        <s v="Rüfət Tağıyev"/>
        <s v="Fidan Abbasov"/>
        <s v="Nərgiz Sadıqov"/>
        <s v="Kənan Tağıyev"/>
        <s v="Zeynəb Quliyev"/>
        <s v="Ramin Hüseynov"/>
        <s v="Elşən Əliyev"/>
        <s v="Kamran Həsənov"/>
        <s v="Nərmin Vəliyev"/>
        <s v="Kamran Hüseynov"/>
        <s v="Kənan Nəbiyev"/>
        <s v="Türkan Rəhimov"/>
        <s v="Anar Tağıyev"/>
        <s v="Vüqar Həsənov"/>
        <s v="Leyla Kərimov"/>
        <s v="Ramin Vəliyev"/>
        <s v="Leyla Musayev"/>
        <s v="Aysel Cəfərov"/>
        <s v="Könül Musayev"/>
        <s v="Nicat Rzayev"/>
        <s v="Kənan Musayev"/>
        <s v="Anar Abbasov"/>
        <s v="Nərgiz Əzizov"/>
        <s v="Kənan Əliyev"/>
        <s v="Kənan Sadıqov"/>
        <s v="Elvin Quliyev"/>
        <s v="Elvin Orucov"/>
        <s v="Nərmin Əzizov"/>
        <s v="Samir Rzayev"/>
        <s v="Fidan Bağırov"/>
        <s v="Leyla Bağırov"/>
        <s v="Səbinə Abbasov"/>
        <s v="Aynur Hüseynov"/>
        <s v="Türkan Hüseynov"/>
        <s v="Xəyalə Rzayev"/>
        <s v="Ramin Rəhimov"/>
        <s v="Ceyhun Quliyev"/>
        <s v="Könül Kərimov"/>
        <s v="Türkan Əzizov"/>
        <s v="Sevinc Əzizov"/>
        <s v="Ülviyyə Abbasov"/>
        <s v="Toğrul Əzizov"/>
        <s v="Orxan Əzizov"/>
        <s v="Murad İsmayılov"/>
        <s v="Kamran Sadıqov"/>
        <s v="Fuad Abbasov"/>
        <s v="Röya Əzizov"/>
        <s v="Anar Hüseynov"/>
        <s v="Şəbnəm Abbasov"/>
        <s v="Fərid Rəhimov"/>
        <s v="Aysel İsmayılov"/>
        <s v="Səbinə İsmayılov"/>
        <s v="Ülviyyə Həsənov"/>
        <s v="Zeynəb Novruzov"/>
        <s v="Elşən İsmayılov"/>
        <s v="Şəbnəm Hüseynov"/>
        <s v="Sevinc Musayev"/>
        <s v="Nigar Sadıqov"/>
        <s v="Samir Cəfərov"/>
        <s v="Aysel Musayev"/>
        <s v="Vəfa Quliyev"/>
        <s v="Nicat Vəliyev"/>
        <s v="Türkan Musayev"/>
        <s v="Nərmin Rzayev"/>
        <s v="Nərmin Novruzov"/>
        <s v="Lalə Rzayev"/>
        <s v="Elvin Cəfərov"/>
        <s v="Fuad Cəfərov"/>
        <s v="Nərgiz Orucov"/>
        <s v="Mehriban Məmmədov"/>
        <s v="Fidan Kərimov"/>
        <s v="Fərid Bağırov"/>
        <s v="Anar Sadıqov"/>
        <s v="Toğrul Vəliyev"/>
        <s v="Ceyhun Vəliyev"/>
        <s v="Vəfa İsmayılov"/>
        <s v="Kənan Hüseynov"/>
        <s v="Tural Nəbiyev"/>
        <s v="Səbinə Əliyev"/>
        <s v="Nicat Novruzov"/>
        <s v="Nərmin Musayev"/>
        <s v="Rəşad Abbasov"/>
        <s v="Zeynəb Nəbiyev"/>
        <s v="Zeynəb Hüseynov"/>
        <s v="Fuad Quliyev"/>
        <s v="Vəfa Nəbiyev"/>
        <s v="Tural Tağıyev"/>
        <s v="Röya Abbasov"/>
        <s v="Mehriban Rzayev"/>
        <s v="Şəbnəm Musayev"/>
        <s v="Mehriban Nəbiyev"/>
        <s v="Röya Məmmədov"/>
        <s v="Elvin Tağıyev"/>
        <s v="Nicat Abbasov"/>
        <s v="Ceyhun Sadıqov"/>
        <s v="Anar Bağırov"/>
        <s v="Elşən Nəbiyev"/>
        <s v="Nərgiz Hüseynov"/>
        <s v="Şəbnəm Rzayev"/>
        <s v="Türkan Məmmədov"/>
        <s v="Anar Rzayev"/>
        <s v="Rüfət Novruzov"/>
        <s v="Nərgiz Abbasov"/>
        <s v="Zeynəb Həsənov"/>
        <s v="Mehriban Hüseynov"/>
        <s v="Elşən Məmmədov"/>
        <s v="Rəşad Musayev"/>
        <s v="Rüfət İsmayılov"/>
        <s v="Zeynəb İsmayılov"/>
        <s v="Emin Kərimov"/>
        <s v="Nigar Kərimov"/>
        <s v="Mehriban Əzizov"/>
        <s v="Murad Rzayev"/>
        <s v="Tural Orucov"/>
        <s v="Fidan Quliyev"/>
        <s v="Zaur İsmayılov"/>
        <s v="Ramin Tağıyev"/>
        <s v="Vüqar Məmmədov"/>
        <s v="Murad Hüseynov"/>
        <s v="Zaur Rzayev"/>
        <s v="Aysel Bağırov"/>
        <s v="Kamran Quliyev"/>
        <s v="Leyla İsmayılov"/>
        <s v="Aynur Abbasov"/>
        <s v="Mehriban Novruzov"/>
        <s v="Vüqar Abbasov"/>
        <s v="Günel Bağırov"/>
        <s v="Xəyalə İsmayılov"/>
        <s v="Rüfət Quliyev"/>
        <s v="Türkan Vəliyev"/>
        <s v="Zeynəb Cəfərov"/>
        <s v="Röya Kərimov"/>
        <s v="Toğrul Hüseynov"/>
        <s v="Səbinə Cəfərov"/>
        <s v="Aynur Məmmədov"/>
        <s v="Tural Cəfərov"/>
        <s v="Mehriban Sadıqov"/>
        <s v="Kənan Cəfərov"/>
        <s v="Röya Nəbiyev"/>
        <s v="Vüqar Bağırov"/>
        <s v="Ülviyyə Rəhimov"/>
      </sharedItems>
    </cacheField>
    <cacheField name="Gender" numFmtId="0">
      <sharedItems count="2">
        <s v="M"/>
        <s v="F"/>
      </sharedItems>
    </cacheField>
    <cacheField name="Customer Segment" numFmtId="0">
      <sharedItems count="3">
        <s v="Premium"/>
        <s v="SME"/>
        <s v="Retail"/>
      </sharedItems>
    </cacheField>
    <cacheField name="Branch Name" numFmtId="0">
      <sharedItems count="7">
        <s v="Ganja Branch"/>
        <s v="Baku Yasamal"/>
        <s v="Lankaran Branch"/>
        <s v="Baku Central"/>
        <s v="Sheki Branch"/>
        <s v="Sumgait Branch"/>
        <s v="Mingachevir Branch"/>
      </sharedItems>
    </cacheField>
    <cacheField name="Loan Amount" numFmtId="0">
      <sharedItems containsNumber="1" containsInteger="1" containsMixedTypes="1" count="1299">
        <s v="144802.01"/>
        <s v="79987.33"/>
        <s v="7888.64"/>
        <s v="57335.63"/>
        <s v="68276.52"/>
        <s v="5395.2"/>
        <s v="107604.16"/>
        <s v="7430.32"/>
        <s v="99322.46"/>
        <s v="14436.78"/>
        <s v="106322.24"/>
        <s v="136314.96"/>
        <s v="12025.71"/>
        <s v="11542.3"/>
        <s v="5516.51"/>
        <s v="140462.92"/>
        <s v="152095.89"/>
        <s v="3357.1"/>
        <s v="8034.19"/>
        <s v="39174.9"/>
        <s v="126399.7"/>
        <s v="28675.25"/>
        <s v="86650.25"/>
        <s v="5007.46"/>
        <s v="21487.02"/>
        <s v="131621.36"/>
        <s v="3271.66"/>
        <s v="12138.1"/>
        <s v="100872.7"/>
        <s v="39596.7"/>
        <s v="32046.48"/>
        <s v="2561.95"/>
        <s v="2079.28"/>
        <s v="16932.81"/>
        <s v="5942.55"/>
        <s v="1499.15"/>
        <s v="5904.77"/>
        <s v="10245.78"/>
        <s v="89731.63"/>
        <s v="37365.44"/>
        <s v="181409.06"/>
        <s v="20276.54"/>
        <s v="37297.23"/>
        <s v="11518.52"/>
        <s v="12261.15"/>
        <s v="3634.41"/>
        <s v="12762.83"/>
        <s v="6608.87"/>
        <s v="92837.72"/>
        <s v="36617.84"/>
        <s v="26881.9"/>
        <s v="7263.69"/>
        <s v="81588.38"/>
        <s v="167764.77"/>
        <s v="28762.12"/>
        <s v="14626.42"/>
        <s v="31037.18"/>
        <s v="6252.21"/>
        <s v="5711.66"/>
        <s v="25845.3"/>
        <s v="8070.14"/>
        <s v="9402.66"/>
        <s v="14194.57"/>
        <s v="80836.19"/>
        <s v="669.93"/>
        <s v="6977.57"/>
        <s v="99530.35"/>
        <s v="141559.21"/>
        <s v="3910.27"/>
        <s v="1452.84"/>
        <s v="5571.63"/>
        <s v="1471.05"/>
        <s v="9814.54"/>
        <s v="9701.13"/>
        <s v="7281.43"/>
        <s v="24478.57"/>
        <s v="112550.72"/>
        <s v="12971.68"/>
        <s v="156488.71"/>
        <s v="1218.62"/>
        <s v="10418.17"/>
        <s v="87041.24"/>
        <s v="34748.01"/>
        <s v="9477.37"/>
        <n v="152589"/>
        <s v="8692.15"/>
        <s v="8404.49"/>
        <s v="9594.92"/>
        <s v="7213.02"/>
        <s v="14710.22"/>
        <s v="34880.08"/>
        <s v="9608.98"/>
        <s v="37488.65"/>
        <s v="21100.83"/>
        <s v="39769.54"/>
        <s v="4202.04"/>
        <s v="170236.97"/>
        <n v="167673"/>
        <s v="11524.84"/>
        <s v="63962.45"/>
        <s v="96533.43"/>
        <s v="5945.96"/>
        <n v="3823"/>
        <s v="7771.89"/>
        <s v="75611.91"/>
        <s v="19225.29"/>
        <s v="116430.82"/>
        <s v="61352.8"/>
        <s v="7812.74"/>
        <s v="17470.31"/>
        <s v="34100.07"/>
        <s v="91194.05"/>
        <s v="155689.29"/>
        <s v="37682.93"/>
        <s v="683.07"/>
        <n v="22466"/>
        <s v="3194.41"/>
        <s v="2267.35"/>
        <s v="26436.52"/>
        <s v="3664.38"/>
        <s v="133140.39"/>
        <s v="24437.48"/>
        <s v="6646.72"/>
        <s v="112985.79"/>
        <s v="84930.96"/>
        <s v="81166.55"/>
        <s v="32467.9"/>
        <s v="27642.84"/>
        <s v="10902.81"/>
        <s v="4203.21"/>
        <s v="5555.26"/>
        <s v="148924.06"/>
        <s v="61112.79"/>
        <s v="13785.27"/>
        <s v="12671.08"/>
        <s v="3833.53"/>
        <s v="3215.77"/>
        <s v="5534.7"/>
        <s v="87582.7"/>
        <s v="36343.64"/>
        <s v="36013.33"/>
        <s v="13902.99"/>
        <s v="129031.63"/>
        <s v="9553.11"/>
        <s v="26718.5"/>
        <s v="100172.69"/>
        <s v="5894.65"/>
        <s v="3672.71"/>
        <s v="5312.65"/>
        <s v="179204.32"/>
        <s v="3503.12"/>
        <s v="10270.21"/>
        <s v="13555.59"/>
        <s v="31092.32"/>
        <s v="24408.44"/>
        <s v="3362.54"/>
        <s v="7801.22"/>
        <s v="3816.43"/>
        <s v="2396.29"/>
        <s v="33406.3"/>
        <s v="121973.78"/>
        <s v="9109.79"/>
        <s v="142347.25"/>
        <s v="134374.47"/>
        <s v="10533.98"/>
        <s v="68969.22"/>
        <s v="35972.39"/>
        <s v="143817.41"/>
        <s v="197762.12"/>
        <s v="3428.82"/>
        <s v="36010.77"/>
        <s v="118224.88"/>
        <s v="10388.88"/>
        <s v="10823.36"/>
        <s v="10959.33"/>
        <s v="117072.83"/>
        <s v="11956.17"/>
        <s v="12767.17"/>
        <s v="14770.82"/>
        <s v="3988.56"/>
        <s v="140575.17"/>
        <s v="8791.01"/>
        <s v="142529.34"/>
        <s v="10185.67"/>
        <s v="11048.12"/>
        <s v="579.32"/>
        <s v="10142.32"/>
        <s v="14659.3"/>
        <s v="14529.83"/>
        <s v="6439.51"/>
        <s v="113998.69"/>
        <s v="154008.08"/>
        <s v="131860.43"/>
        <s v="9409.18"/>
        <s v="3665.93"/>
        <s v="105774.5"/>
        <s v="35104.63"/>
        <s v="31319.17"/>
        <s v="5333.42"/>
        <s v="8283.76"/>
        <s v="107039.9"/>
        <s v="19684.69"/>
        <s v="55970.53"/>
        <s v="4932.31"/>
        <s v="35675.43"/>
        <s v="114097.28"/>
        <s v="5981.93"/>
        <s v="7926.31"/>
        <s v="6609.61"/>
        <s v="53157.89"/>
        <s v="4722.03"/>
        <s v="3916.14"/>
        <s v="102199.06"/>
        <s v="26787.07"/>
        <s v="69733.69"/>
        <s v="25875.72"/>
        <s v="35314.08"/>
        <s v="14455.59"/>
        <s v="16655.1"/>
        <s v="102733.64"/>
        <s v="45299.68"/>
        <s v="2297.4"/>
        <s v="58804.08"/>
        <s v="37777.63"/>
        <s v="34239.05"/>
        <s v="104471.53"/>
        <s v="96205.98"/>
        <s v="2189.23"/>
        <s v="13239.84"/>
        <s v="34742.13"/>
        <s v="36652.31"/>
        <s v="3175.68"/>
        <s v="31459.97"/>
        <s v="123212.38"/>
        <s v="22661.6"/>
        <s v="26116.38"/>
        <s v="7126.61"/>
        <s v="22591.65"/>
        <s v="143693.34"/>
        <s v="30299.47"/>
        <s v="7479.1"/>
        <s v="26761.9"/>
        <s v="8866.13"/>
        <s v="164653.92"/>
        <s v="11265.89"/>
        <s v="13708.09"/>
        <s v="10852.24"/>
        <s v="10456.29"/>
        <s v="97938.13"/>
        <s v="120438.05"/>
        <s v="2652.11"/>
        <s v="28534.03"/>
        <s v="9125.07"/>
        <s v="33914.13"/>
        <s v="6463.4"/>
        <s v="103443.08"/>
        <s v="5677.34"/>
        <s v="55453.13"/>
        <s v="14279.49"/>
        <s v="129447.74"/>
        <s v="19353.58"/>
        <s v="1366.97"/>
        <s v="2323.93"/>
        <s v="6929.92"/>
        <s v="6476.15"/>
        <s v="19541.6"/>
        <s v="7454.79"/>
        <s v="196397.64"/>
        <s v="9690.28"/>
        <s v="16702.7"/>
        <s v="108247.52"/>
        <s v="22850.58"/>
        <s v="136782.6"/>
        <s v="7463.65"/>
        <n v="10528"/>
        <s v="10995.06"/>
        <s v="5178.78"/>
        <s v="29570.84"/>
        <s v="6983.94"/>
        <s v="190504.92"/>
        <s v="22999.83"/>
        <s v="9493.43"/>
        <s v="9968.27"/>
        <s v="12378.26"/>
        <s v="147019.63"/>
        <s v="38647.7"/>
        <s v="23370.32"/>
        <s v="97273.35"/>
        <s v="30124.27"/>
        <s v="13968.35"/>
        <s v="989.87"/>
        <s v="5170.84"/>
        <s v="5551.14"/>
        <s v="74771.45"/>
        <s v="18097.61"/>
        <s v="149744.92"/>
        <s v="3990.76"/>
        <s v="122303.84"/>
        <s v="189769.17"/>
        <s v="15569.04"/>
        <s v="5397.14"/>
        <s v="10625.93"/>
        <s v="114544.81"/>
        <s v="1393.53"/>
        <s v="5234.17"/>
        <s v="1193.97"/>
        <s v="8379.26"/>
        <s v="199518.3"/>
        <s v="13707.49"/>
        <s v="77549.67"/>
        <s v="13005.07"/>
        <s v="14301.16"/>
        <s v="188229.87"/>
        <s v="55371.12"/>
        <s v="6092.29"/>
        <s v="26940.61"/>
        <s v="10277.17"/>
        <s v="186480.07"/>
        <s v="7595.42"/>
        <s v="6237.09"/>
        <s v="190588.34"/>
        <s v="1167.95"/>
        <s v="57263.66"/>
        <s v="92571.67"/>
        <s v="35107.93"/>
        <s v="1521.84"/>
        <s v="5699.16"/>
        <s v="7518.82"/>
        <s v="19060.86"/>
        <s v="3350.79"/>
        <s v="156318.47"/>
        <s v="13432.48"/>
        <s v="172392.44"/>
        <s v="61820.3"/>
        <s v="26328.41"/>
        <s v="29403.09"/>
        <s v="25626.88"/>
        <s v="168138.77"/>
        <s v="111158.27"/>
        <s v="14637.47"/>
        <s v="9175.25"/>
        <s v="742.71"/>
        <s v="113319.92"/>
        <s v="2635.27"/>
        <s v="23700.24"/>
        <s v="39656.74"/>
        <s v="38792.43"/>
        <s v="31012.87"/>
        <s v="62414.31"/>
        <s v="78313.07"/>
        <s v="13984.93"/>
        <s v="162142.34"/>
        <s v="2008.49"/>
        <s v="111623.82"/>
        <s v="14259.48"/>
        <s v="85827.36"/>
        <s v="2333.26"/>
        <s v="6311.69"/>
        <s v="15770.37"/>
        <s v="115093.36"/>
        <s v="151370.92"/>
        <s v="19098.14"/>
        <s v="32867.8"/>
        <s v="8422.95"/>
        <s v="23435.12"/>
        <s v="79617.78"/>
        <s v="11215.11"/>
        <s v="38182.87"/>
        <s v="32077.21"/>
        <s v="3583.85"/>
        <s v="35537.05"/>
        <s v="17249.14"/>
        <s v="13146.39"/>
        <s v="107354.22"/>
        <s v="150083.09"/>
        <s v="21791.23"/>
        <s v="21052.6"/>
        <n v="8176"/>
        <s v="1409.7"/>
        <s v="12576.49"/>
        <s v="120198.94"/>
        <s v="7187.51"/>
        <s v="24855.48"/>
        <s v="8712.73"/>
        <s v="14727.9"/>
        <s v="109733.12"/>
        <s v="10376.49"/>
        <s v="4813.03"/>
        <s v="10452.65"/>
        <s v="11013.6"/>
        <s v="83098.69"/>
        <s v="16093.56"/>
        <s v="91976.84"/>
        <s v="2976.39"/>
        <s v="8588.45"/>
        <s v="3924.4"/>
        <s v="23986.76"/>
        <s v="87721.45"/>
        <s v="1835.63"/>
        <s v="9327.42"/>
        <s v="136537.78"/>
        <s v="5425.68"/>
        <s v="113552.99"/>
        <s v="98570.71"/>
        <s v="2631.83"/>
        <s v="5023.28"/>
        <s v="116235.83"/>
        <s v="100945.66"/>
        <s v="14861.82"/>
        <s v="1727.59"/>
        <s v="183609.9"/>
        <s v="96093.4"/>
        <s v="91626.03"/>
        <s v="36808.45"/>
        <s v="30033.06"/>
        <s v="122727.35"/>
        <s v="113706.49"/>
        <s v="12899.39"/>
        <s v="13361.86"/>
        <s v="57572.84"/>
        <s v="147457.61"/>
        <s v="100127.23"/>
        <s v="18404.16"/>
        <s v="105382.23"/>
        <s v="14527.45"/>
        <s v="849.58"/>
        <s v="85077.35"/>
        <s v="189672.93"/>
        <s v="27921.81"/>
        <s v="7758.36"/>
        <n v="149706"/>
        <s v="20560.68"/>
        <s v="132955.18"/>
        <s v="46509.46"/>
        <s v="2242.67"/>
        <s v="187835.28"/>
        <s v="30530.18"/>
        <s v="8141.01"/>
        <s v="6725.73"/>
        <s v="98729.56"/>
        <s v="6884.57"/>
        <s v="8192.75"/>
        <s v="5590.36"/>
        <s v="149639.1"/>
        <s v="7877.82"/>
        <s v="14999.82"/>
        <s v="56838.94"/>
        <s v="12913.36"/>
        <s v="7285.76"/>
        <s v="6433.75"/>
        <s v="8026.2"/>
        <s v="7926.19"/>
        <s v="79806.12"/>
        <s v="13704.46"/>
        <s v="5738.34"/>
        <s v="14503.71"/>
        <s v="25843.26"/>
        <s v="2141.85"/>
        <s v="2571.2"/>
        <s v="193228.89"/>
        <s v="32468.18"/>
        <s v="8157.91"/>
        <s v="61860.9"/>
        <s v="3666.28"/>
        <s v="154993.13"/>
        <s v="14937.71"/>
        <s v="37409.77"/>
        <n v="27814"/>
        <s v="13442.32"/>
        <s v="2044.72"/>
        <s v="32982.03"/>
        <s v="28265.94"/>
        <s v="2452.34"/>
        <s v="88037.08"/>
        <s v="7629.45"/>
        <s v="10245.75"/>
        <s v="44907.6"/>
        <s v="3429.86"/>
        <s v="64935.8"/>
        <s v="173197.56"/>
        <s v="32677.23"/>
        <s v="82621.44"/>
        <s v="35765.16"/>
        <s v="2502.34"/>
        <s v="29291.4"/>
        <s v="3152.26"/>
        <s v="9330.55"/>
        <s v="12199.67"/>
        <s v="165169.6"/>
        <s v="10174.98"/>
        <s v="182691.36"/>
        <s v="13916.72"/>
        <s v="141258.85"/>
        <s v="22121.03"/>
        <s v="6668.75"/>
        <s v="14334.83"/>
        <s v="36334.81"/>
        <s v="27745.42"/>
        <s v="99130.05"/>
        <s v="11517.18"/>
        <s v="2213.62"/>
        <s v="708.57"/>
        <s v="39521.04"/>
        <s v="97109.45"/>
        <s v="19620.98"/>
        <s v="19889.42"/>
        <s v="101976.77"/>
        <s v="63699.8"/>
        <s v="36550.12"/>
        <s v="35886.69"/>
        <s v="27213.44"/>
        <s v="129109.15"/>
        <s v="101727.13"/>
        <s v="125307.44"/>
        <s v="5360.38"/>
        <s v="27483.96"/>
        <s v="89850.45"/>
        <s v="13885.08"/>
        <s v="37874.38"/>
        <s v="32073.81"/>
        <s v="1147.93"/>
        <s v="37090.39"/>
        <s v="3286.37"/>
        <s v="22727.17"/>
        <s v="3527.72"/>
        <s v="2035.73"/>
        <s v="10004.13"/>
        <s v="72416.86"/>
        <s v="22019.8"/>
        <s v="2595.35"/>
        <s v="14769.74"/>
        <s v="167831.77"/>
        <s v="9563.88"/>
        <s v="199498.07"/>
        <n v="32802"/>
        <s v="16992.19"/>
        <s v="110255.4"/>
        <s v="1530.75"/>
        <s v="77242.63"/>
        <s v="12528.13"/>
        <s v="88058.38"/>
        <s v="13469.08"/>
        <s v="6673.94"/>
        <s v="3552.66"/>
        <n v="9555"/>
        <s v="27832.25"/>
        <s v="51115.16"/>
        <s v="61858.27"/>
        <s v="63694.48"/>
        <s v="134340.78"/>
        <s v="71980.51"/>
        <s v="5585.34"/>
        <s v="95295.96"/>
        <s v="194961.19"/>
        <s v="31090.94"/>
        <s v="1607.28"/>
        <s v="4710.18"/>
        <s v="115608.51"/>
        <s v="89742.01"/>
        <s v="6170.29"/>
        <s v="13608.15"/>
        <s v="112112.83"/>
        <s v="4468.87"/>
        <s v="880.47"/>
        <s v="24720.94"/>
        <s v="137823.71"/>
        <s v="103464.02"/>
        <s v="582.25"/>
        <s v="103559.9"/>
        <s v="125290.4"/>
        <s v="19743.18"/>
        <s v="39109.22"/>
        <s v="39479.64"/>
        <s v="197270.93"/>
        <s v="76585.92"/>
        <s v="3135.21"/>
        <s v="87710.73"/>
        <s v="31179.62"/>
        <s v="64354.52"/>
        <s v="16172.53"/>
        <s v="85345.54"/>
        <s v="73945.92"/>
        <s v="4044.33"/>
        <s v="12118.22"/>
        <s v="177715.77"/>
        <s v="2084.63"/>
        <s v="7574.87"/>
        <s v="3149.56"/>
        <s v="131669.6"/>
        <s v="133336.09"/>
        <s v="8059.97"/>
        <s v="196246.94"/>
        <n v="49895"/>
        <s v="35391.49"/>
        <s v="55039.13"/>
        <s v="12974.6"/>
        <s v="25460.64"/>
        <s v="1114.55"/>
        <s v="55769.19"/>
        <s v="33773.71"/>
        <s v="1699.59"/>
        <s v="14643.41"/>
        <s v="1386.89"/>
        <s v="18885.26"/>
        <s v="124536.98"/>
        <s v="194566.98"/>
        <s v="8414.1"/>
        <s v="4206.28"/>
        <s v="30544.64"/>
        <s v="778.95"/>
        <s v="109719.1"/>
        <s v="35788.19"/>
        <s v="80363.56"/>
        <s v="12542.7"/>
        <s v="13247.46"/>
        <s v="7579.69"/>
        <s v="97130.03"/>
        <s v="51292.23"/>
        <s v="31877.7"/>
        <s v="69186.91"/>
        <s v="14345.28"/>
        <s v="91057.31"/>
        <s v="3531.25"/>
        <s v="2039.78"/>
        <s v="29879.78"/>
        <s v="8143.71"/>
        <s v="17638.58"/>
        <s v="193333.15"/>
        <s v="45363.59"/>
        <s v="132730.44"/>
        <s v="140005.61"/>
        <s v="147609.96"/>
        <s v="61605.36"/>
        <s v="149318.05"/>
        <s v="6423.15"/>
        <s v="1280.77"/>
        <s v="146876.81"/>
        <s v="125793.5"/>
        <s v="64755.13"/>
        <s v="172199.02"/>
        <s v="11570.23"/>
        <s v="37408.81"/>
        <s v="20913.37"/>
        <s v="7802.35"/>
        <s v="4264.04"/>
        <s v="14242.6"/>
        <s v="4509.47"/>
        <s v="12782.51"/>
        <s v="1910.04"/>
        <s v="138402.04"/>
        <s v="154211.85"/>
        <s v="2789.52"/>
        <s v="32388.89"/>
        <n v="13572"/>
        <s v="89725.91"/>
        <s v="78923.82"/>
        <s v="8041.34"/>
        <s v="25588.86"/>
        <s v="111732.9"/>
        <s v="134901.53"/>
        <s v="135456.99"/>
        <s v="36138.61"/>
        <s v="13223.72"/>
        <s v="58114.68"/>
        <s v="7936.92"/>
        <s v="189088.4"/>
        <s v="10709.15"/>
        <s v="9086.41"/>
        <s v="100566.93"/>
        <s v="22269.01"/>
        <s v="1486.47"/>
        <s v="129314.31"/>
        <s v="28395.56"/>
        <s v="28124.9"/>
        <s v="113521.57"/>
        <s v="13650.39"/>
        <s v="4155.1"/>
        <s v="24065.89"/>
        <s v="19935.6"/>
        <s v="18995.13"/>
        <s v="29551.1"/>
        <s v="24311.86"/>
        <s v="14600.76"/>
        <s v="142681.28"/>
        <s v="55896.51"/>
        <s v="7862.75"/>
        <s v="22833.73"/>
        <s v="8650.81"/>
        <s v="9745.88"/>
        <s v="80769.6"/>
        <s v="33799.54"/>
        <s v="9617.26"/>
        <s v="39740.81"/>
        <s v="8664.71"/>
        <s v="102908.3"/>
        <s v="86033.72"/>
        <s v="14344.48"/>
        <s v="12769.49"/>
        <s v="145530.71"/>
        <s v="100434.83"/>
        <s v="91309.95"/>
        <s v="121697.23"/>
        <s v="17496.36"/>
        <s v="8077.29"/>
        <s v="185339.43"/>
        <s v="188791.09"/>
        <s v="88367.47"/>
        <s v="6548.08"/>
        <s v="12953.37"/>
        <s v="23427.22"/>
        <s v="5519.03"/>
        <s v="58812.04"/>
        <s v="2120.93"/>
        <s v="51200.65"/>
        <s v="61890.88"/>
        <s v="151819.78"/>
        <s v="20124.24"/>
        <s v="1108.82"/>
        <s v="30340.6"/>
        <s v="91691.41"/>
        <s v="39780.37"/>
        <s v="5503.33"/>
        <s v="34695.41"/>
        <s v="9457.07"/>
        <s v="7693.49"/>
        <s v="21778.67"/>
        <s v="32880.19"/>
        <s v="139582.02"/>
        <s v="192733.87"/>
        <s v="131543.75"/>
        <s v="107237.42"/>
        <s v="125917.39"/>
        <s v="21571.45"/>
        <s v="190191.4"/>
        <s v="196819.45"/>
        <s v="22645.6"/>
        <s v="14548.26"/>
        <s v="690.39"/>
        <s v="52956.77"/>
        <s v="129223.76"/>
        <s v="6261.26"/>
        <s v="199825.58"/>
        <s v="23276.38"/>
        <s v="61959.36"/>
        <s v="36312.35"/>
        <s v="2460.3"/>
        <s v="17210.59"/>
        <s v="7247.45"/>
        <s v="6440.61"/>
        <s v="7820.62"/>
        <s v="12768.02"/>
        <s v="10553.12"/>
        <s v="114063.73"/>
        <s v="127917.34"/>
        <s v="3347.15"/>
        <s v="8462.23"/>
        <s v="114238.5"/>
        <s v="13612.5"/>
        <s v="29956.22"/>
        <s v="9029.55"/>
        <s v="7789.47"/>
        <s v="35815.5"/>
        <s v="2581.91"/>
        <s v="14096.14"/>
        <s v="109535.96"/>
        <s v="23908.71"/>
        <s v="144140.39"/>
        <s v="17379.81"/>
        <s v="39799.62"/>
        <s v="119786.72"/>
        <s v="8868.43"/>
        <s v="10660.36"/>
        <s v="9599.5"/>
        <s v="92825.93"/>
        <s v="117561.09"/>
        <s v="6578.31"/>
        <s v="15217.92"/>
        <s v="25557.48"/>
        <s v="4688.64"/>
        <s v="7626.7"/>
        <s v="33566.31"/>
        <s v="13931.06"/>
        <s v="126625.71"/>
        <s v="29833.81"/>
        <s v="11041.32"/>
        <s v="82286.22"/>
        <s v="36808.82"/>
        <s v="38705.02"/>
        <s v="12787.15"/>
        <s v="5190.52"/>
        <s v="9156.15"/>
        <s v="151515.39"/>
        <s v="18274.06"/>
        <s v="11715.79"/>
        <s v="3217.27"/>
        <s v="23010.24"/>
        <s v="196430.32"/>
        <s v="10669.63"/>
        <s v="14205.21"/>
        <s v="17050.61"/>
        <s v="3795.54"/>
        <s v="82104.27"/>
        <s v="120393.58"/>
        <s v="28972.62"/>
        <s v="32174.13"/>
        <s v="62315.24"/>
        <s v="190970.02"/>
        <s v="79379.01"/>
        <s v="4516.24"/>
        <s v="2368.64"/>
        <s v="27046.23"/>
        <s v="38441.65"/>
        <s v="117274.3"/>
        <s v="39870.52"/>
        <s v="9364.83"/>
        <s v="9247.33"/>
        <s v="35072.77"/>
        <s v="3150.54"/>
        <s v="164571.85"/>
        <s v="82698.38"/>
        <s v="5501.88"/>
        <s v="80436.15"/>
        <s v="2884.83"/>
        <n v="11045"/>
        <s v="9279.05"/>
        <s v="49731.75"/>
        <s v="27741.64"/>
        <s v="27893.46"/>
        <s v="9800.12"/>
        <s v="138727.68"/>
        <s v="14233.44"/>
        <s v="59233.34"/>
        <s v="17118.71"/>
        <s v="39053.5"/>
        <s v="30689.01"/>
        <s v="23286.73"/>
        <s v="19163.96"/>
        <s v="26813.91"/>
        <s v="14627.79"/>
        <s v="4323.97"/>
        <s v="28347.36"/>
        <s v="105227.01"/>
        <s v="14574.66"/>
        <s v="99051.25"/>
        <s v="73179.73"/>
        <s v="134653.55"/>
        <s v="18117.26"/>
        <s v="9120.98"/>
        <s v="26307.93"/>
        <s v="5842.47"/>
        <s v="16792.38"/>
        <s v="80933.46"/>
        <s v="64608.91"/>
        <s v="5991.42"/>
        <s v="5337.09"/>
        <s v="7994.88"/>
        <s v="30363.04"/>
        <s v="13641.19"/>
        <s v="5243.87"/>
        <s v="39234.36"/>
        <s v="5909.87"/>
        <s v="7165.33"/>
        <s v="14985.84"/>
        <s v="27637.47"/>
        <s v="34888.31"/>
        <s v="18971.99"/>
        <s v="146758.09"/>
        <s v="68785.86"/>
        <s v="37905.82"/>
        <s v="12445.22"/>
        <s v="135541.11"/>
        <s v="11603.47"/>
        <s v="75182.79"/>
        <s v="36450.01"/>
        <s v="12050.15"/>
        <s v="5007.57"/>
        <s v="32624.3"/>
        <s v="4168.46"/>
        <s v="10719.28"/>
        <s v="192275.44"/>
        <s v="8181.98"/>
        <s v="31659.43"/>
        <s v="10557.69"/>
        <s v="190430.06"/>
        <s v="22817.89"/>
        <s v="5004.62"/>
        <s v="26612.99"/>
        <s v="97320.42"/>
        <s v="46314.12"/>
        <s v="74219.05"/>
        <s v="101841.11"/>
        <s v="112414.21"/>
        <s v="9852.48"/>
        <s v="9613.32"/>
        <s v="22545.27"/>
        <s v="4943.51"/>
        <s v="166728.52"/>
        <s v="13710.02"/>
        <s v="4855.25"/>
        <s v="8262.88"/>
        <s v="76648.43"/>
        <s v="18401.46"/>
        <s v="144895.27"/>
        <s v="9656.65"/>
        <s v="18995.71"/>
        <s v="33071.79"/>
        <s v="11890.3"/>
        <s v="9730.85"/>
        <s v="93452.04"/>
        <s v="5319.83"/>
        <s v="13052.85"/>
        <s v="37023.28"/>
        <s v="2393.28"/>
        <s v="7101.4"/>
        <s v="98114.94"/>
        <s v="64822.93"/>
        <s v="1974.92"/>
        <s v="197391.39"/>
        <s v="8176.73"/>
        <s v="2906.29"/>
        <s v="14763.98"/>
        <s v="5179.3"/>
        <s v="1755.19"/>
        <s v="54447.01"/>
        <s v="7868.34"/>
        <n v="90948"/>
        <s v="39948.35"/>
        <s v="9676.39"/>
        <s v="21989.01"/>
        <s v="84894.79"/>
        <s v="4255.57"/>
        <s v="15209.96"/>
        <s v="101545.57"/>
        <s v="14698.87"/>
        <s v="93089.99"/>
        <s v="2339.87"/>
        <s v="57447.94"/>
        <s v="8141.19"/>
        <s v="5440.43"/>
        <s v="10035.29"/>
        <s v="76645.38"/>
        <s v="685.04"/>
        <s v="26299.85"/>
        <s v="2557.48"/>
        <s v="22392.77"/>
        <s v="19753.48"/>
        <s v="38757.97"/>
        <s v="6573.58"/>
        <s v="24924.85"/>
        <s v="10696.82"/>
        <s v="188534.87"/>
        <s v="15967.26"/>
        <s v="31966.28"/>
        <s v="29044.95"/>
        <s v="15625.11"/>
        <s v="11861.23"/>
        <s v="104853.3"/>
        <s v="1743.21"/>
        <s v="14363.26"/>
        <s v="2873.3"/>
        <s v="14390.36"/>
        <s v="3356.59"/>
        <s v="4938.31"/>
        <s v="3548.65"/>
        <s v="10854.54"/>
        <s v="11931.08"/>
        <s v="1262.77"/>
        <s v="3459.58"/>
        <s v="3876.3"/>
        <s v="144704.83"/>
        <s v="57076.09"/>
        <s v="129511.5"/>
        <s v="10099.75"/>
        <s v="7070.88"/>
        <s v="5464.15"/>
        <s v="149071.54"/>
        <s v="30665.71"/>
        <s v="174780.9"/>
        <s v="828.53"/>
        <s v="149465.18"/>
        <s v="18130.67"/>
        <s v="7475.56"/>
        <s v="4253.3"/>
        <s v="10272.68"/>
        <s v="57835.72"/>
        <s v="7544.84"/>
        <s v="148081.85"/>
        <s v="1138.9"/>
        <s v="7128.01"/>
        <s v="1671.65"/>
        <s v="13746.11"/>
        <s v="153548.8"/>
        <s v="91758.06"/>
        <s v="19865.16"/>
        <s v="17426.09"/>
        <s v="169031.05"/>
        <s v="1861.61"/>
        <s v="128771.61"/>
        <s v="37545.23"/>
        <s v="171066.27"/>
        <s v="25807.53"/>
        <s v="39655.36"/>
        <s v="88708.99"/>
        <s v="13161.12"/>
        <s v="94076.26"/>
        <s v="37975.35"/>
        <s v="2184.03"/>
        <s v="144807.37"/>
        <s v="101267.01"/>
        <s v="50900.31"/>
        <s v="141396.62"/>
        <s v="17286.57"/>
        <s v="5059.56"/>
        <s v="119266.88"/>
        <s v="15947.25"/>
        <s v="11067.77"/>
        <s v="33464.15"/>
        <s v="547.41"/>
        <s v="5168.1"/>
        <s v="133551.57"/>
        <s v="13136.95"/>
        <s v="3012.34"/>
        <s v="135042.69"/>
        <s v="2942.65"/>
        <s v="6816.88"/>
        <s v="88832.17"/>
        <s v="194496.68"/>
        <s v="8676.21"/>
        <s v="33814.05"/>
        <s v="57502.63"/>
        <s v="146702.97"/>
        <s v="24707.07"/>
        <s v="4697.17"/>
        <s v="26255.37"/>
        <s v="3701.82"/>
        <s v="38718.66"/>
        <s v="118684.22"/>
        <s v="4012.33"/>
        <s v="13663.6"/>
        <s v="18546.87"/>
        <s v="7972.09"/>
        <s v="12831.02"/>
        <s v="8948.58"/>
        <s v="6958.27"/>
        <s v="26780.71"/>
        <s v="138356.75"/>
        <s v="199763.33"/>
        <s v="24621.89"/>
        <s v="20365.81"/>
        <s v="56883.47"/>
        <s v="8463.72"/>
        <s v="32828.37"/>
        <s v="145550.8"/>
        <s v="6035.31"/>
        <s v="5334.64"/>
        <s v="13912.69"/>
        <s v="152434.27"/>
        <s v="3771.32"/>
        <s v="31115.44"/>
        <s v="3240.71"/>
        <s v="95485.57"/>
        <s v="118125.17"/>
        <s v="176426.84"/>
        <s v="24149.51"/>
        <s v="145127.96"/>
        <s v="4075.89"/>
        <s v="104416.1"/>
        <s v="33853.1"/>
        <s v="38198.81"/>
        <s v="11089.7"/>
        <s v="140532.71"/>
        <s v="25179.81"/>
        <s v="16820.11"/>
        <s v="17141.5"/>
        <s v="664.45"/>
        <s v="151528.99"/>
        <s v="9965.05"/>
        <s v="26231.07"/>
        <s v="35877.6"/>
        <s v="31408.17"/>
        <s v="23399.9"/>
        <s v="3881.41"/>
        <s v="11670.45"/>
        <s v="4423.67"/>
        <s v="5096.92"/>
        <s v="52153.4"/>
        <s v="1266.27"/>
        <s v="16662.44"/>
        <s v="157592.58"/>
        <s v="67826.8"/>
        <s v="8928.01"/>
        <s v="79629.62"/>
        <s v="75000.89"/>
        <s v="114341.2"/>
        <s v="5195.82"/>
        <s v="4805.76"/>
        <s v="86062.2"/>
        <s v="101469.26"/>
        <s v="120209.7"/>
        <s v="10050.36"/>
        <s v="36264.45"/>
        <s v="7697.61"/>
        <s v="59051.04"/>
        <s v="128527.35"/>
        <s v="33472.2"/>
        <s v="83856.21"/>
        <s v="121946.46"/>
        <s v="6694.92"/>
        <s v="133047.42"/>
        <s v="145529.64"/>
        <s v="9879.76"/>
        <s v="102312.4"/>
        <s v="70635.58"/>
        <s v="69536.64"/>
        <s v="8368.26"/>
        <s v="74245.27"/>
        <s v="3000.12"/>
        <s v="109269.17"/>
        <s v="7954.24"/>
        <s v="72203.04"/>
        <s v="109012.16"/>
        <s v="3723.32"/>
        <s v="44298.56"/>
        <n v="176944"/>
        <s v="159515.08"/>
        <s v="10329.68"/>
        <s v="30071.86"/>
        <s v="26805.41"/>
        <s v="140201.08"/>
        <s v="35306.16"/>
        <s v="8504.55"/>
        <s v="18168.63"/>
        <s v="9456.42"/>
        <s v="78237.47"/>
        <s v="11860.45"/>
        <s v="1697.42"/>
        <s v="1364.1"/>
        <s v="10084.4"/>
        <s v="2337.77"/>
        <s v="23396.17"/>
        <s v="4005.61"/>
        <s v="30830.58"/>
        <s v="8376.02"/>
        <s v="9207.61"/>
        <s v="75275.39"/>
        <s v="148628.82"/>
        <s v="31432.82"/>
        <s v="887.49"/>
        <s v="9052.98"/>
        <s v="22007.18"/>
        <s v="28970.69"/>
        <s v="11944.06"/>
        <s v="123028.42"/>
        <s v="7365.85"/>
        <s v="2610.01"/>
        <s v="24619.6"/>
        <s v="14025.74"/>
        <s v="15596.86"/>
        <s v="187799.62"/>
        <s v="53892.29"/>
        <s v="34403.9"/>
        <s v="1189.14"/>
        <s v="22059.84"/>
        <s v="24333.7"/>
        <s v="41402.33"/>
        <s v="8077.01"/>
        <n v="13059"/>
        <s v="6816.96"/>
        <s v="50832.71"/>
        <s v="18616.01"/>
        <s v="8614.91"/>
        <s v="150375.48"/>
        <s v="160831.71"/>
        <s v="38084.25"/>
        <s v="7842.2"/>
        <s v="3545.48"/>
        <s v="1899.7"/>
        <s v="4872.53"/>
        <s v="32181.92"/>
        <s v="150493.28"/>
        <s v="94114.46"/>
        <s v="6005.53"/>
        <s v="115887.17"/>
        <s v="39726.64"/>
        <s v="27837.96"/>
        <s v="23577.4"/>
        <s v="101634.28"/>
        <s v="6454.28"/>
        <s v="22040.05"/>
        <s v="141204.95"/>
        <s v="137799.35"/>
        <s v="9519.45"/>
        <s v="26346.69"/>
        <s v="8844.23"/>
        <s v="4291.67"/>
        <s v="32991.22"/>
        <s v="3428.45"/>
        <s v="5893.16"/>
        <s v="5198.11"/>
        <s v="111847.73"/>
        <s v="160064.43"/>
        <s v="31956.31"/>
        <s v="9248.38"/>
        <s v="140006.63"/>
        <s v="31613.06"/>
        <s v="21291.32"/>
        <s v="35909.38"/>
        <s v="19119.6"/>
        <s v="14877.8"/>
        <s v="20588.13"/>
        <s v="169294.43"/>
        <s v="179600.99"/>
        <s v="4074.17"/>
        <s v="83844.06"/>
        <s v="2495.49"/>
        <s v="12973.89"/>
        <s v="197364.71"/>
        <s v="4529.73"/>
        <s v="61447.38"/>
        <s v="136080.9"/>
        <s v="30500.36"/>
        <s v="11896.31"/>
        <s v="28939.96"/>
        <s v="7371.95"/>
        <s v="85195.04"/>
        <s v="7376.95"/>
        <s v="61133.46"/>
        <s v="35777.74"/>
        <s v="3024.87"/>
        <s v="174747.97"/>
        <s v="7726.03"/>
        <s v="9144.4"/>
        <s v="1854.97"/>
        <s v="2276.22"/>
        <s v="177907.48"/>
        <s v="35103.03"/>
        <s v="679.38"/>
        <s v="1986.33"/>
        <s v="164397.95"/>
        <s v="138045.1"/>
        <s v="4039.9"/>
        <s v="136195.26"/>
        <s v="100739.02"/>
        <s v="1132.85"/>
        <s v="18330.34"/>
        <s v="100593.21"/>
        <s v="32309.41"/>
        <s v="35781.1"/>
        <s v="13564.42"/>
        <s v="19564.73"/>
        <s v="3943.28"/>
        <s v="84010.35"/>
        <s v="33393.14"/>
        <s v="5584.34"/>
        <s v="10337.89"/>
        <s v="7073.44"/>
        <s v="12059.01"/>
        <s v="7769.25"/>
        <s v="25080.56"/>
        <s v="58125.73"/>
        <s v="11040.96"/>
        <s v="99309.04"/>
        <s v="2857.18"/>
        <s v="33987.52"/>
        <s v="80109.35"/>
        <s v="13074.92"/>
        <s v="8579.59"/>
        <s v="129398.2"/>
        <s v="19239.64"/>
        <s v="12621.11"/>
        <s v="14461.26"/>
        <s v="31361.61"/>
        <s v="6288.42"/>
        <s v="27191.78"/>
        <s v="21196.51"/>
        <s v="176697.54"/>
        <s v="7151.41"/>
        <s v="32700.24"/>
        <s v="11425.33"/>
        <s v="3300.77"/>
        <s v="22208.2"/>
        <s v="11459.17"/>
        <s v="8433.45"/>
        <s v="125418.86"/>
        <s v="110739.5"/>
        <s v="96755.41"/>
        <s v="78957.32"/>
        <s v="9511.81"/>
        <s v="6868.99"/>
        <s v="4238.11"/>
        <s v="8984.08"/>
        <s v="58680.12"/>
        <s v="112097.64"/>
        <s v="1771.08"/>
        <s v="4495.15"/>
        <s v="35280.97"/>
        <s v="52428.71"/>
        <s v="9348.2"/>
        <s v="69139.55"/>
      </sharedItems>
    </cacheField>
    <cacheField name="Interest Rate" numFmtId="180">
      <sharedItems containsSemiMixedTypes="0" containsString="0" containsNumber="1" minValue="0" maxValue="21.99" count="894">
        <n v="12.52"/>
        <n v="16.44"/>
        <n v="9.37"/>
        <n v="18.56"/>
        <n v="13.67"/>
        <n v="16.34"/>
        <n v="19.45"/>
        <n v="12.87"/>
        <n v="14.86"/>
        <n v="7.81"/>
        <n v="8.32"/>
        <n v="11.88"/>
        <n v="12.32"/>
        <n v="14.3"/>
        <n v="8.89"/>
        <n v="17.47"/>
        <n v="16.98"/>
        <n v="10.5"/>
        <n v="20.27"/>
        <n v="14.01"/>
        <n v="8.41"/>
        <n v="20.89"/>
        <n v="6.76"/>
        <n v="8.69"/>
        <n v="12.09"/>
        <n v="14.66"/>
        <n v="14.47"/>
        <n v="12.1"/>
        <n v="21.06"/>
        <n v="6.07"/>
        <n v="17.16"/>
        <n v="19.19"/>
        <n v="13.72"/>
        <n v="15.54"/>
        <n v="13.94"/>
        <n v="19.75"/>
        <n v="13.41"/>
        <n v="5.24"/>
        <n v="10.31"/>
        <n v="11.37"/>
        <n v="9.74"/>
        <n v="19.64"/>
        <n v="17.26"/>
        <n v="6.97"/>
        <n v="13.77"/>
        <n v="17.21"/>
        <n v="17.25"/>
        <n v="6.95"/>
        <n v="20.94"/>
        <n v="14.51"/>
        <n v="12.49"/>
        <n v="15.72"/>
        <n v="16.15"/>
        <n v="13.49"/>
        <n v="11.86"/>
        <n v="19.11"/>
        <n v="9.64"/>
        <n v="20.98"/>
        <n v="10.03"/>
        <n v="18.13"/>
        <n v="16.53"/>
        <n v="14.53"/>
        <n v="15.5"/>
        <n v="10.58"/>
        <n v="19.47"/>
        <n v="20.57"/>
        <n v="6.77"/>
        <n v="7.63"/>
        <n v="16.99"/>
        <n v="7.78"/>
        <n v="11.13"/>
        <n v="9.22"/>
        <n v="12.05"/>
        <n v="8.81"/>
        <n v="20.26"/>
        <n v="8.5"/>
        <n v="18.17"/>
        <n v="21.99"/>
        <n v="10.84"/>
        <n v="9.05"/>
        <n v="20.4"/>
        <n v="5.48"/>
        <n v="13.73"/>
        <n v="11.07"/>
        <n v="14.22"/>
        <n v="11.36"/>
        <n v="7.19"/>
        <n v="14.45"/>
        <n v="21.68"/>
        <n v="7.94"/>
        <n v="21.03"/>
        <n v="18.78"/>
        <n v="9.12"/>
        <n v="11.08"/>
        <n v="15.11"/>
        <n v="11.87"/>
        <n v="13.15"/>
        <n v="13.53"/>
        <n v="10.49"/>
        <n v="20.31"/>
        <n v="19.23"/>
        <n v="6.63"/>
        <n v="21.67"/>
        <n v="12.37"/>
        <n v="21.64"/>
        <n v="13.01"/>
        <n v="12.82"/>
        <n v="16.07"/>
        <n v="13.46"/>
        <n v="16.41"/>
        <n v="9.63"/>
        <n v="18.91"/>
        <n v="12.5"/>
        <n v="7.34"/>
        <n v="16.86"/>
        <n v="8.1"/>
        <n v="10.28"/>
        <n v="14.11"/>
        <n v="9.23"/>
        <n v="21.98"/>
        <n v="6.09"/>
        <n v="14.02"/>
        <n v="5.97"/>
        <n v="21.96"/>
        <n v="14"/>
        <n v="9.7"/>
        <n v="13.79"/>
        <n v="14.42"/>
        <n v="14.19"/>
        <n v="13.59"/>
        <n v="8.08"/>
        <n v="18.88"/>
        <n v="11.9"/>
        <n v="19.2"/>
        <n v="17.62"/>
        <n v="10.61"/>
        <n v="10.78"/>
        <n v="16.08"/>
        <n v="7.53"/>
        <n v="11.28"/>
        <n v="14.75"/>
        <n v="20.39"/>
        <n v="13.14"/>
        <n v="17.05"/>
        <n v="7.52"/>
        <n v="6.91"/>
        <n v="9.89"/>
        <n v="6.9"/>
        <n v="7.22"/>
        <n v="11.75"/>
        <n v="16.2"/>
        <n v="9.43"/>
        <n v="9.13"/>
        <n v="20.75"/>
        <n v="17.27"/>
        <n v="21.29"/>
        <n v="12.81"/>
        <n v="13.02"/>
        <n v="8.18"/>
        <n v="6.06"/>
        <n v="11.27"/>
        <n v="12.79"/>
        <n v="8.91"/>
        <n v="6.53"/>
        <n v="17.18"/>
        <n v="21.52"/>
        <n v="6.62"/>
        <n v="14.56"/>
        <n v="11.26"/>
        <n v="17.77"/>
        <n v="12.42"/>
        <n v="12.33"/>
        <n v="11.19"/>
        <n v="10.85"/>
        <n v="6.55"/>
        <n v="17.82"/>
        <n v="18.62"/>
        <n v="19.88"/>
        <n v="18.61"/>
        <n v="12.38"/>
        <n v="7.47"/>
        <n v="9.42"/>
        <n v="14.49"/>
        <n v="8.2"/>
        <n v="5.35"/>
        <n v="17.52"/>
        <n v="15.85"/>
        <n v="17.43"/>
        <n v="7.95"/>
        <n v="19.29"/>
        <n v="18.89"/>
        <n v="11.89"/>
        <n v="12.92"/>
        <n v="9.41"/>
        <n v="11.03"/>
        <n v="14.85"/>
        <n v="19.59"/>
        <n v="15.31"/>
        <n v="7.26"/>
        <n v="15.14"/>
        <n v="11.06"/>
        <n v="5.67"/>
        <n v="9.25"/>
        <n v="13.32"/>
        <n v="5.8"/>
        <n v="16.55"/>
        <n v="20.06"/>
        <n v="13.99"/>
        <n v="9.11"/>
        <n v="15.32"/>
        <n v="10.65"/>
        <n v="9.97"/>
        <n v="19.46"/>
        <n v="8.97"/>
        <n v="7.65"/>
        <n v="6.51"/>
        <n v="7.04"/>
        <n v="6.16"/>
        <n v="15.98"/>
        <n v="19.85"/>
        <n v="5.36"/>
        <n v="13.6"/>
        <n v="10.9"/>
        <n v="11.35"/>
        <n v="20.38"/>
        <n v="6.15"/>
        <n v="13.39"/>
        <n v="20.62"/>
        <n v="13.27"/>
        <n v="12.51"/>
        <n v="11.78"/>
        <n v="7.64"/>
        <n v="5.73"/>
        <n v="7.49"/>
        <n v="15.77"/>
        <n v="21.51"/>
        <n v="16.83"/>
        <n v="18.42"/>
        <n v="7.71"/>
        <n v="5.51"/>
        <n v="15.73"/>
        <n v="5.41"/>
        <n v="14.15"/>
        <n v="8.43"/>
        <n v="12.15"/>
        <n v="5.65"/>
        <n v="14.38"/>
        <n v="16.89"/>
        <n v="13.88"/>
        <n v="17.73"/>
        <n v="20.96"/>
        <n v="16.24"/>
        <n v="10.11"/>
        <n v="19.18"/>
        <n v="15.52"/>
        <n v="15.8"/>
        <n v="5.01"/>
        <n v="19.35"/>
        <n v="14.23"/>
        <n v="13.95"/>
        <n v="21.48"/>
        <n v="19.7"/>
        <n v="7.38"/>
        <n v="14.8"/>
        <n v="15.76"/>
        <n v="12.01"/>
        <n v="15.35"/>
        <n v="18.86"/>
        <n v="17.12"/>
        <n v="12.16"/>
        <n v="7.4"/>
        <n v="19.02"/>
        <n v="10.7"/>
        <n v="19.24"/>
        <n v="5.12"/>
        <n v="18.9"/>
        <n v="11.59"/>
        <n v="10.82"/>
        <n v="14.68"/>
        <n v="12.93"/>
        <n v="16.62"/>
        <n v="21.28"/>
        <n v="9.93"/>
        <n v="18.74"/>
        <n v="9.3"/>
        <n v="9.29"/>
        <n v="20.42"/>
        <n v="21.46"/>
        <n v="10.43"/>
        <n v="7.56"/>
        <n v="18.12"/>
        <n v="14.87"/>
        <n v="10.15"/>
        <n v="9.09"/>
        <n v="20.3"/>
        <n v="6.94"/>
        <n v="9.48"/>
        <n v="21.36"/>
        <n v="14.57"/>
        <n v="8.28"/>
        <n v="17.13"/>
        <n v="12.26"/>
        <n v="21.4"/>
        <n v="21.38"/>
        <n v="19.26"/>
        <n v="7.68"/>
        <n v="14.09"/>
        <n v="8.68"/>
        <n v="16.84"/>
        <n v="19.43"/>
        <n v="6.66"/>
        <n v="11.02"/>
        <n v="11.4"/>
        <n v="8.48"/>
        <n v="8.83"/>
        <n v="5.04"/>
        <n v="13.36"/>
        <n v="14.88"/>
        <n v="9.07"/>
        <n v="6.61"/>
        <n v="21.58"/>
        <n v="16.12"/>
        <n v="13.4"/>
        <n v="5.83"/>
        <n v="6.32"/>
        <n v="13.35"/>
        <n v="19.4"/>
        <n v="20.9"/>
        <n v="11.15"/>
        <n v="19.17"/>
        <n v="6.1"/>
        <n v="6.99"/>
        <n v="15.82"/>
        <n v="20.54"/>
        <n v="18.19"/>
        <n v="16.7"/>
        <n v="5.42"/>
        <n v="10.95"/>
        <n v="15.09"/>
        <n v="13.98"/>
        <n v="15.66"/>
        <n v="13.86"/>
        <n v="9.8"/>
        <n v="14.4"/>
        <n v="21.61"/>
        <n v="6.67"/>
        <n v="9.17"/>
        <n v="8.02"/>
        <n v="11.17"/>
        <n v="6.28"/>
        <n v="21.19"/>
        <n v="12.6"/>
        <n v="19.53"/>
        <n v="21.97"/>
        <n v="10.42"/>
        <n v="10.54"/>
        <n v="18.43"/>
        <n v="20.92"/>
        <n v="16.45"/>
        <n v="14.36"/>
        <n v="6.4"/>
        <n v="10.64"/>
        <n v="18.5"/>
        <n v="12.29"/>
        <n v="16.26"/>
        <n v="14.93"/>
        <n v="8.17"/>
        <n v="6.71"/>
        <n v="15.51"/>
        <n v="12.65"/>
        <n v="11.91"/>
        <n v="18.46"/>
        <n v="12.54"/>
        <n v="7.14"/>
        <n v="10.22"/>
        <n v="18.41"/>
        <n v="18.96"/>
        <n v="9.08"/>
        <n v="21.37"/>
        <n v="19.06"/>
        <n v="8.26"/>
        <n v="20.21"/>
        <n v="18.28"/>
        <n v="6.01"/>
        <n v="14.76"/>
        <n v="7.33"/>
        <n v="7.28"/>
        <n v="15.71"/>
        <n v="15.93"/>
        <n v="21.45"/>
        <n v="5.79"/>
        <n v="18.03"/>
        <n v="6.73"/>
        <n v="13.19"/>
        <n v="9.87"/>
        <n v="5.87"/>
        <n v="9.26"/>
        <n v="15.23"/>
        <n v="11.83"/>
        <n v="14.71"/>
        <n v="14.44"/>
        <n v="12.78"/>
        <n v="8.25"/>
        <n v="20.05"/>
        <n v="14.2"/>
        <n v="7.3"/>
        <n v="18.85"/>
        <n v="17.04"/>
        <n v="15.22"/>
        <n v="6.74"/>
        <n v="5.17"/>
        <n v="16.68"/>
        <n v="8.05"/>
        <n v="6.25"/>
        <n v="7.83"/>
        <n v="17.71"/>
        <n v="16.37"/>
        <n v="18.16"/>
        <n v="12.19"/>
        <n v="12.28"/>
        <n v="6.48"/>
        <n v="10.2"/>
        <n v="21.57"/>
        <n v="18.58"/>
        <n v="7.17"/>
        <n v="10.55"/>
        <n v="7.5"/>
        <n v="20.73"/>
        <n v="10.71"/>
        <n v="17.45"/>
        <n v="18.01"/>
        <n v="8"/>
        <n v="13.76"/>
        <n v="15.88"/>
        <n v="18.18"/>
        <n v="11.2"/>
        <n v="6.64"/>
        <n v="19.54"/>
        <n v="12.22"/>
        <n v="13.55"/>
        <n v="5.28"/>
        <n v="16.16"/>
        <n v="17.58"/>
        <n v="11.82"/>
        <n v="17.32"/>
        <n v="11.73"/>
        <n v="8.3"/>
        <n v="21.85"/>
        <n v="7.41"/>
        <n v="5.72"/>
        <n v="7.03"/>
        <n v="21.44"/>
        <n v="12.86"/>
        <n v="8.85"/>
        <n v="16.23"/>
        <n v="17.37"/>
        <n v="5.58"/>
        <n v="12.11"/>
        <n v="5.25"/>
        <n v="15.64"/>
        <n v="13.25"/>
        <n v="6.7"/>
        <n v="8.94"/>
        <n v="13.56"/>
        <n v="19.03"/>
        <n v="14.41"/>
        <n v="6.93"/>
        <n v="6.43"/>
        <n v="11.57"/>
        <n v="8.55"/>
        <n v="10.01"/>
        <n v="9.33"/>
        <n v="15.33"/>
        <n v="10.97"/>
        <n v="11.66"/>
        <n v="7.87"/>
        <n v="5.62"/>
        <n v="15.99"/>
        <n v="7.39"/>
        <n v="20.72"/>
        <n v="16.76"/>
        <n v="21.31"/>
        <n v="19.44"/>
        <n v="16.13"/>
        <n v="11.46"/>
        <n v="19.72"/>
        <n v="16.25"/>
        <n v="13.54"/>
        <n v="18.11"/>
        <n v="10.69"/>
        <n v="18.66"/>
        <n v="21.94"/>
        <n v="20.8"/>
        <n v="21.33"/>
        <n v="6.23"/>
        <n v="11.52"/>
        <n v="21.6"/>
        <n v="15.62"/>
        <n v="14.96"/>
        <n v="19.1"/>
        <n v="21.88"/>
        <n v="8.37"/>
        <n v="18.26"/>
        <n v="17.8"/>
        <n v="9.49"/>
        <n v="12.06"/>
        <n v="5.11"/>
        <n v="15.74"/>
        <n v="12.3"/>
        <n v="17.74"/>
        <n v="13.68"/>
        <n v="19.92"/>
        <n v="6.89"/>
        <n v="5.29"/>
        <n v="14.07"/>
        <n v="13.12"/>
        <n v="11.95"/>
        <n v="19.25"/>
        <n v="7.13"/>
        <n v="13.26"/>
        <n v="16.06"/>
        <n v="12.59"/>
        <n v="7.07"/>
        <n v="11.49"/>
        <n v="7.99"/>
        <n v="13.43"/>
        <n v="10.36"/>
        <n v="8.92"/>
        <n v="13.93"/>
        <n v="12.89"/>
        <n v="13.92"/>
        <n v="8.64"/>
        <n v="11.05"/>
        <n v="18.65"/>
        <n v="15.29"/>
        <n v="13.62"/>
        <n v="16.71"/>
        <n v="19.14"/>
        <n v="6.8"/>
        <n v="15.94"/>
        <n v="5.6"/>
        <n v="19.74"/>
        <n v="21.77"/>
        <n v="14.94"/>
        <n v="6.38"/>
        <n v="14.54"/>
        <n v="11.54"/>
        <n v="16.56"/>
        <n v="9.98"/>
        <n v="6.79"/>
        <n v="20.76"/>
        <n v="13.45"/>
        <n v="16.78"/>
        <n v="20.68"/>
        <n v="8.27"/>
        <n v="15.08"/>
        <n v="10.83"/>
        <n v="5.5"/>
        <n v="8.07"/>
        <n v="15.83"/>
        <n v="8.76"/>
        <n v="14.58"/>
        <n v="9.62"/>
        <n v="20.93"/>
        <n v="6.52"/>
        <n v="20.81"/>
        <n v="11.47"/>
        <n v="9.77"/>
        <n v="5"/>
        <n v="7.59"/>
        <n v="8.58"/>
        <n v="18.57"/>
        <n v="12.36"/>
        <n v="19.83"/>
        <n v="20.86"/>
        <n v="19.51"/>
        <n v="16.22"/>
        <n v="6.86"/>
        <n v="8.86"/>
        <n v="21.87"/>
        <n v="10.1"/>
        <n v="21.81"/>
        <n v="11.96"/>
        <n v="21.49"/>
        <n v="19.27"/>
        <n v="9.4"/>
        <n v="5.95"/>
        <n v="7.58"/>
        <n v="12.64"/>
        <n v="14.28"/>
        <n v="20.78"/>
        <n v="11.04"/>
        <n v="8.12"/>
        <n v="17.19"/>
        <n v="21.47"/>
        <n v="13.87"/>
        <n v="12.76"/>
        <n v="18.09"/>
        <n v="19.32"/>
        <n v="18.95"/>
        <n v="7.32"/>
        <n v="8.62"/>
        <n v="13.61"/>
        <n v="8.78"/>
        <n v="11.8"/>
        <n v="10.98"/>
        <n v="14.6"/>
        <n v="21.23"/>
        <n v="18.68"/>
        <n v="10.66"/>
        <n v="20.44"/>
        <n v="21.3"/>
        <n v="15.45"/>
        <n v="18.76"/>
        <n v="14.77"/>
        <n v="11.53"/>
        <n v="12.71"/>
        <n v="14.04"/>
        <n v="8.72"/>
        <n v="19.09"/>
        <n v="10.76"/>
        <n v="5.46"/>
        <n v="16.93"/>
        <n v="7.61"/>
        <n v="14.67"/>
        <n v="18.47"/>
        <n v="9.24"/>
        <n v="10.89"/>
        <n v="18.92"/>
        <n v="21.1"/>
        <n v="5.82"/>
        <n v="5.61"/>
        <n v="18.22"/>
        <n v="20.36"/>
        <n v="17.39"/>
        <n v="6.49"/>
        <n v="14.1"/>
        <n v="12.04"/>
        <n v="9.72"/>
        <n v="6.12"/>
        <n v="13.16"/>
        <n v="11.24"/>
        <n v="8.99"/>
        <n v="21.69"/>
        <n v="21.35"/>
        <n v="11.99"/>
        <n v="21.84"/>
        <n v="20.48"/>
        <n v="13"/>
        <n v="5.94"/>
        <n v="18.81"/>
        <n v="10.81"/>
        <n v="5.92"/>
        <n v="15.97"/>
        <n v="10.29"/>
        <n v="6.92"/>
        <n v="10.07"/>
        <n v="18.59"/>
        <n v="5.75"/>
        <n v="20.24"/>
        <n v="5.31"/>
        <n v="15.68"/>
        <n v="19.63"/>
        <n v="12.18"/>
        <n v="18.84"/>
        <n v="8.03"/>
        <n v="20.95"/>
        <n v="20.08"/>
        <n v="5.45"/>
        <n v="7.02"/>
        <n v="17.57"/>
        <n v="6.04"/>
        <n v="5.2"/>
        <n v="18.14"/>
        <n v="10.86"/>
        <n v="16.64"/>
        <n v="8.19"/>
        <n v="7.11"/>
        <n v="7.21"/>
        <n v="12.4"/>
        <n v="21.91"/>
        <n v="17.46"/>
        <n v="7.85"/>
        <n v="12.43"/>
        <n v="7.82"/>
        <n v="7.67"/>
        <n v="10.19"/>
        <n v="15.92"/>
        <n v="20.49"/>
        <n v="11.58"/>
        <n v="5.06"/>
        <n v="18.67"/>
        <n v="5.39"/>
        <n v="12.45"/>
        <n v="9.67"/>
        <n v="10.08"/>
        <n v="6.03"/>
        <n v="14.12"/>
        <n v="19.77"/>
        <n v="14.63"/>
        <n v="16.79"/>
        <n v="20.56"/>
        <n v="7.6"/>
        <n v="10.33"/>
        <n v="21.2"/>
        <n v="18.8"/>
        <n v="14.95"/>
        <n v="16.82"/>
        <n v="15.42"/>
        <n v="16.39"/>
        <n v="10.24"/>
        <n v="9.32"/>
        <n v="8.98"/>
        <n v="9.18"/>
        <n v="9.15"/>
        <n v="20.13"/>
        <n v="12.53"/>
        <n v="15.34"/>
        <n v="17.09"/>
        <n v="8.47"/>
        <n v="15.12"/>
        <n v="8.11"/>
        <n v="19.82"/>
        <n v="10.18"/>
        <n v="12.57"/>
        <n v="19.33"/>
        <n v="8.79"/>
        <n v="13.47"/>
        <n v="17.99"/>
        <n v="20.66"/>
        <n v="20.82"/>
        <n v="7.51"/>
        <n v="17.66"/>
        <n v="14.74"/>
        <n v="18.08"/>
        <n v="16.87"/>
        <n v="19.3"/>
        <n v="17.89"/>
        <n v="17.72"/>
        <n v="18.69"/>
        <n v="21.78"/>
        <n v="5.71"/>
        <n v="13.37"/>
        <n v="9.44"/>
        <n v="21.79"/>
        <n v="10.06"/>
        <n v="19.96"/>
        <n v="14.31"/>
        <n v="13.57"/>
        <n v="21.43"/>
        <n v="12.12"/>
        <n v="9.47"/>
        <n v="17.03"/>
        <n v="15.58"/>
        <n v="11.63"/>
        <n v="21.9"/>
        <n v="20.17"/>
        <n v="17.35"/>
        <n v="9.6"/>
        <n v="7.77"/>
        <n v="17.76"/>
        <n v="20.64"/>
        <n v="18.29"/>
        <n v="8.01"/>
        <n v="13.24"/>
        <n v="8.4"/>
        <n v="8.38"/>
        <n v="21.17"/>
        <n v="17.63"/>
        <n v="19.94"/>
        <n v="10.13"/>
        <n v="21.22"/>
        <n v="14.03"/>
        <n v="13.18"/>
        <n v="10"/>
        <n v="12.94"/>
        <n v="21.12"/>
        <n v="5.76"/>
        <n v="19.6"/>
        <n v="10.62"/>
        <n v="18.34"/>
        <n v="14.24"/>
        <n v="7"/>
        <n v="8.16"/>
        <n v="6.82"/>
        <n v="20.14"/>
        <n v="17.4"/>
        <n v="10.26"/>
        <n v="20.46"/>
        <n v="15.63"/>
        <n v="16.6"/>
        <n v="18.7"/>
        <n v="15.95"/>
        <n v="18.55"/>
        <n v="6.65"/>
        <n v="21.25"/>
        <n v="21.39"/>
        <n v="21.24"/>
        <n v="15.9"/>
        <n v="19.86"/>
        <n v="20.87"/>
        <n v="16.72"/>
        <n v="18.02"/>
        <n v="21.27"/>
        <n v="10.16"/>
        <n v="17.56"/>
        <n v="17.97"/>
        <n v="9.01"/>
        <n v="5.13"/>
        <n v="19.99"/>
        <n v="8.22"/>
        <n v="15.19"/>
        <n v="9.84"/>
        <n v="20.91"/>
        <n v="20.51"/>
        <n v="17.01"/>
        <n v="19.89"/>
        <n v="21.18"/>
        <n v="5.85"/>
        <n v="9.73"/>
        <n v="20.33"/>
        <n v="18.36"/>
        <n v="6.42"/>
        <n v="8.66"/>
        <n v="6.24"/>
        <n v="20.16"/>
        <n v="11.23"/>
        <n v="13.58"/>
        <n v="20.41"/>
        <n v="10.41"/>
        <n v="10.48"/>
        <n v="9.86"/>
        <n v="21.62"/>
        <n v="15.07"/>
        <n v="19.9"/>
        <n v="17.14"/>
        <n v="11.92"/>
        <n v="7.31"/>
        <n v="13.1"/>
        <n v="9.1"/>
        <n v="14.98"/>
        <n v="16.01"/>
        <n v="12.7"/>
        <n v="21.01"/>
        <n v="5.7"/>
        <n v="12.24"/>
        <n v="14.13"/>
        <n v="15.41"/>
        <n v="11.25"/>
        <n v="16.88"/>
        <n v="10.75"/>
        <n v="8.45"/>
        <n v="16.75"/>
        <n v="7.48"/>
        <n v="16.04"/>
        <n v="16.42"/>
        <n v="7.08"/>
        <n v="8.75"/>
        <n v="12.31"/>
        <n v="9.9"/>
        <n v="16.1"/>
        <n v="9.02"/>
        <n v="16.31"/>
        <n v="19.13"/>
        <n v="16.33"/>
        <n v="20.34"/>
        <n v="9.55"/>
        <n v="8.36"/>
        <n v="17.48"/>
        <n v="11.12"/>
        <n v="17.94"/>
        <n v="14.05"/>
        <n v="15.55"/>
        <n v="10.68"/>
        <n v="18.27"/>
        <n v="13.28"/>
        <n v="10.6"/>
        <n v="14.78"/>
        <n v="15.28"/>
        <n v="19.04"/>
        <n v="13.21"/>
        <n v="5.47"/>
        <n v="15.44"/>
        <n v="10.72"/>
        <n v="9.83"/>
        <n v="19.31"/>
        <n v="16.46"/>
        <n v="15.53"/>
        <n v="21.73"/>
        <n v="9.96"/>
        <n v="12.96"/>
        <n v="18.99"/>
        <n v="15.36"/>
        <n v="12.58"/>
      </sharedItems>
    </cacheField>
    <cacheField name="Loan Status" numFmtId="0">
      <sharedItems count="3">
        <s v="Active"/>
        <s v="Closed"/>
        <s v="Default"/>
      </sharedItems>
    </cacheField>
    <cacheField name="Risk Category" numFmtId="0">
      <sharedItems count="4">
        <s v="Orta Risk"/>
        <s v="Aşağı Risk"/>
        <s v="Yüksək Risk"/>
        <s v="Default (Batıq)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8.9390509259" refreshedBy="Kenan" recordCount="1300">
  <cacheSource type="worksheet">
    <worksheetSource ref="A1:L1301" sheet="raw_loans"/>
  </cacheSource>
  <cacheFields count="13">
    <cacheField name="LOAN_ID" numFmtId="0">
      <sharedItems containsSemiMixedTypes="0" containsString="0" containsNumber="1" containsInteger="1" minValue="0" maxValue="1300" count="1300"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</sharedItems>
    </cacheField>
    <cacheField name="CUSTOMER_ID" numFmtId="0">
      <sharedItems containsSemiMixedTypes="0" containsString="0" containsNumber="1" containsInteger="1" minValue="0" maxValue="1000" count="723">
        <n v="964"/>
        <n v="702"/>
        <n v="110"/>
        <n v="366"/>
        <n v="629"/>
        <n v="934"/>
        <n v="907"/>
        <n v="326"/>
        <n v="352"/>
        <n v="979"/>
        <n v="708"/>
        <n v="243"/>
        <n v="89"/>
        <n v="261"/>
        <n v="430"/>
        <n v="900"/>
        <n v="957"/>
        <n v="706"/>
        <n v="933"/>
        <n v="902"/>
        <n v="429"/>
        <n v="405"/>
        <n v="348"/>
        <n v="372"/>
        <n v="932"/>
        <n v="233"/>
        <n v="249"/>
        <n v="739"/>
        <n v="469"/>
        <n v="960"/>
        <n v="621"/>
        <n v="670"/>
        <n v="701"/>
        <n v="461"/>
        <n v="238"/>
        <n v="989"/>
        <n v="497"/>
        <n v="693"/>
        <n v="769"/>
        <n v="262"/>
        <n v="121"/>
        <n v="607"/>
        <n v="854"/>
        <n v="712"/>
        <n v="418"/>
        <n v="194"/>
        <n v="319"/>
        <n v="766"/>
        <n v="565"/>
        <n v="417"/>
        <n v="30"/>
        <n v="183"/>
        <n v="569"/>
        <n v="392"/>
        <n v="288"/>
        <n v="894"/>
        <n v="986"/>
        <n v="915"/>
        <n v="472"/>
        <n v="462"/>
        <n v="988"/>
        <n v="316"/>
        <n v="341"/>
        <n v="231"/>
        <n v="289"/>
        <n v="757"/>
        <n v="637"/>
        <n v="489"/>
        <n v="247"/>
        <n v="818"/>
        <n v="591"/>
        <n v="555"/>
        <n v="713"/>
        <n v="864"/>
        <n v="311"/>
        <n v="530"/>
        <n v="27"/>
        <n v="419"/>
        <n v="889"/>
        <n v="80"/>
        <n v="585"/>
        <n v="938"/>
        <n v="731"/>
        <n v="852"/>
        <n v="545"/>
        <n v="63"/>
        <n v="182"/>
        <n v="821"/>
        <n v="888"/>
        <n v="928"/>
        <n v="509"/>
        <n v="85"/>
        <n v="42"/>
        <n v="611"/>
        <n v="640"/>
        <n v="951"/>
        <n v="997"/>
        <n v="778"/>
        <n v="312"/>
        <n v="186"/>
        <n v="257"/>
        <n v="143"/>
        <n v="263"/>
        <n v="759"/>
        <n v="711"/>
        <n v="283"/>
        <n v="270"/>
        <n v="271"/>
        <n v="351"/>
        <n v="45"/>
        <n v="1"/>
        <n v="77"/>
        <n v="62"/>
        <n v="165"/>
        <n v="740"/>
        <n v="843"/>
        <n v="836"/>
        <n v="300"/>
        <n v="55"/>
        <n v="819"/>
        <n v="498"/>
        <n v="697"/>
        <n v="954"/>
        <n v="78"/>
        <n v="95"/>
        <n v="346"/>
        <n v="995"/>
        <n v="235"/>
        <n v="792"/>
        <n v="113"/>
        <n v="394"/>
        <n v="8"/>
        <n v="138"/>
        <n v="127"/>
        <n v="280"/>
        <n v="196"/>
        <n v="19"/>
        <n v="814"/>
        <n v="152"/>
        <n v="825"/>
        <n v="466"/>
        <n v="154"/>
        <n v="170"/>
        <n v="743"/>
        <n v="13"/>
        <n v="994"/>
        <n v="635"/>
        <n v="784"/>
        <n v="632"/>
        <n v="212"/>
        <n v="909"/>
        <n v="435"/>
        <n v="882"/>
        <n v="482"/>
        <n v="234"/>
        <n v="680"/>
        <n v="84"/>
        <n v="414"/>
        <n v="720"/>
        <n v="227"/>
        <n v="655"/>
        <n v="24"/>
        <n v="883"/>
        <n v="46"/>
        <n v="578"/>
        <n v="250"/>
        <n v="834"/>
        <n v="377"/>
        <n v="388"/>
        <n v="529"/>
        <n v="1000"/>
        <n v="188"/>
        <n v="927"/>
        <n v="856"/>
        <n v="716"/>
        <n v="576"/>
        <n v="456"/>
        <n v="175"/>
        <n v="381"/>
        <n v="571"/>
        <n v="574"/>
        <n v="33"/>
        <n v="281"/>
        <n v="850"/>
        <n v="528"/>
        <n v="750"/>
        <n v="368"/>
        <n v="887"/>
        <n v="675"/>
        <n v="993"/>
        <n v="252"/>
        <n v="805"/>
        <n v="689"/>
        <n v="880"/>
        <n v="304"/>
        <n v="762"/>
        <n v="52"/>
        <n v="761"/>
        <n v="604"/>
        <n v="885"/>
        <n v="436"/>
        <n v="549"/>
        <n v="442"/>
        <n v="773"/>
        <n v="126"/>
        <n v="503"/>
        <n v="48"/>
        <n v="935"/>
        <n v="309"/>
        <n v="561"/>
        <n v="617"/>
        <n v="74"/>
        <n v="156"/>
        <n v="660"/>
        <n v="589"/>
        <n v="71"/>
        <n v="81"/>
        <n v="926"/>
        <n v="878"/>
        <n v="299"/>
        <n v="866"/>
        <n v="440"/>
        <n v="350"/>
        <n v="941"/>
        <n v="129"/>
        <n v="317"/>
        <n v="649"/>
        <n v="174"/>
        <n v="422"/>
        <n v="729"/>
        <n v="353"/>
        <n v="246"/>
        <n v="378"/>
        <n v="133"/>
        <n v="550"/>
        <n v="106"/>
        <n v="542"/>
        <n v="40"/>
        <n v="479"/>
        <n v="239"/>
        <n v="68"/>
        <n v="364"/>
        <n v="840"/>
        <n v="178"/>
        <n v="279"/>
        <n v="494"/>
        <n v="867"/>
        <n v="307"/>
        <n v="168"/>
        <n v="180"/>
        <n v="844"/>
        <n v="734"/>
        <n v="10"/>
        <n v="770"/>
        <n v="802"/>
        <n v="961"/>
        <n v="61"/>
        <n v="849"/>
        <n v="451"/>
        <n v="217"/>
        <n v="738"/>
        <n v="991"/>
        <n v="533"/>
        <n v="886"/>
        <n v="771"/>
        <n v="817"/>
        <n v="832"/>
        <n v="719"/>
        <n v="328"/>
        <n v="144"/>
        <n v="705"/>
        <n v="219"/>
        <n v="112"/>
        <n v="273"/>
        <n v="537"/>
        <n v="735"/>
        <n v="984"/>
        <n v="205"/>
        <n v="641"/>
        <n v="828"/>
        <n v="619"/>
        <n v="763"/>
        <n v="547"/>
        <n v="286"/>
        <n v="116"/>
        <n v="564"/>
        <n v="940"/>
        <n v="208"/>
        <n v="744"/>
        <n v="290"/>
        <n v="282"/>
        <n v="163"/>
        <n v="687"/>
        <n v="434"/>
        <n v="577"/>
        <n v="851"/>
        <n v="839"/>
        <n v="473"/>
        <n v="264"/>
        <n v="285"/>
        <n v="149"/>
        <n v="939"/>
        <n v="362"/>
        <n v="944"/>
        <n v="579"/>
        <n v="590"/>
        <n v="202"/>
        <n v="519"/>
        <n v="977"/>
        <n v="72"/>
        <n v="696"/>
        <n v="908"/>
        <n v="443"/>
        <n v="444"/>
        <n v="185"/>
        <n v="782"/>
        <n v="563"/>
        <n v="407"/>
        <n v="663"/>
        <n v="177"/>
        <n v="445"/>
        <n v="253"/>
        <n v="781"/>
        <n v="524"/>
        <n v="698"/>
        <n v="520"/>
        <n v="358"/>
        <n v="367"/>
        <n v="974"/>
        <n v="468"/>
        <n v="411"/>
        <n v="142"/>
        <n v="633"/>
        <n v="421"/>
        <n v="98"/>
        <n v="467"/>
        <n v="335"/>
        <n v="965"/>
        <n v="518"/>
        <n v="330"/>
        <n v="432"/>
        <n v="226"/>
        <n v="361"/>
        <n v="963"/>
        <n v="123"/>
        <n v="707"/>
        <n v="952"/>
        <n v="813"/>
        <n v="919"/>
        <n v="450"/>
        <n v="873"/>
        <n v="504"/>
        <n v="324"/>
        <n v="323"/>
        <n v="684"/>
        <n v="190"/>
        <n v="903"/>
        <n v="998"/>
        <n v="465"/>
        <n v="303"/>
        <n v="464"/>
        <n v="510"/>
        <n v="65"/>
        <n v="370"/>
        <n v="592"/>
        <n v="155"/>
        <n v="912"/>
        <n v="710"/>
        <n v="408"/>
        <n v="973"/>
        <n v="260"/>
        <n v="847"/>
        <n v="527"/>
        <n v="685"/>
        <n v="631"/>
        <n v="215"/>
        <n v="756"/>
        <n v="584"/>
        <n v="793"/>
        <n v="43"/>
        <n v="107"/>
        <n v="446"/>
        <n v="490"/>
        <n v="337"/>
        <n v="546"/>
        <n v="517"/>
        <n v="433"/>
        <n v="221"/>
        <n v="60"/>
        <n v="360"/>
        <n v="20"/>
        <n v="898"/>
        <n v="390"/>
        <n v="109"/>
        <n v="682"/>
        <n v="67"/>
        <n v="786"/>
        <n v="386"/>
        <n v="981"/>
        <n v="21"/>
        <n v="357"/>
        <n v="410"/>
        <n v="371"/>
        <n v="452"/>
        <n v="999"/>
        <n v="827"/>
        <n v="958"/>
        <n v="948"/>
        <n v="669"/>
        <n v="420"/>
        <n v="582"/>
        <n v="808"/>
        <n v="393"/>
        <n v="916"/>
        <n v="302"/>
        <n v="765"/>
        <n v="554"/>
        <n v="600"/>
        <n v="315"/>
        <n v="140"/>
        <n v="742"/>
        <n v="237"/>
        <n v="92"/>
        <n v="772"/>
        <n v="18"/>
        <n v="776"/>
        <n v="224"/>
        <n v="210"/>
        <n v="779"/>
        <n v="835"/>
        <n v="638"/>
        <n v="913"/>
        <n v="329"/>
        <n v="150"/>
        <n v="104"/>
        <n v="115"/>
        <n v="807"/>
        <n v="966"/>
        <n v="652"/>
        <n v="128"/>
        <n v="327"/>
        <n v="568"/>
        <n v="486"/>
        <n v="789"/>
        <n v="54"/>
        <n v="551"/>
        <n v="119"/>
        <n v="749"/>
        <n v="493"/>
        <n v="608"/>
        <n v="73"/>
        <n v="962"/>
        <n v="971"/>
        <n v="76"/>
        <n v="148"/>
        <n v="206"/>
        <n v="86"/>
        <n v="278"/>
        <n v="980"/>
        <n v="755"/>
        <n v="136"/>
        <n v="575"/>
        <n v="151"/>
        <n v="395"/>
        <n v="258"/>
        <n v="383"/>
        <n v="147"/>
        <n v="614"/>
        <n v="911"/>
        <n v="724"/>
        <n v="332"/>
        <n v="721"/>
        <n v="718"/>
        <n v="841"/>
        <n v="790"/>
        <n v="727"/>
        <n v="458"/>
        <n v="737"/>
        <n v="868"/>
        <n v="846"/>
        <n v="800"/>
        <n v="513"/>
        <n v="610"/>
        <n v="955"/>
        <n v="968"/>
        <n v="404"/>
        <n v="139"/>
        <n v="896"/>
        <n v="647"/>
        <n v="815"/>
        <n v="560"/>
        <n v="130"/>
        <n v="733"/>
        <n v="135"/>
        <n v="553"/>
        <n v="531"/>
        <n v="967"/>
        <n v="477"/>
        <n v="293"/>
        <n v="296"/>
        <n v="29"/>
        <n v="209"/>
        <n v="671"/>
        <n v="470"/>
        <n v="791"/>
        <n v="176"/>
        <n v="397"/>
        <n v="44"/>
        <n v="220"/>
        <n v="666"/>
        <n v="391"/>
        <n v="653"/>
        <n v="32"/>
        <n v="103"/>
        <n v="581"/>
        <n v="603"/>
        <n v="985"/>
        <n v="728"/>
        <n v="699"/>
        <n v="623"/>
        <n v="56"/>
        <n v="505"/>
        <n v="532"/>
        <n v="862"/>
        <n v="605"/>
        <n v="476"/>
        <n v="83"/>
        <n v="483"/>
        <n v="25"/>
        <n v="714"/>
        <n v="777"/>
        <n v="507"/>
        <n v="82"/>
        <n v="146"/>
        <n v="448"/>
        <n v="780"/>
        <n v="122"/>
        <n v="695"/>
        <n v="409"/>
        <n v="244"/>
        <n v="198"/>
        <n v="218"/>
        <n v="536"/>
        <n v="613"/>
        <n v="492"/>
        <n v="612"/>
        <n v="308"/>
        <n v="295"/>
        <n v="400"/>
        <n v="857"/>
        <n v="166"/>
        <n v="593"/>
        <n v="164"/>
        <n v="580"/>
        <n v="49"/>
        <n v="291"/>
        <n v="615"/>
        <n v="236"/>
        <n v="229"/>
        <n v="664"/>
        <n v="502"/>
        <n v="225"/>
        <n v="416"/>
        <n v="639"/>
        <n v="245"/>
        <n v="11"/>
        <n v="929"/>
        <n v="105"/>
        <n v="618"/>
        <n v="845"/>
        <n v="269"/>
        <n v="199"/>
        <n v="709"/>
        <n v="254"/>
        <n v="690"/>
        <n v="12"/>
        <n v="333"/>
        <n v="829"/>
        <n v="157"/>
        <n v="406"/>
        <n v="659"/>
        <n v="349"/>
        <n v="342"/>
        <n v="481"/>
        <n v="942"/>
        <n v="628"/>
        <n v="899"/>
        <n v="688"/>
        <n v="203"/>
        <n v="810"/>
        <n v="949"/>
        <n v="715"/>
        <n v="552"/>
        <n v="736"/>
        <n v="722"/>
        <n v="256"/>
        <n v="69"/>
        <n v="597"/>
        <n v="374"/>
        <n v="630"/>
        <n v="799"/>
        <n v="662"/>
        <n v="796"/>
        <n v="75"/>
        <n v="488"/>
        <n v="566"/>
        <n v="538"/>
        <n v="983"/>
        <n v="387"/>
        <n v="16"/>
        <n v="820"/>
        <n v="181"/>
        <n v="117"/>
        <n v="616"/>
        <n v="7"/>
        <n v="838"/>
        <n v="471"/>
        <n v="870"/>
        <n v="292"/>
        <n v="764"/>
        <n v="892"/>
        <n v="795"/>
        <n v="365"/>
        <n v="162"/>
        <n v="347"/>
        <n v="428"/>
        <n v="636"/>
        <n v="114"/>
        <n v="906"/>
        <n v="87"/>
        <n v="423"/>
        <n v="314"/>
        <n v="91"/>
        <n v="876"/>
        <n v="301"/>
        <n v="831"/>
        <n v="211"/>
        <n v="47"/>
        <n v="572"/>
        <n v="339"/>
        <n v="872"/>
        <n v="97"/>
        <n v="240"/>
        <n v="38"/>
        <n v="159"/>
        <n v="863"/>
        <n v="201"/>
        <n v="855"/>
        <n v="195"/>
        <n v="22"/>
        <n v="500"/>
        <n v="801"/>
        <n v="403"/>
        <n v="946"/>
        <n v="14"/>
        <n v="726"/>
        <n v="355"/>
        <n v="990"/>
        <n v="686"/>
        <n v="567"/>
        <n v="41"/>
        <n v="730"/>
        <n v="37"/>
        <n v="331"/>
        <n v="918"/>
        <n v="626"/>
        <n v="930"/>
        <n v="158"/>
        <n v="93"/>
        <n v="223"/>
        <n v="745"/>
        <n v="923"/>
        <n v="338"/>
        <n v="747"/>
        <n v="748"/>
        <n v="172"/>
        <n v="543"/>
        <n v="809"/>
        <n v="2"/>
        <n v="976"/>
        <n v="276"/>
        <n v="956"/>
        <n v="758"/>
        <n v="774"/>
        <n v="4"/>
        <n v="837"/>
        <n v="865"/>
        <n v="691"/>
        <n v="216"/>
        <n v="644"/>
        <n v="667"/>
        <n v="266"/>
        <n v="996"/>
        <n v="53"/>
        <n v="88"/>
        <n v="50"/>
        <n v="953"/>
        <n v="169"/>
        <n v="681"/>
        <n v="334"/>
        <n v="535"/>
        <n v="340"/>
        <n v="242"/>
        <n v="540"/>
        <n v="562"/>
        <n v="426"/>
        <n v="306"/>
        <n v="622"/>
        <n v="322"/>
        <n v="725"/>
        <n v="376"/>
        <n v="890"/>
        <n v="732"/>
        <n v="318"/>
        <n v="625"/>
        <n v="596"/>
        <n v="657"/>
        <n v="661"/>
        <n v="134"/>
        <n v="947"/>
        <n v="806"/>
        <n v="595"/>
        <n v="678"/>
      </sharedItems>
    </cacheField>
    <cacheField name="BRANCH_ID" numFmtId="0">
      <sharedItems containsSemiMixedTypes="0" containsString="0" containsNumber="1" containsInteger="1" minValue="0" maxValue="7" count="7">
        <n v="3"/>
        <n v="2"/>
        <n v="7"/>
        <n v="1"/>
        <n v="6"/>
        <n v="4"/>
        <n v="5"/>
      </sharedItems>
    </cacheField>
    <cacheField name="LOAN_TYPE" numFmtId="0">
      <sharedItems count="5">
        <s v="Business Loan"/>
        <s v="Personal Loan"/>
        <s v="Credit Card"/>
        <s v="Mortgage"/>
        <s v="Auto Loan"/>
      </sharedItems>
    </cacheField>
    <cacheField name="LOAN_AMOUNT" numFmtId="0">
      <sharedItems containsNumber="1" containsInteger="1" containsMixedTypes="1" count="1299">
        <s v="144802.01"/>
        <s v="79987.33"/>
        <s v="7888.64"/>
        <s v="57335.63"/>
        <s v="68276.52"/>
        <s v="5395.2"/>
        <s v="107604.16"/>
        <s v="7430.32"/>
        <s v="99322.46"/>
        <s v="14436.78"/>
        <s v="106322.24"/>
        <s v="136314.96"/>
        <s v="12025.71"/>
        <s v="11542.3"/>
        <s v="5516.51"/>
        <s v="140462.92"/>
        <s v="152095.89"/>
        <s v="3357.1"/>
        <s v="8034.19"/>
        <s v="39174.9"/>
        <s v="126399.7"/>
        <s v="28675.25"/>
        <s v="86650.25"/>
        <s v="5007.46"/>
        <s v="21487.02"/>
        <s v="131621.36"/>
        <s v="3271.66"/>
        <s v="12138.1"/>
        <s v="100872.7"/>
        <s v="39596.7"/>
        <s v="32046.48"/>
        <s v="2561.95"/>
        <s v="2079.28"/>
        <s v="16932.81"/>
        <s v="5942.55"/>
        <s v="1499.15"/>
        <s v="5904.77"/>
        <s v="10245.78"/>
        <s v="89731.63"/>
        <s v="37365.44"/>
        <s v="181409.06"/>
        <s v="20276.54"/>
        <s v="37297.23"/>
        <s v="11518.52"/>
        <s v="12261.15"/>
        <s v="3634.41"/>
        <s v="12762.83"/>
        <s v="6608.87"/>
        <s v="92837.72"/>
        <s v="36617.84"/>
        <s v="26881.9"/>
        <s v="7263.69"/>
        <s v="81588.38"/>
        <s v="167764.77"/>
        <s v="28762.12"/>
        <s v="14626.42"/>
        <s v="31037.18"/>
        <s v="6252.21"/>
        <s v="5711.66"/>
        <s v="25845.3"/>
        <s v="8070.14"/>
        <s v="9402.66"/>
        <s v="14194.57"/>
        <s v="80836.19"/>
        <s v="669.93"/>
        <s v="6977.57"/>
        <s v="99530.35"/>
        <s v="141559.21"/>
        <s v="3910.27"/>
        <s v="1452.84"/>
        <s v="5571.63"/>
        <s v="1471.05"/>
        <s v="9814.54"/>
        <s v="9701.13"/>
        <s v="7281.43"/>
        <s v="24478.57"/>
        <s v="112550.72"/>
        <s v="12971.68"/>
        <s v="156488.71"/>
        <s v="1218.62"/>
        <s v="10418.17"/>
        <s v="87041.24"/>
        <s v="34748.01"/>
        <s v="9477.37"/>
        <n v="152589"/>
        <s v="8692.15"/>
        <s v="8404.49"/>
        <s v="9594.92"/>
        <s v="7213.02"/>
        <s v="14710.22"/>
        <s v="34880.08"/>
        <s v="9608.98"/>
        <s v="37488.65"/>
        <s v="21100.83"/>
        <s v="39769.54"/>
        <s v="4202.04"/>
        <s v="170236.97"/>
        <n v="167673"/>
        <s v="11524.84"/>
        <s v="63962.45"/>
        <s v="96533.43"/>
        <s v="5945.96"/>
        <n v="3823"/>
        <s v="7771.89"/>
        <s v="75611.91"/>
        <s v="19225.29"/>
        <s v="116430.82"/>
        <s v="61352.8"/>
        <s v="7812.74"/>
        <s v="17470.31"/>
        <s v="34100.07"/>
        <s v="91194.05"/>
        <s v="155689.29"/>
        <s v="37682.93"/>
        <s v="683.07"/>
        <n v="22466"/>
        <s v="3194.41"/>
        <s v="2267.35"/>
        <s v="26436.52"/>
        <s v="3664.38"/>
        <s v="133140.39"/>
        <s v="24437.48"/>
        <s v="6646.72"/>
        <s v="112985.79"/>
        <s v="84930.96"/>
        <s v="81166.55"/>
        <s v="32467.9"/>
        <s v="27642.84"/>
        <s v="10902.81"/>
        <s v="4203.21"/>
        <s v="5555.26"/>
        <s v="148924.06"/>
        <s v="61112.79"/>
        <s v="13785.27"/>
        <s v="12671.08"/>
        <s v="3833.53"/>
        <s v="3215.77"/>
        <s v="5534.7"/>
        <s v="87582.7"/>
        <s v="36343.64"/>
        <s v="36013.33"/>
        <s v="13902.99"/>
        <s v="129031.63"/>
        <s v="9553.11"/>
        <s v="26718.5"/>
        <s v="100172.69"/>
        <s v="5894.65"/>
        <s v="3672.71"/>
        <s v="5312.65"/>
        <s v="179204.32"/>
        <s v="3503.12"/>
        <s v="10270.21"/>
        <s v="13555.59"/>
        <s v="31092.32"/>
        <s v="24408.44"/>
        <s v="3362.54"/>
        <s v="7801.22"/>
        <s v="3816.43"/>
        <s v="2396.29"/>
        <s v="33406.3"/>
        <s v="121973.78"/>
        <s v="9109.79"/>
        <s v="142347.25"/>
        <s v="134374.47"/>
        <s v="10533.98"/>
        <s v="68969.22"/>
        <s v="35972.39"/>
        <s v="143817.41"/>
        <s v="197762.12"/>
        <s v="3428.82"/>
        <s v="36010.77"/>
        <s v="118224.88"/>
        <s v="10388.88"/>
        <s v="10823.36"/>
        <s v="10959.33"/>
        <s v="117072.83"/>
        <s v="11956.17"/>
        <s v="12767.17"/>
        <s v="14770.82"/>
        <s v="3988.56"/>
        <s v="140575.17"/>
        <s v="8791.01"/>
        <s v="142529.34"/>
        <s v="10185.67"/>
        <s v="11048.12"/>
        <s v="579.32"/>
        <s v="10142.32"/>
        <s v="14659.3"/>
        <s v="14529.83"/>
        <s v="6439.51"/>
        <s v="113998.69"/>
        <s v="154008.08"/>
        <s v="131860.43"/>
        <s v="9409.18"/>
        <s v="3665.93"/>
        <s v="105774.5"/>
        <s v="35104.63"/>
        <s v="31319.17"/>
        <s v="5333.42"/>
        <s v="8283.76"/>
        <s v="107039.9"/>
        <s v="19684.69"/>
        <s v="55970.53"/>
        <s v="4932.31"/>
        <s v="35675.43"/>
        <s v="114097.28"/>
        <s v="5981.93"/>
        <s v="7926.31"/>
        <s v="6609.61"/>
        <s v="53157.89"/>
        <s v="4722.03"/>
        <s v="3916.14"/>
        <s v="102199.06"/>
        <s v="26787.07"/>
        <s v="69733.69"/>
        <s v="25875.72"/>
        <s v="35314.08"/>
        <s v="14455.59"/>
        <s v="16655.1"/>
        <s v="102733.64"/>
        <s v="45299.68"/>
        <s v="2297.4"/>
        <s v="58804.08"/>
        <s v="37777.63"/>
        <s v="34239.05"/>
        <s v="104471.53"/>
        <s v="96205.98"/>
        <s v="2189.23"/>
        <s v="13239.84"/>
        <s v="34742.13"/>
        <s v="36652.31"/>
        <s v="3175.68"/>
        <s v="31459.97"/>
        <s v="123212.38"/>
        <s v="22661.6"/>
        <s v="26116.38"/>
        <s v="7126.61"/>
        <s v="22591.65"/>
        <s v="143693.34"/>
        <s v="30299.47"/>
        <s v="7479.1"/>
        <s v="26761.9"/>
        <s v="8866.13"/>
        <s v="164653.92"/>
        <s v="11265.89"/>
        <s v="13708.09"/>
        <s v="10852.24"/>
        <s v="10456.29"/>
        <s v="97938.13"/>
        <s v="120438.05"/>
        <s v="2652.11"/>
        <s v="28534.03"/>
        <s v="9125.07"/>
        <s v="33914.13"/>
        <s v="6463.4"/>
        <s v="103443.08"/>
        <s v="5677.34"/>
        <s v="55453.13"/>
        <s v="14279.49"/>
        <s v="129447.74"/>
        <s v="19353.58"/>
        <s v="1366.97"/>
        <s v="2323.93"/>
        <s v="6929.92"/>
        <s v="6476.15"/>
        <s v="19541.6"/>
        <s v="7454.79"/>
        <s v="196397.64"/>
        <s v="9690.28"/>
        <s v="16702.7"/>
        <s v="108247.52"/>
        <s v="22850.58"/>
        <s v="136782.6"/>
        <s v="7463.65"/>
        <n v="10528"/>
        <s v="10995.06"/>
        <s v="5178.78"/>
        <s v="29570.84"/>
        <s v="6983.94"/>
        <s v="190504.92"/>
        <s v="22999.83"/>
        <s v="9493.43"/>
        <s v="9968.27"/>
        <s v="12378.26"/>
        <s v="147019.63"/>
        <s v="38647.7"/>
        <s v="23370.32"/>
        <s v="97273.35"/>
        <s v="30124.27"/>
        <s v="13968.35"/>
        <s v="989.87"/>
        <s v="5170.84"/>
        <s v="5551.14"/>
        <s v="74771.45"/>
        <s v="18097.61"/>
        <s v="149744.92"/>
        <s v="3990.76"/>
        <s v="122303.84"/>
        <s v="189769.17"/>
        <s v="15569.04"/>
        <s v="5397.14"/>
        <s v="10625.93"/>
        <s v="114544.81"/>
        <s v="1393.53"/>
        <s v="5234.17"/>
        <s v="1193.97"/>
        <s v="8379.26"/>
        <s v="199518.3"/>
        <s v="13707.49"/>
        <s v="77549.67"/>
        <s v="13005.07"/>
        <s v="14301.16"/>
        <s v="188229.87"/>
        <s v="55371.12"/>
        <s v="6092.29"/>
        <s v="26940.61"/>
        <s v="10277.17"/>
        <s v="186480.07"/>
        <s v="7595.42"/>
        <s v="6237.09"/>
        <s v="190588.34"/>
        <s v="1167.95"/>
        <s v="57263.66"/>
        <s v="92571.67"/>
        <s v="35107.93"/>
        <s v="1521.84"/>
        <s v="5699.16"/>
        <s v="7518.82"/>
        <s v="19060.86"/>
        <s v="3350.79"/>
        <s v="156318.47"/>
        <s v="13432.48"/>
        <s v="172392.44"/>
        <s v="61820.3"/>
        <s v="26328.41"/>
        <s v="29403.09"/>
        <s v="25626.88"/>
        <s v="168138.77"/>
        <s v="111158.27"/>
        <s v="14637.47"/>
        <s v="9175.25"/>
        <s v="742.71"/>
        <s v="113319.92"/>
        <s v="2635.27"/>
        <s v="23700.24"/>
        <s v="39656.74"/>
        <s v="38792.43"/>
        <s v="31012.87"/>
        <s v="62414.31"/>
        <s v="78313.07"/>
        <s v="13984.93"/>
        <s v="162142.34"/>
        <s v="2008.49"/>
        <s v="111623.82"/>
        <s v="14259.48"/>
        <s v="85827.36"/>
        <s v="2333.26"/>
        <s v="6311.69"/>
        <s v="15770.37"/>
        <s v="115093.36"/>
        <s v="151370.92"/>
        <s v="19098.14"/>
        <s v="32867.8"/>
        <s v="8422.95"/>
        <s v="23435.12"/>
        <s v="79617.78"/>
        <s v="11215.11"/>
        <s v="38182.87"/>
        <s v="32077.21"/>
        <s v="3583.85"/>
        <s v="35537.05"/>
        <s v="17249.14"/>
        <s v="13146.39"/>
        <s v="107354.22"/>
        <s v="150083.09"/>
        <s v="21791.23"/>
        <s v="21052.6"/>
        <n v="8176"/>
        <s v="1409.7"/>
        <s v="12576.49"/>
        <s v="120198.94"/>
        <s v="7187.51"/>
        <s v="24855.48"/>
        <s v="8712.73"/>
        <s v="14727.9"/>
        <s v="109733.12"/>
        <s v="10376.49"/>
        <s v="4813.03"/>
        <s v="10452.65"/>
        <s v="11013.6"/>
        <s v="83098.69"/>
        <s v="16093.56"/>
        <s v="91976.84"/>
        <s v="2976.39"/>
        <s v="8588.45"/>
        <s v="3924.4"/>
        <s v="23986.76"/>
        <s v="87721.45"/>
        <s v="1835.63"/>
        <s v="9327.42"/>
        <s v="136537.78"/>
        <s v="5425.68"/>
        <s v="113552.99"/>
        <s v="98570.71"/>
        <s v="2631.83"/>
        <s v="5023.28"/>
        <s v="116235.83"/>
        <s v="100945.66"/>
        <s v="14861.82"/>
        <s v="1727.59"/>
        <s v="183609.9"/>
        <s v="96093.4"/>
        <s v="91626.03"/>
        <s v="36808.45"/>
        <s v="30033.06"/>
        <s v="122727.35"/>
        <s v="113706.49"/>
        <s v="12899.39"/>
        <s v="13361.86"/>
        <s v="57572.84"/>
        <s v="147457.61"/>
        <s v="100127.23"/>
        <s v="18404.16"/>
        <s v="105382.23"/>
        <s v="14527.45"/>
        <s v="849.58"/>
        <s v="85077.35"/>
        <s v="189672.93"/>
        <s v="27921.81"/>
        <s v="7758.36"/>
        <n v="149706"/>
        <s v="20560.68"/>
        <s v="132955.18"/>
        <s v="46509.46"/>
        <s v="2242.67"/>
        <s v="187835.28"/>
        <s v="30530.18"/>
        <s v="8141.01"/>
        <s v="6725.73"/>
        <s v="98729.56"/>
        <s v="6884.57"/>
        <s v="8192.75"/>
        <s v="5590.36"/>
        <s v="149639.1"/>
        <s v="7877.82"/>
        <s v="14999.82"/>
        <s v="56838.94"/>
        <s v="12913.36"/>
        <s v="7285.76"/>
        <s v="6433.75"/>
        <s v="8026.2"/>
        <s v="7926.19"/>
        <s v="79806.12"/>
        <s v="13704.46"/>
        <s v="5738.34"/>
        <s v="14503.71"/>
        <s v="25843.26"/>
        <s v="2141.85"/>
        <s v="2571.2"/>
        <s v="193228.89"/>
        <s v="32468.18"/>
        <s v="8157.91"/>
        <s v="61860.9"/>
        <s v="3666.28"/>
        <s v="154993.13"/>
        <s v="14937.71"/>
        <s v="37409.77"/>
        <n v="27814"/>
        <s v="13442.32"/>
        <s v="2044.72"/>
        <s v="32982.03"/>
        <s v="28265.94"/>
        <s v="2452.34"/>
        <s v="88037.08"/>
        <s v="7629.45"/>
        <s v="10245.75"/>
        <s v="44907.6"/>
        <s v="3429.86"/>
        <s v="64935.8"/>
        <s v="173197.56"/>
        <s v="32677.23"/>
        <s v="82621.44"/>
        <s v="35765.16"/>
        <s v="2502.34"/>
        <s v="29291.4"/>
        <s v="3152.26"/>
        <s v="9330.55"/>
        <s v="12199.67"/>
        <s v="165169.6"/>
        <s v="10174.98"/>
        <s v="182691.36"/>
        <s v="13916.72"/>
        <s v="141258.85"/>
        <s v="22121.03"/>
        <s v="6668.75"/>
        <s v="14334.83"/>
        <s v="36334.81"/>
        <s v="27745.42"/>
        <s v="99130.05"/>
        <s v="11517.18"/>
        <s v="2213.62"/>
        <s v="708.57"/>
        <s v="39521.04"/>
        <s v="97109.45"/>
        <s v="19620.98"/>
        <s v="19889.42"/>
        <s v="101976.77"/>
        <s v="63699.8"/>
        <s v="36550.12"/>
        <s v="35886.69"/>
        <s v="27213.44"/>
        <s v="129109.15"/>
        <s v="101727.13"/>
        <s v="125307.44"/>
        <s v="5360.38"/>
        <s v="27483.96"/>
        <s v="89850.45"/>
        <s v="13885.08"/>
        <s v="37874.38"/>
        <s v="32073.81"/>
        <s v="1147.93"/>
        <s v="37090.39"/>
        <s v="3286.37"/>
        <s v="22727.17"/>
        <s v="3527.72"/>
        <s v="2035.73"/>
        <s v="10004.13"/>
        <s v="72416.86"/>
        <s v="22019.8"/>
        <s v="2595.35"/>
        <s v="14769.74"/>
        <s v="167831.77"/>
        <s v="9563.88"/>
        <s v="199498.07"/>
        <n v="32802"/>
        <s v="16992.19"/>
        <s v="110255.4"/>
        <s v="1530.75"/>
        <s v="77242.63"/>
        <s v="12528.13"/>
        <s v="88058.38"/>
        <s v="13469.08"/>
        <s v="6673.94"/>
        <s v="3552.66"/>
        <n v="9555"/>
        <s v="27832.25"/>
        <s v="51115.16"/>
        <s v="61858.27"/>
        <s v="63694.48"/>
        <s v="134340.78"/>
        <s v="71980.51"/>
        <s v="5585.34"/>
        <s v="95295.96"/>
        <s v="194961.19"/>
        <s v="31090.94"/>
        <s v="1607.28"/>
        <s v="4710.18"/>
        <s v="115608.51"/>
        <s v="89742.01"/>
        <s v="6170.29"/>
        <s v="13608.15"/>
        <s v="112112.83"/>
        <s v="4468.87"/>
        <s v="880.47"/>
        <s v="24720.94"/>
        <s v="137823.71"/>
        <s v="103464.02"/>
        <s v="582.25"/>
        <s v="103559.9"/>
        <s v="125290.4"/>
        <s v="19743.18"/>
        <s v="39109.22"/>
        <s v="39479.64"/>
        <s v="197270.93"/>
        <s v="76585.92"/>
        <s v="3135.21"/>
        <s v="87710.73"/>
        <s v="31179.62"/>
        <s v="64354.52"/>
        <s v="16172.53"/>
        <s v="85345.54"/>
        <s v="73945.92"/>
        <s v="4044.33"/>
        <s v="12118.22"/>
        <s v="177715.77"/>
        <s v="2084.63"/>
        <s v="7574.87"/>
        <s v="3149.56"/>
        <s v="131669.6"/>
        <s v="133336.09"/>
        <s v="8059.97"/>
        <s v="196246.94"/>
        <n v="49895"/>
        <s v="35391.49"/>
        <s v="55039.13"/>
        <s v="12974.6"/>
        <s v="25460.64"/>
        <s v="1114.55"/>
        <s v="55769.19"/>
        <s v="33773.71"/>
        <s v="1699.59"/>
        <s v="14643.41"/>
        <s v="1386.89"/>
        <s v="18885.26"/>
        <s v="124536.98"/>
        <s v="194566.98"/>
        <s v="8414.1"/>
        <s v="4206.28"/>
        <s v="30544.64"/>
        <s v="778.95"/>
        <s v="109719.1"/>
        <s v="35788.19"/>
        <s v="80363.56"/>
        <s v="12542.7"/>
        <s v="13247.46"/>
        <s v="7579.69"/>
        <s v="97130.03"/>
        <s v="51292.23"/>
        <s v="31877.7"/>
        <s v="69186.91"/>
        <s v="14345.28"/>
        <s v="91057.31"/>
        <s v="3531.25"/>
        <s v="2039.78"/>
        <s v="29879.78"/>
        <s v="8143.71"/>
        <s v="17638.58"/>
        <s v="193333.15"/>
        <s v="45363.59"/>
        <s v="132730.44"/>
        <s v="140005.61"/>
        <s v="147609.96"/>
        <s v="61605.36"/>
        <s v="149318.05"/>
        <s v="6423.15"/>
        <s v="1280.77"/>
        <s v="146876.81"/>
        <s v="125793.5"/>
        <s v="64755.13"/>
        <s v="172199.02"/>
        <s v="11570.23"/>
        <s v="37408.81"/>
        <s v="20913.37"/>
        <s v="7802.35"/>
        <s v="4264.04"/>
        <s v="14242.6"/>
        <s v="4509.47"/>
        <s v="12782.51"/>
        <s v="1910.04"/>
        <s v="138402.04"/>
        <s v="154211.85"/>
        <s v="2789.52"/>
        <s v="32388.89"/>
        <n v="13572"/>
        <s v="89725.91"/>
        <s v="78923.82"/>
        <s v="8041.34"/>
        <s v="25588.86"/>
        <s v="111732.9"/>
        <s v="134901.53"/>
        <s v="135456.99"/>
        <s v="36138.61"/>
        <s v="13223.72"/>
        <s v="58114.68"/>
        <s v="7936.92"/>
        <s v="189088.4"/>
        <s v="10709.15"/>
        <s v="9086.41"/>
        <s v="100566.93"/>
        <s v="22269.01"/>
        <s v="1486.47"/>
        <s v="129314.31"/>
        <s v="28395.56"/>
        <s v="28124.9"/>
        <s v="113521.57"/>
        <s v="13650.39"/>
        <s v="4155.1"/>
        <s v="24065.89"/>
        <s v="19935.6"/>
        <s v="18995.13"/>
        <s v="29551.1"/>
        <s v="24311.86"/>
        <s v="14600.76"/>
        <s v="142681.28"/>
        <s v="55896.51"/>
        <s v="7862.75"/>
        <s v="22833.73"/>
        <s v="8650.81"/>
        <s v="9745.88"/>
        <s v="80769.6"/>
        <s v="33799.54"/>
        <s v="9617.26"/>
        <s v="39740.81"/>
        <s v="8664.71"/>
        <s v="102908.3"/>
        <s v="86033.72"/>
        <s v="14344.48"/>
        <s v="12769.49"/>
        <s v="145530.71"/>
        <s v="100434.83"/>
        <s v="91309.95"/>
        <s v="121697.23"/>
        <s v="17496.36"/>
        <s v="8077.29"/>
        <s v="185339.43"/>
        <s v="188791.09"/>
        <s v="88367.47"/>
        <s v="6548.08"/>
        <s v="12953.37"/>
        <s v="23427.22"/>
        <s v="5519.03"/>
        <s v="58812.04"/>
        <s v="2120.93"/>
        <s v="51200.65"/>
        <s v="61890.88"/>
        <s v="151819.78"/>
        <s v="20124.24"/>
        <s v="1108.82"/>
        <s v="30340.6"/>
        <s v="91691.41"/>
        <s v="39780.37"/>
        <s v="5503.33"/>
        <s v="34695.41"/>
        <s v="9457.07"/>
        <s v="7693.49"/>
        <s v="21778.67"/>
        <s v="32880.19"/>
        <s v="139582.02"/>
        <s v="192733.87"/>
        <s v="131543.75"/>
        <s v="107237.42"/>
        <s v="125917.39"/>
        <s v="21571.45"/>
        <s v="190191.4"/>
        <s v="196819.45"/>
        <s v="22645.6"/>
        <s v="14548.26"/>
        <s v="690.39"/>
        <s v="52956.77"/>
        <s v="129223.76"/>
        <s v="6261.26"/>
        <s v="199825.58"/>
        <s v="23276.38"/>
        <s v="61959.36"/>
        <s v="36312.35"/>
        <s v="2460.3"/>
        <s v="17210.59"/>
        <s v="7247.45"/>
        <s v="6440.61"/>
        <s v="7820.62"/>
        <s v="12768.02"/>
        <s v="10553.12"/>
        <s v="114063.73"/>
        <s v="127917.34"/>
        <s v="3347.15"/>
        <s v="8462.23"/>
        <s v="114238.5"/>
        <s v="13612.5"/>
        <s v="29956.22"/>
        <s v="9029.55"/>
        <s v="7789.47"/>
        <s v="35815.5"/>
        <s v="2581.91"/>
        <s v="14096.14"/>
        <s v="109535.96"/>
        <s v="23908.71"/>
        <s v="144140.39"/>
        <s v="17379.81"/>
        <s v="39799.62"/>
        <s v="119786.72"/>
        <s v="8868.43"/>
        <s v="10660.36"/>
        <s v="9599.5"/>
        <s v="92825.93"/>
        <s v="117561.09"/>
        <s v="6578.31"/>
        <s v="15217.92"/>
        <s v="25557.48"/>
        <s v="4688.64"/>
        <s v="7626.7"/>
        <s v="33566.31"/>
        <s v="13931.06"/>
        <s v="126625.71"/>
        <s v="29833.81"/>
        <s v="11041.32"/>
        <s v="82286.22"/>
        <s v="36808.82"/>
        <s v="38705.02"/>
        <s v="12787.15"/>
        <s v="5190.52"/>
        <s v="9156.15"/>
        <s v="151515.39"/>
        <s v="18274.06"/>
        <s v="11715.79"/>
        <s v="3217.27"/>
        <s v="23010.24"/>
        <s v="196430.32"/>
        <s v="10669.63"/>
        <s v="14205.21"/>
        <s v="17050.61"/>
        <s v="3795.54"/>
        <s v="82104.27"/>
        <s v="120393.58"/>
        <s v="28972.62"/>
        <s v="32174.13"/>
        <s v="62315.24"/>
        <s v="190970.02"/>
        <s v="79379.01"/>
        <s v="4516.24"/>
        <s v="2368.64"/>
        <s v="27046.23"/>
        <s v="38441.65"/>
        <s v="117274.3"/>
        <s v="39870.52"/>
        <s v="9364.83"/>
        <s v="9247.33"/>
        <s v="35072.77"/>
        <s v="3150.54"/>
        <s v="164571.85"/>
        <s v="82698.38"/>
        <s v="5501.88"/>
        <s v="80436.15"/>
        <s v="2884.83"/>
        <n v="11045"/>
        <s v="9279.05"/>
        <s v="49731.75"/>
        <s v="27741.64"/>
        <s v="27893.46"/>
        <s v="9800.12"/>
        <s v="138727.68"/>
        <s v="14233.44"/>
        <s v="59233.34"/>
        <s v="17118.71"/>
        <s v="39053.5"/>
        <s v="30689.01"/>
        <s v="23286.73"/>
        <s v="19163.96"/>
        <s v="26813.91"/>
        <s v="14627.79"/>
        <s v="4323.97"/>
        <s v="28347.36"/>
        <s v="105227.01"/>
        <s v="14574.66"/>
        <s v="99051.25"/>
        <s v="73179.73"/>
        <s v="134653.55"/>
        <s v="18117.26"/>
        <s v="9120.98"/>
        <s v="26307.93"/>
        <s v="5842.47"/>
        <s v="16792.38"/>
        <s v="80933.46"/>
        <s v="64608.91"/>
        <s v="5991.42"/>
        <s v="5337.09"/>
        <s v="7994.88"/>
        <s v="30363.04"/>
        <s v="13641.19"/>
        <s v="5243.87"/>
        <s v="39234.36"/>
        <s v="5909.87"/>
        <s v="7165.33"/>
        <s v="14985.84"/>
        <s v="27637.47"/>
        <s v="34888.31"/>
        <s v="18971.99"/>
        <s v="146758.09"/>
        <s v="68785.86"/>
        <s v="37905.82"/>
        <s v="12445.22"/>
        <s v="135541.11"/>
        <s v="11603.47"/>
        <s v="75182.79"/>
        <s v="36450.01"/>
        <s v="12050.15"/>
        <s v="5007.57"/>
        <s v="32624.3"/>
        <s v="4168.46"/>
        <s v="10719.28"/>
        <s v="192275.44"/>
        <s v="8181.98"/>
        <s v="31659.43"/>
        <s v="10557.69"/>
        <s v="190430.06"/>
        <s v="22817.89"/>
        <s v="5004.62"/>
        <s v="26612.99"/>
        <s v="97320.42"/>
        <s v="46314.12"/>
        <s v="74219.05"/>
        <s v="101841.11"/>
        <s v="112414.21"/>
        <s v="9852.48"/>
        <s v="9613.32"/>
        <s v="22545.27"/>
        <s v="4943.51"/>
        <s v="166728.52"/>
        <s v="13710.02"/>
        <s v="4855.25"/>
        <s v="8262.88"/>
        <s v="76648.43"/>
        <s v="18401.46"/>
        <s v="144895.27"/>
        <s v="9656.65"/>
        <s v="18995.71"/>
        <s v="33071.79"/>
        <s v="11890.3"/>
        <s v="9730.85"/>
        <s v="93452.04"/>
        <s v="5319.83"/>
        <s v="13052.85"/>
        <s v="37023.28"/>
        <s v="2393.28"/>
        <s v="7101.4"/>
        <s v="98114.94"/>
        <s v="64822.93"/>
        <s v="1974.92"/>
        <s v="197391.39"/>
        <s v="8176.73"/>
        <s v="2906.29"/>
        <s v="14763.98"/>
        <s v="5179.3"/>
        <s v="1755.19"/>
        <s v="54447.01"/>
        <s v="7868.34"/>
        <n v="90948"/>
        <s v="39948.35"/>
        <s v="9676.39"/>
        <s v="21989.01"/>
        <s v="84894.79"/>
        <s v="4255.57"/>
        <s v="15209.96"/>
        <s v="101545.57"/>
        <s v="14698.87"/>
        <s v="93089.99"/>
        <s v="2339.87"/>
        <s v="57447.94"/>
        <s v="8141.19"/>
        <s v="5440.43"/>
        <s v="10035.29"/>
        <s v="76645.38"/>
        <s v="685.04"/>
        <s v="26299.85"/>
        <s v="2557.48"/>
        <s v="22392.77"/>
        <s v="19753.48"/>
        <s v="38757.97"/>
        <s v="6573.58"/>
        <s v="24924.85"/>
        <s v="10696.82"/>
        <s v="188534.87"/>
        <s v="15967.26"/>
        <s v="31966.28"/>
        <s v="29044.95"/>
        <s v="15625.11"/>
        <s v="11861.23"/>
        <s v="104853.3"/>
        <s v="1743.21"/>
        <s v="14363.26"/>
        <s v="2873.3"/>
        <s v="14390.36"/>
        <s v="3356.59"/>
        <s v="4938.31"/>
        <s v="3548.65"/>
        <s v="10854.54"/>
        <s v="11931.08"/>
        <s v="1262.77"/>
        <s v="3459.58"/>
        <s v="3876.3"/>
        <s v="144704.83"/>
        <s v="57076.09"/>
        <s v="129511.5"/>
        <s v="10099.75"/>
        <s v="7070.88"/>
        <s v="5464.15"/>
        <s v="149071.54"/>
        <s v="30665.71"/>
        <s v="174780.9"/>
        <s v="828.53"/>
        <s v="149465.18"/>
        <s v="18130.67"/>
        <s v="7475.56"/>
        <s v="4253.3"/>
        <s v="10272.68"/>
        <s v="57835.72"/>
        <s v="7544.84"/>
        <s v="148081.85"/>
        <s v="1138.9"/>
        <s v="7128.01"/>
        <s v="1671.65"/>
        <s v="13746.11"/>
        <s v="153548.8"/>
        <s v="91758.06"/>
        <s v="19865.16"/>
        <s v="17426.09"/>
        <s v="169031.05"/>
        <s v="1861.61"/>
        <s v="128771.61"/>
        <s v="37545.23"/>
        <s v="171066.27"/>
        <s v="25807.53"/>
        <s v="39655.36"/>
        <s v="88708.99"/>
        <s v="13161.12"/>
        <s v="94076.26"/>
        <s v="37975.35"/>
        <s v="2184.03"/>
        <s v="144807.37"/>
        <s v="101267.01"/>
        <s v="50900.31"/>
        <s v="141396.62"/>
        <s v="17286.57"/>
        <s v="5059.56"/>
        <s v="119266.88"/>
        <s v="15947.25"/>
        <s v="11067.77"/>
        <s v="33464.15"/>
        <s v="547.41"/>
        <s v="5168.1"/>
        <s v="133551.57"/>
        <s v="13136.95"/>
        <s v="3012.34"/>
        <s v="135042.69"/>
        <s v="2942.65"/>
        <s v="6816.88"/>
        <s v="88832.17"/>
        <s v="194496.68"/>
        <s v="8676.21"/>
        <s v="33814.05"/>
        <s v="57502.63"/>
        <s v="146702.97"/>
        <s v="24707.07"/>
        <s v="4697.17"/>
        <s v="26255.37"/>
        <s v="3701.82"/>
        <s v="38718.66"/>
        <s v="118684.22"/>
        <s v="4012.33"/>
        <s v="13663.6"/>
        <s v="18546.87"/>
        <s v="7972.09"/>
        <s v="12831.02"/>
        <s v="8948.58"/>
        <s v="6958.27"/>
        <s v="26780.71"/>
        <s v="138356.75"/>
        <s v="199763.33"/>
        <s v="24621.89"/>
        <s v="20365.81"/>
        <s v="56883.47"/>
        <s v="8463.72"/>
        <s v="32828.37"/>
        <s v="145550.8"/>
        <s v="6035.31"/>
        <s v="5334.64"/>
        <s v="13912.69"/>
        <s v="152434.27"/>
        <s v="3771.32"/>
        <s v="31115.44"/>
        <s v="3240.71"/>
        <s v="95485.57"/>
        <s v="118125.17"/>
        <s v="176426.84"/>
        <s v="24149.51"/>
        <s v="145127.96"/>
        <s v="4075.89"/>
        <s v="104416.1"/>
        <s v="33853.1"/>
        <s v="38198.81"/>
        <s v="11089.7"/>
        <s v="140532.71"/>
        <s v="25179.81"/>
        <s v="16820.11"/>
        <s v="17141.5"/>
        <s v="664.45"/>
        <s v="151528.99"/>
        <s v="9965.05"/>
        <s v="26231.07"/>
        <s v="35877.6"/>
        <s v="31408.17"/>
        <s v="23399.9"/>
        <s v="3881.41"/>
        <s v="11670.45"/>
        <s v="4423.67"/>
        <s v="5096.92"/>
        <s v="52153.4"/>
        <s v="1266.27"/>
        <s v="16662.44"/>
        <s v="157592.58"/>
        <s v="67826.8"/>
        <s v="8928.01"/>
        <s v="79629.62"/>
        <s v="75000.89"/>
        <s v="114341.2"/>
        <s v="5195.82"/>
        <s v="4805.76"/>
        <s v="86062.2"/>
        <s v="101469.26"/>
        <s v="120209.7"/>
        <s v="10050.36"/>
        <s v="36264.45"/>
        <s v="7697.61"/>
        <s v="59051.04"/>
        <s v="128527.35"/>
        <s v="33472.2"/>
        <s v="83856.21"/>
        <s v="121946.46"/>
        <s v="6694.92"/>
        <s v="133047.42"/>
        <s v="145529.64"/>
        <s v="9879.76"/>
        <s v="102312.4"/>
        <s v="70635.58"/>
        <s v="69536.64"/>
        <s v="8368.26"/>
        <s v="74245.27"/>
        <s v="3000.12"/>
        <s v="109269.17"/>
        <s v="7954.24"/>
        <s v="72203.04"/>
        <s v="109012.16"/>
        <s v="3723.32"/>
        <s v="44298.56"/>
        <n v="176944"/>
        <s v="159515.08"/>
        <s v="10329.68"/>
        <s v="30071.86"/>
        <s v="26805.41"/>
        <s v="140201.08"/>
        <s v="35306.16"/>
        <s v="8504.55"/>
        <s v="18168.63"/>
        <s v="9456.42"/>
        <s v="78237.47"/>
        <s v="11860.45"/>
        <s v="1697.42"/>
        <s v="1364.1"/>
        <s v="10084.4"/>
        <s v="2337.77"/>
        <s v="23396.17"/>
        <s v="4005.61"/>
        <s v="30830.58"/>
        <s v="8376.02"/>
        <s v="9207.61"/>
        <s v="75275.39"/>
        <s v="148628.82"/>
        <s v="31432.82"/>
        <s v="887.49"/>
        <s v="9052.98"/>
        <s v="22007.18"/>
        <s v="28970.69"/>
        <s v="11944.06"/>
        <s v="123028.42"/>
        <s v="7365.85"/>
        <s v="2610.01"/>
        <s v="24619.6"/>
        <s v="14025.74"/>
        <s v="15596.86"/>
        <s v="187799.62"/>
        <s v="53892.29"/>
        <s v="34403.9"/>
        <s v="1189.14"/>
        <s v="22059.84"/>
        <s v="24333.7"/>
        <s v="41402.33"/>
        <s v="8077.01"/>
        <n v="13059"/>
        <s v="6816.96"/>
        <s v="50832.71"/>
        <s v="18616.01"/>
        <s v="8614.91"/>
        <s v="150375.48"/>
        <s v="160831.71"/>
        <s v="38084.25"/>
        <s v="7842.2"/>
        <s v="3545.48"/>
        <s v="1899.7"/>
        <s v="4872.53"/>
        <s v="32181.92"/>
        <s v="150493.28"/>
        <s v="94114.46"/>
        <s v="6005.53"/>
        <s v="115887.17"/>
        <s v="39726.64"/>
        <s v="27837.96"/>
        <s v="23577.4"/>
        <s v="101634.28"/>
        <s v="6454.28"/>
        <s v="22040.05"/>
        <s v="141204.95"/>
        <s v="137799.35"/>
        <s v="9519.45"/>
        <s v="26346.69"/>
        <s v="8844.23"/>
        <s v="4291.67"/>
        <s v="32991.22"/>
        <s v="3428.45"/>
        <s v="5893.16"/>
        <s v="5198.11"/>
        <s v="111847.73"/>
        <s v="160064.43"/>
        <s v="31956.31"/>
        <s v="9248.38"/>
        <s v="140006.63"/>
        <s v="31613.06"/>
        <s v="21291.32"/>
        <s v="35909.38"/>
        <s v="19119.6"/>
        <s v="14877.8"/>
        <s v="20588.13"/>
        <s v="169294.43"/>
        <s v="179600.99"/>
        <s v="4074.17"/>
        <s v="83844.06"/>
        <s v="2495.49"/>
        <s v="12973.89"/>
        <s v="197364.71"/>
        <s v="4529.73"/>
        <s v="61447.38"/>
        <s v="136080.9"/>
        <s v="30500.36"/>
        <s v="11896.31"/>
        <s v="28939.96"/>
        <s v="7371.95"/>
        <s v="85195.04"/>
        <s v="7376.95"/>
        <s v="61133.46"/>
        <s v="35777.74"/>
        <s v="3024.87"/>
        <s v="174747.97"/>
        <s v="7726.03"/>
        <s v="9144.4"/>
        <s v="1854.97"/>
        <s v="2276.22"/>
        <s v="177907.48"/>
        <s v="35103.03"/>
        <s v="679.38"/>
        <s v="1986.33"/>
        <s v="164397.95"/>
        <s v="138045.1"/>
        <s v="4039.9"/>
        <s v="136195.26"/>
        <s v="100739.02"/>
        <s v="1132.85"/>
        <s v="18330.34"/>
        <s v="100593.21"/>
        <s v="32309.41"/>
        <s v="35781.1"/>
        <s v="13564.42"/>
        <s v="19564.73"/>
        <s v="3943.28"/>
        <s v="84010.35"/>
        <s v="33393.14"/>
        <s v="5584.34"/>
        <s v="10337.89"/>
        <s v="7073.44"/>
        <s v="12059.01"/>
        <s v="7769.25"/>
        <s v="25080.56"/>
        <s v="58125.73"/>
        <s v="11040.96"/>
        <s v="99309.04"/>
        <s v="2857.18"/>
        <s v="33987.52"/>
        <s v="80109.35"/>
        <s v="13074.92"/>
        <s v="8579.59"/>
        <s v="129398.2"/>
        <s v="19239.64"/>
        <s v="12621.11"/>
        <s v="14461.26"/>
        <s v="31361.61"/>
        <s v="6288.42"/>
        <s v="27191.78"/>
        <s v="21196.51"/>
        <s v="176697.54"/>
        <s v="7151.41"/>
        <s v="32700.24"/>
        <s v="11425.33"/>
        <s v="3300.77"/>
        <s v="22208.2"/>
        <s v="11459.17"/>
        <s v="8433.45"/>
        <s v="125418.86"/>
        <s v="110739.5"/>
        <s v="96755.41"/>
        <s v="78957.32"/>
        <s v="9511.81"/>
        <s v="6868.99"/>
        <s v="4238.11"/>
        <s v="8984.08"/>
        <s v="58680.12"/>
        <s v="112097.64"/>
        <s v="1771.08"/>
        <s v="4495.15"/>
        <s v="35280.97"/>
        <s v="52428.71"/>
        <s v="9348.2"/>
        <s v="69139.55"/>
      </sharedItems>
    </cacheField>
    <cacheField name="INTEREST_RATE" numFmtId="0">
      <sharedItems containsNumber="1" containsInteger="1" containsMixedTypes="1" count="894">
        <s v="12.52"/>
        <s v="16.44"/>
        <s v="9.37"/>
        <s v="18.56"/>
        <s v="13.67"/>
        <s v="16.34"/>
        <s v="19.45"/>
        <s v="12.87"/>
        <s v="14.86"/>
        <s v="7.81"/>
        <s v="8.32"/>
        <s v="11.88"/>
        <s v="12.32"/>
        <s v="14.3"/>
        <s v="8.89"/>
        <s v="17.47"/>
        <s v="16.98"/>
        <s v="10.5"/>
        <s v="20.27"/>
        <s v="14.01"/>
        <s v="8.41"/>
        <s v="20.89"/>
        <s v="6.76"/>
        <s v="8.69"/>
        <s v="12.09"/>
        <s v="14.66"/>
        <s v="14.47"/>
        <s v="12.1"/>
        <s v="21.06"/>
        <s v="6.07"/>
        <s v="17.16"/>
        <s v="19.19"/>
        <s v="13.72"/>
        <s v="15.54"/>
        <s v="13.94"/>
        <s v="19.75"/>
        <s v="13.41"/>
        <s v="5.24"/>
        <s v="10.31"/>
        <s v="11.37"/>
        <s v="9.74"/>
        <s v="19.64"/>
        <s v="17.26"/>
        <s v="6.97"/>
        <s v="13.77"/>
        <s v="17.21"/>
        <s v="17.25"/>
        <s v="6.95"/>
        <s v="20.94"/>
        <s v="14.51"/>
        <s v="12.49"/>
        <s v="15.72"/>
        <s v="16.15"/>
        <s v="13.49"/>
        <s v="11.86"/>
        <s v="19.11"/>
        <s v="9.64"/>
        <s v="20.98"/>
        <s v="10.03"/>
        <s v="18.13"/>
        <s v="16.53"/>
        <s v="14.53"/>
        <s v="15.5"/>
        <s v="10.58"/>
        <s v="19.47"/>
        <s v="20.57"/>
        <s v="6.77"/>
        <s v="7.63"/>
        <s v="16.99"/>
        <s v="7.78"/>
        <s v="11.13"/>
        <s v="9.22"/>
        <s v="12.05"/>
        <s v="8.81"/>
        <s v="20.26"/>
        <s v="8.5"/>
        <s v="18.17"/>
        <s v="21.99"/>
        <s v="10.84"/>
        <s v="9.05"/>
        <s v="20.4"/>
        <s v="5.48"/>
        <s v="13.73"/>
        <s v="11.07"/>
        <s v="14.22"/>
        <s v="11.36"/>
        <s v="7.19"/>
        <s v="14.45"/>
        <s v="21.68"/>
        <s v="7.94"/>
        <s v="21.03"/>
        <s v="18.78"/>
        <s v="9.12"/>
        <s v="11.08"/>
        <s v="15.11"/>
        <s v="11.87"/>
        <s v="13.15"/>
        <s v="13.53"/>
        <s v="10.49"/>
        <s v="20.31"/>
        <s v="19.23"/>
        <s v="6.63"/>
        <s v="21.67"/>
        <s v="12.37"/>
        <s v="21.64"/>
        <s v="13.01"/>
        <s v="12.82"/>
        <s v="16.07"/>
        <s v="13.46"/>
        <s v="16.41"/>
        <s v="9.63"/>
        <s v="18.91"/>
        <s v="12.5"/>
        <s v="7.34"/>
        <s v="16.86"/>
        <s v="8.1"/>
        <s v="10.28"/>
        <s v="14.11"/>
        <s v="9.23"/>
        <s v="21.98"/>
        <s v="6.09"/>
        <s v="14.02"/>
        <s v="5.97"/>
        <s v="21.96"/>
        <n v="14"/>
        <s v="9.7"/>
        <s v="13.79"/>
        <s v="14.42"/>
        <s v="14.19"/>
        <s v="13.59"/>
        <s v="8.08"/>
        <s v="18.88"/>
        <s v="11.9"/>
        <s v="19.2"/>
        <s v="17.62"/>
        <s v="10.61"/>
        <s v="10.78"/>
        <s v="16.08"/>
        <s v="7.53"/>
        <s v="11.28"/>
        <s v="14.75"/>
        <s v="20.39"/>
        <s v="13.14"/>
        <s v="17.05"/>
        <s v="7.52"/>
        <s v="6.91"/>
        <s v="9.89"/>
        <s v="6.9"/>
        <s v="7.22"/>
        <s v="11.75"/>
        <s v="16.2"/>
        <s v="9.43"/>
        <s v="9.13"/>
        <s v="20.75"/>
        <s v="17.27"/>
        <s v="21.29"/>
        <s v="12.81"/>
        <s v="13.02"/>
        <s v="8.18"/>
        <s v="6.06"/>
        <s v="11.27"/>
        <s v="12.79"/>
        <s v="8.91"/>
        <s v="6.53"/>
        <s v="17.18"/>
        <s v="21.52"/>
        <s v="6.62"/>
        <s v="14.56"/>
        <s v="11.26"/>
        <s v="17.77"/>
        <s v="12.42"/>
        <s v="12.33"/>
        <s v="11.19"/>
        <s v="10.85"/>
        <s v="6.55"/>
        <s v="17.82"/>
        <s v="18.62"/>
        <s v="19.88"/>
        <s v="18.61"/>
        <s v="12.38"/>
        <s v="7.47"/>
        <s v="9.42"/>
        <s v="14.49"/>
        <s v="8.2"/>
        <s v="5.35"/>
        <s v="17.52"/>
        <s v="15.85"/>
        <s v="17.43"/>
        <s v="7.95"/>
        <s v="19.29"/>
        <s v="18.89"/>
        <s v="11.89"/>
        <s v="12.92"/>
        <s v="9.41"/>
        <s v="11.03"/>
        <s v="14.85"/>
        <s v="19.59"/>
        <s v="15.31"/>
        <s v="7.26"/>
        <s v="15.14"/>
        <s v="11.06"/>
        <s v="5.67"/>
        <s v="9.25"/>
        <s v="13.32"/>
        <s v="5.8"/>
        <s v="16.55"/>
        <s v="20.06"/>
        <s v="13.99"/>
        <s v="9.11"/>
        <s v="15.32"/>
        <s v="10.65"/>
        <s v="9.97"/>
        <s v="19.46"/>
        <s v="8.97"/>
        <s v="7.65"/>
        <s v="6.51"/>
        <s v="7.04"/>
        <s v="6.16"/>
        <s v="15.98"/>
        <s v="19.85"/>
        <s v="5.36"/>
        <s v="13.6"/>
        <s v="10.9"/>
        <s v="11.35"/>
        <s v="20.38"/>
        <s v="6.15"/>
        <s v="13.39"/>
        <s v="20.62"/>
        <s v="13.27"/>
        <s v="12.51"/>
        <s v="11.78"/>
        <s v="7.64"/>
        <s v="5.73"/>
        <s v="7.49"/>
        <s v="15.77"/>
        <s v="21.51"/>
        <s v="16.83"/>
        <s v="18.42"/>
        <s v="7.71"/>
        <s v="5.51"/>
        <s v="15.73"/>
        <s v="5.41"/>
        <s v="14.15"/>
        <s v="8.43"/>
        <s v="12.15"/>
        <s v="5.65"/>
        <s v="14.38"/>
        <s v="16.89"/>
        <s v="13.88"/>
        <s v="17.73"/>
        <s v="20.96"/>
        <s v="16.24"/>
        <s v="10.11"/>
        <s v="19.18"/>
        <s v="15.52"/>
        <s v="15.8"/>
        <s v="5.01"/>
        <s v="19.35"/>
        <s v="14.23"/>
        <s v="13.95"/>
        <s v="21.48"/>
        <s v="19.7"/>
        <s v="7.38"/>
        <s v="14.8"/>
        <s v="15.76"/>
        <s v="12.01"/>
        <s v="15.35"/>
        <s v="18.86"/>
        <s v="17.12"/>
        <s v="12.16"/>
        <s v="7.4"/>
        <s v="19.02"/>
        <s v="10.7"/>
        <s v="19.24"/>
        <s v="5.12"/>
        <s v="18.9"/>
        <s v="11.59"/>
        <s v="10.82"/>
        <s v="14.68"/>
        <s v="12.93"/>
        <s v="16.62"/>
        <s v="21.28"/>
        <s v="9.93"/>
        <s v="18.74"/>
        <s v="9.3"/>
        <s v="9.29"/>
        <s v="20.42"/>
        <s v="21.46"/>
        <s v="10.43"/>
        <s v="7.56"/>
        <s v="18.12"/>
        <s v="14.87"/>
        <s v="10.15"/>
        <s v="9.09"/>
        <s v="20.3"/>
        <s v="6.94"/>
        <s v="9.48"/>
        <s v="21.36"/>
        <s v="14.57"/>
        <s v="8.28"/>
        <s v="17.13"/>
        <s v="12.26"/>
        <s v="21.4"/>
        <s v="21.38"/>
        <s v="19.26"/>
        <s v="7.68"/>
        <s v="14.09"/>
        <s v="8.68"/>
        <s v="16.84"/>
        <s v="19.43"/>
        <s v="6.66"/>
        <s v="11.02"/>
        <s v="11.4"/>
        <s v="8.48"/>
        <s v="8.83"/>
        <s v="5.04"/>
        <s v="13.36"/>
        <s v="14.88"/>
        <s v="9.07"/>
        <s v="6.61"/>
        <s v="21.58"/>
        <s v="16.12"/>
        <s v="13.4"/>
        <s v="5.83"/>
        <s v="6.32"/>
        <s v="13.35"/>
        <s v="19.4"/>
        <s v="20.9"/>
        <s v="11.15"/>
        <s v="19.17"/>
        <s v="6.1"/>
        <s v="6.99"/>
        <s v="15.82"/>
        <s v="20.54"/>
        <s v="18.19"/>
        <s v="16.7"/>
        <s v="5.42"/>
        <s v="10.95"/>
        <s v="15.09"/>
        <s v="13.98"/>
        <s v="15.66"/>
        <s v="13.86"/>
        <s v="9.8"/>
        <s v="14.4"/>
        <s v="21.61"/>
        <s v="6.67"/>
        <s v="9.17"/>
        <s v="8.02"/>
        <s v="11.17"/>
        <s v="6.28"/>
        <s v="21.19"/>
        <s v="12.6"/>
        <s v="19.53"/>
        <s v="21.97"/>
        <s v="10.42"/>
        <s v="10.54"/>
        <s v="18.43"/>
        <s v="20.92"/>
        <s v="16.45"/>
        <s v="14.36"/>
        <s v="6.4"/>
        <s v="10.64"/>
        <s v="18.5"/>
        <s v="12.29"/>
        <s v="16.26"/>
        <s v="14.93"/>
        <s v="8.17"/>
        <s v="6.71"/>
        <s v="15.51"/>
        <s v="12.65"/>
        <s v="11.91"/>
        <s v="18.46"/>
        <s v="12.54"/>
        <s v="7.14"/>
        <s v="10.22"/>
        <s v="18.41"/>
        <s v="18.96"/>
        <s v="9.08"/>
        <s v="21.37"/>
        <s v="19.06"/>
        <s v="8.26"/>
        <s v="20.21"/>
        <s v="18.28"/>
        <s v="6.01"/>
        <s v="14.76"/>
        <s v="7.33"/>
        <s v="7.28"/>
        <s v="15.71"/>
        <s v="15.93"/>
        <s v="21.45"/>
        <s v="5.79"/>
        <s v="18.03"/>
        <s v="6.73"/>
        <s v="13.19"/>
        <s v="9.87"/>
        <s v="5.87"/>
        <s v="9.26"/>
        <s v="15.23"/>
        <s v="11.83"/>
        <s v="14.71"/>
        <s v="14.44"/>
        <s v="12.78"/>
        <s v="8.25"/>
        <s v="20.05"/>
        <s v="14.2"/>
        <s v="7.3"/>
        <s v="18.85"/>
        <s v="17.04"/>
        <s v="15.22"/>
        <s v="6.74"/>
        <s v="5.17"/>
        <s v="16.68"/>
        <s v="8.05"/>
        <s v="6.25"/>
        <s v="7.83"/>
        <s v="17.71"/>
        <s v="16.37"/>
        <s v="18.16"/>
        <s v="12.19"/>
        <s v="12.28"/>
        <s v="6.48"/>
        <s v="10.2"/>
        <s v="21.57"/>
        <s v="18.58"/>
        <s v="7.17"/>
        <s v="10.55"/>
        <s v="7.5"/>
        <s v="20.73"/>
        <s v="10.71"/>
        <s v="17.45"/>
        <s v="18.01"/>
        <n v="8"/>
        <s v="13.76"/>
        <s v="15.88"/>
        <s v="18.18"/>
        <s v="11.2"/>
        <s v="6.64"/>
        <s v="19.54"/>
        <s v="12.22"/>
        <s v="13.55"/>
        <s v="5.28"/>
        <s v="16.16"/>
        <s v="17.58"/>
        <s v="11.82"/>
        <s v="17.32"/>
        <s v="11.73"/>
        <s v="8.3"/>
        <s v="21.85"/>
        <s v="7.41"/>
        <s v="5.72"/>
        <s v="7.03"/>
        <s v="21.44"/>
        <s v="12.86"/>
        <s v="8.85"/>
        <s v="16.23"/>
        <s v="17.37"/>
        <s v="5.58"/>
        <s v="12.11"/>
        <s v="5.25"/>
        <s v="15.64"/>
        <s v="13.25"/>
        <s v="6.7"/>
        <s v="8.94"/>
        <s v="13.56"/>
        <s v="19.03"/>
        <s v="14.41"/>
        <s v="6.93"/>
        <s v="6.43"/>
        <s v="11.57"/>
        <s v="8.55"/>
        <s v="10.01"/>
        <s v="9.33"/>
        <s v="15.33"/>
        <s v="10.97"/>
        <s v="11.66"/>
        <s v="7.87"/>
        <s v="5.62"/>
        <s v="15.99"/>
        <s v="7.39"/>
        <s v="20.72"/>
        <s v="16.76"/>
        <s v="21.31"/>
        <s v="19.44"/>
        <s v="16.13"/>
        <s v="11.46"/>
        <s v="19.72"/>
        <s v="16.25"/>
        <s v="13.54"/>
        <s v="18.11"/>
        <s v="10.69"/>
        <s v="18.66"/>
        <s v="21.94"/>
        <s v="20.8"/>
        <s v="21.33"/>
        <s v="6.23"/>
        <s v="11.52"/>
        <s v="21.6"/>
        <s v="15.62"/>
        <s v="14.96"/>
        <s v="19.1"/>
        <s v="21.88"/>
        <s v="8.37"/>
        <s v="18.26"/>
        <s v="17.8"/>
        <s v="9.49"/>
        <s v="12.06"/>
        <s v="5.11"/>
        <s v="15.74"/>
        <s v="12.3"/>
        <s v="17.74"/>
        <s v="13.68"/>
        <s v="19.92"/>
        <s v="6.89"/>
        <s v="5.29"/>
        <s v="14.07"/>
        <s v="13.12"/>
        <s v="11.95"/>
        <s v="19.25"/>
        <s v="7.13"/>
        <s v="13.26"/>
        <s v="16.06"/>
        <s v="12.59"/>
        <s v="7.07"/>
        <s v="11.49"/>
        <s v="7.99"/>
        <s v="13.43"/>
        <s v="10.36"/>
        <s v="8.92"/>
        <s v="13.93"/>
        <s v="12.89"/>
        <s v="13.92"/>
        <s v="8.64"/>
        <s v="11.05"/>
        <s v="18.65"/>
        <s v="15.29"/>
        <s v="13.62"/>
        <s v="16.71"/>
        <s v="19.14"/>
        <s v="6.8"/>
        <s v="15.94"/>
        <s v="5.6"/>
        <s v="19.74"/>
        <s v="21.77"/>
        <s v="14.94"/>
        <s v="6.38"/>
        <s v="14.54"/>
        <s v="11.54"/>
        <s v="16.56"/>
        <s v="9.98"/>
        <s v="6.79"/>
        <s v="20.76"/>
        <s v="13.45"/>
        <s v="16.78"/>
        <s v="20.68"/>
        <s v="8.27"/>
        <s v="15.08"/>
        <s v="10.83"/>
        <s v="5.5"/>
        <s v="8.07"/>
        <s v="15.83"/>
        <s v="8.76"/>
        <s v="14.58"/>
        <s v="9.62"/>
        <s v="20.93"/>
        <s v="6.52"/>
        <s v="20.81"/>
        <s v="11.47"/>
        <s v="9.77"/>
        <n v="5"/>
        <s v="7.59"/>
        <s v="8.58"/>
        <s v="18.57"/>
        <s v="12.36"/>
        <s v="19.83"/>
        <s v="20.86"/>
        <s v="19.51"/>
        <s v="16.22"/>
        <s v="6.86"/>
        <s v="8.86"/>
        <s v="21.87"/>
        <s v="10.1"/>
        <s v="21.81"/>
        <s v="11.96"/>
        <s v="21.49"/>
        <s v="19.27"/>
        <s v="9.4"/>
        <s v="5.95"/>
        <s v="7.58"/>
        <s v="12.64"/>
        <s v="14.28"/>
        <s v="20.78"/>
        <s v="11.04"/>
        <s v="8.12"/>
        <s v="17.19"/>
        <s v="21.47"/>
        <s v="13.87"/>
        <s v="12.76"/>
        <s v="18.09"/>
        <s v="19.32"/>
        <s v="18.95"/>
        <s v="7.32"/>
        <s v="8.62"/>
        <s v="13.61"/>
        <s v="8.78"/>
        <s v="11.8"/>
        <s v="10.98"/>
        <s v="14.6"/>
        <s v="21.23"/>
        <s v="18.68"/>
        <s v="10.66"/>
        <s v="20.44"/>
        <s v="21.3"/>
        <s v="15.45"/>
        <s v="18.76"/>
        <s v="14.77"/>
        <s v="11.53"/>
        <s v="12.71"/>
        <s v="14.04"/>
        <s v="8.72"/>
        <s v="19.09"/>
        <s v="10.76"/>
        <s v="5.46"/>
        <s v="16.93"/>
        <s v="7.61"/>
        <s v="14.67"/>
        <s v="18.47"/>
        <s v="9.24"/>
        <s v="10.89"/>
        <s v="18.92"/>
        <s v="21.1"/>
        <s v="5.82"/>
        <s v="5.61"/>
        <s v="18.22"/>
        <s v="20.36"/>
        <s v="17.39"/>
        <s v="6.49"/>
        <s v="14.1"/>
        <s v="12.04"/>
        <s v="9.72"/>
        <s v="6.12"/>
        <s v="13.16"/>
        <s v="11.24"/>
        <s v="8.99"/>
        <s v="21.69"/>
        <s v="21.35"/>
        <s v="11.99"/>
        <s v="21.84"/>
        <s v="20.48"/>
        <n v="13"/>
        <s v="5.94"/>
        <s v="18.81"/>
        <s v="10.81"/>
        <s v="5.92"/>
        <s v="15.97"/>
        <s v="10.29"/>
        <s v="6.92"/>
        <s v="10.07"/>
        <s v="18.59"/>
        <s v="5.75"/>
        <s v="20.24"/>
        <s v="5.31"/>
        <s v="15.68"/>
        <s v="19.63"/>
        <s v="12.18"/>
        <s v="18.84"/>
        <s v="8.03"/>
        <s v="20.95"/>
        <s v="20.08"/>
        <s v="5.45"/>
        <s v="7.02"/>
        <s v="17.57"/>
        <s v="6.04"/>
        <s v="5.2"/>
        <s v="18.14"/>
        <s v="10.86"/>
        <s v="16.64"/>
        <s v="8.19"/>
        <s v="7.11"/>
        <s v="7.21"/>
        <s v="12.4"/>
        <s v="21.91"/>
        <s v="17.46"/>
        <s v="7.85"/>
        <s v="12.43"/>
        <s v="7.82"/>
        <s v="7.67"/>
        <s v="10.19"/>
        <s v="15.92"/>
        <s v="20.49"/>
        <s v="11.58"/>
        <s v="5.06"/>
        <s v="18.67"/>
        <s v="5.39"/>
        <s v="12.45"/>
        <s v="9.67"/>
        <s v="10.08"/>
        <s v="6.03"/>
        <s v="14.12"/>
        <s v="19.77"/>
        <s v="14.63"/>
        <s v="16.79"/>
        <s v="20.56"/>
        <s v="7.6"/>
        <s v="10.33"/>
        <s v="21.2"/>
        <s v="18.8"/>
        <s v="14.95"/>
        <s v="16.82"/>
        <s v="15.42"/>
        <s v="16.39"/>
        <s v="10.24"/>
        <s v="9.32"/>
        <s v="8.98"/>
        <s v="9.18"/>
        <s v="9.15"/>
        <s v="20.13"/>
        <s v="12.53"/>
        <s v="15.34"/>
        <s v="17.09"/>
        <s v="8.47"/>
        <s v="15.12"/>
        <s v="8.11"/>
        <s v="19.82"/>
        <s v="10.18"/>
        <s v="12.57"/>
        <s v="19.33"/>
        <s v="8.79"/>
        <s v="13.47"/>
        <s v="17.99"/>
        <s v="20.66"/>
        <s v="20.82"/>
        <s v="7.51"/>
        <s v="17.66"/>
        <s v="14.74"/>
        <s v="18.08"/>
        <s v="16.87"/>
        <s v="19.3"/>
        <s v="17.89"/>
        <s v="17.72"/>
        <s v="18.69"/>
        <s v="21.78"/>
        <s v="5.71"/>
        <s v="13.37"/>
        <s v="9.44"/>
        <s v="21.79"/>
        <s v="10.06"/>
        <s v="19.96"/>
        <s v="14.31"/>
        <s v="13.57"/>
        <s v="21.43"/>
        <s v="12.12"/>
        <s v="9.47"/>
        <s v="17.03"/>
        <s v="15.58"/>
        <s v="11.63"/>
        <s v="21.9"/>
        <s v="20.17"/>
        <s v="17.35"/>
        <s v="9.6"/>
        <s v="7.77"/>
        <s v="17.76"/>
        <s v="20.64"/>
        <s v="18.29"/>
        <s v="8.01"/>
        <s v="13.24"/>
        <s v="8.4"/>
        <s v="8.38"/>
        <s v="21.17"/>
        <s v="17.63"/>
        <s v="19.94"/>
        <s v="10.13"/>
        <s v="21.22"/>
        <s v="14.03"/>
        <s v="13.18"/>
        <n v="10"/>
        <s v="12.94"/>
        <s v="21.12"/>
        <s v="5.76"/>
        <s v="19.6"/>
        <s v="10.62"/>
        <s v="18.34"/>
        <s v="14.24"/>
        <n v="7"/>
        <s v="8.16"/>
        <s v="6.82"/>
        <s v="20.14"/>
        <s v="17.4"/>
        <s v="10.26"/>
        <s v="20.46"/>
        <s v="15.63"/>
        <s v="16.6"/>
        <s v="18.7"/>
        <s v="15.95"/>
        <s v="18.55"/>
        <s v="6.65"/>
        <s v="21.25"/>
        <s v="21.39"/>
        <s v="21.24"/>
        <s v="15.9"/>
        <s v="19.86"/>
        <s v="20.87"/>
        <s v="16.72"/>
        <s v="18.02"/>
        <s v="21.27"/>
        <s v="10.16"/>
        <s v="17.56"/>
        <s v="17.97"/>
        <s v="9.01"/>
        <s v="5.13"/>
        <s v="19.99"/>
        <s v="8.22"/>
        <s v="15.19"/>
        <s v="9.84"/>
        <s v="20.91"/>
        <s v="20.51"/>
        <s v="17.01"/>
        <s v="19.89"/>
        <s v="21.18"/>
        <s v="5.85"/>
        <s v="9.73"/>
        <s v="20.33"/>
        <s v="18.36"/>
        <s v="6.42"/>
        <s v="8.66"/>
        <s v="6.24"/>
        <s v="20.16"/>
        <s v="11.23"/>
        <s v="13.58"/>
        <s v="20.41"/>
        <s v="10.41"/>
        <s v="10.48"/>
        <s v="9.86"/>
        <s v="21.62"/>
        <s v="15.07"/>
        <s v="19.9"/>
        <s v="17.14"/>
        <s v="11.92"/>
        <s v="7.31"/>
        <s v="13.1"/>
        <s v="9.1"/>
        <s v="14.98"/>
        <s v="16.01"/>
        <s v="12.7"/>
        <s v="21.01"/>
        <s v="5.7"/>
        <s v="12.24"/>
        <s v="14.13"/>
        <s v="15.41"/>
        <s v="11.25"/>
        <s v="16.88"/>
        <s v="10.75"/>
        <s v="8.45"/>
        <s v="16.75"/>
        <s v="7.48"/>
        <s v="16.04"/>
        <s v="16.42"/>
        <s v="7.08"/>
        <s v="8.75"/>
        <s v="12.31"/>
        <s v="9.9"/>
        <s v="16.1"/>
        <s v="9.02"/>
        <s v="16.31"/>
        <s v="19.13"/>
        <s v="16.33"/>
        <s v="20.34"/>
        <s v="9.55"/>
        <s v="8.36"/>
        <s v="17.48"/>
        <s v="11.12"/>
        <s v="17.94"/>
        <s v="14.05"/>
        <s v="15.55"/>
        <s v="10.68"/>
        <s v="18.27"/>
        <s v="13.28"/>
        <s v="10.6"/>
        <s v="14.78"/>
        <s v="15.28"/>
        <s v="19.04"/>
        <s v="13.21"/>
        <s v="5.47"/>
        <s v="15.44"/>
        <s v="10.72"/>
        <s v="9.83"/>
        <s v="19.31"/>
        <s v="16.46"/>
        <s v="15.53"/>
        <s v="21.73"/>
        <s v="9.96"/>
        <s v="12.96"/>
        <s v="18.99"/>
        <s v="15.36"/>
        <s v="12.58"/>
      </sharedItems>
    </cacheField>
    <cacheField name="TERM_MONTHS" numFmtId="0">
      <sharedItems containsSemiMixedTypes="0" containsString="0" containsNumber="1" containsInteger="1" minValue="0" maxValue="359" count="268">
        <n v="38"/>
        <n v="115"/>
        <n v="57"/>
        <n v="49"/>
        <n v="59"/>
        <n v="55"/>
        <n v="53"/>
        <n v="6"/>
        <n v="147"/>
        <n v="20"/>
        <n v="280"/>
        <n v="230"/>
        <n v="71"/>
        <n v="27"/>
        <n v="82"/>
        <n v="301"/>
        <n v="41"/>
        <n v="96"/>
        <n v="276"/>
        <n v="60"/>
        <n v="51"/>
        <n v="14"/>
        <n v="233"/>
        <n v="32"/>
        <n v="15"/>
        <n v="80"/>
        <n v="34"/>
        <n v="29"/>
        <n v="21"/>
        <n v="73"/>
        <n v="58"/>
        <n v="28"/>
        <n v="7"/>
        <n v="166"/>
        <n v="305"/>
        <n v="83"/>
        <n v="37"/>
        <n v="76"/>
        <n v="17"/>
        <n v="210"/>
        <n v="39"/>
        <n v="43"/>
        <n v="287"/>
        <n v="46"/>
        <n v="16"/>
        <n v="9"/>
        <n v="31"/>
        <n v="328"/>
        <n v="35"/>
        <n v="18"/>
        <n v="54"/>
        <n v="24"/>
        <n v="45"/>
        <n v="70"/>
        <n v="348"/>
        <n v="44"/>
        <n v="136"/>
        <n v="48"/>
        <n v="254"/>
        <n v="30"/>
        <n v="154"/>
        <n v="8"/>
        <n v="67"/>
        <n v="62"/>
        <n v="42"/>
        <n v="336"/>
        <n v="327"/>
        <n v="126"/>
        <n v="11"/>
        <n v="217"/>
        <n v="132"/>
        <n v="144"/>
        <n v="78"/>
        <n v="240"/>
        <n v="331"/>
        <n v="19"/>
        <n v="134"/>
        <n v="79"/>
        <n v="89"/>
        <n v="12"/>
        <n v="91"/>
        <n v="50"/>
        <n v="215"/>
        <n v="111"/>
        <n v="10"/>
        <n v="283"/>
        <n v="52"/>
        <n v="135"/>
        <n v="13"/>
        <n v="22"/>
        <n v="298"/>
        <n v="26"/>
        <n v="40"/>
        <n v="145"/>
        <n v="241"/>
        <n v="182"/>
        <n v="25"/>
        <n v="47"/>
        <n v="271"/>
        <n v="324"/>
        <n v="66"/>
        <n v="93"/>
        <n v="300"/>
        <n v="23"/>
        <n v="103"/>
        <n v="88"/>
        <n v="253"/>
        <n v="87"/>
        <n v="63"/>
        <n v="193"/>
        <n v="199"/>
        <n v="100"/>
        <n v="349"/>
        <n v="118"/>
        <n v="338"/>
        <n v="75"/>
        <n v="248"/>
        <n v="56"/>
        <n v="114"/>
        <n v="77"/>
        <n v="315"/>
        <n v="120"/>
        <n v="179"/>
        <n v="119"/>
        <n v="231"/>
        <n v="61"/>
        <n v="259"/>
        <n v="219"/>
        <n v="33"/>
        <n v="36"/>
        <n v="171"/>
        <n v="232"/>
        <n v="306"/>
        <n v="162"/>
        <n v="310"/>
        <n v="161"/>
        <n v="64"/>
        <n v="275"/>
        <n v="116"/>
        <n v="170"/>
        <n v="293"/>
        <n v="227"/>
        <n v="342"/>
        <n v="211"/>
        <n v="212"/>
        <n v="81"/>
        <n v="238"/>
        <n v="203"/>
        <n v="319"/>
        <n v="105"/>
        <n v="69"/>
        <n v="358"/>
        <n v="221"/>
        <n v="65"/>
        <n v="107"/>
        <n v="340"/>
        <n v="345"/>
        <n v="207"/>
        <n v="137"/>
        <n v="191"/>
        <n v="84"/>
        <n v="359"/>
        <n v="125"/>
        <n v="133"/>
        <n v="173"/>
        <n v="213"/>
        <n v="165"/>
        <n v="272"/>
        <n v="334"/>
        <n v="167"/>
        <n v="311"/>
        <n v="244"/>
        <n v="72"/>
        <n v="157"/>
        <n v="138"/>
        <n v="256"/>
        <n v="200"/>
        <n v="102"/>
        <n v="347"/>
        <n v="175"/>
        <n v="236"/>
        <n v="68"/>
        <n v="245"/>
        <n v="208"/>
        <n v="194"/>
        <n v="192"/>
        <n v="229"/>
        <n v="174"/>
        <n v="258"/>
        <n v="110"/>
        <n v="352"/>
        <n v="131"/>
        <n v="239"/>
        <n v="178"/>
        <n v="198"/>
        <n v="279"/>
        <n v="209"/>
        <n v="140"/>
        <n v="320"/>
        <n v="313"/>
        <n v="296"/>
        <n v="332"/>
        <n v="343"/>
        <n v="123"/>
        <n v="337"/>
        <n v="335"/>
        <n v="282"/>
        <n v="112"/>
        <n v="127"/>
        <n v="153"/>
        <n v="168"/>
        <n v="156"/>
        <n v="164"/>
        <n v="307"/>
        <n v="268"/>
        <n v="330"/>
        <n v="326"/>
        <n v="273"/>
        <n v="243"/>
        <n v="357"/>
        <n v="99"/>
        <n v="354"/>
        <n v="163"/>
        <n v="109"/>
        <n v="257"/>
        <n v="270"/>
        <n v="74"/>
        <n v="184"/>
        <n v="216"/>
        <n v="108"/>
        <n v="159"/>
        <n v="355"/>
        <n v="205"/>
        <n v="356"/>
        <n v="264"/>
        <n v="90"/>
        <n v="225"/>
        <n v="214"/>
        <n v="284"/>
        <n v="101"/>
        <n v="117"/>
        <n v="121"/>
        <n v="177"/>
        <n v="341"/>
        <n v="160"/>
        <n v="318"/>
        <n v="292"/>
        <n v="277"/>
        <n v="303"/>
        <n v="206"/>
        <n v="312"/>
        <n v="146"/>
        <n v="97"/>
        <n v="218"/>
        <n v="113"/>
        <n v="104"/>
        <n v="85"/>
        <n v="148"/>
        <n v="95"/>
        <n v="263"/>
        <n v="288"/>
        <n v="278"/>
        <n v="237"/>
        <n v="129"/>
        <n v="235"/>
        <n v="247"/>
        <n v="220"/>
        <n v="172"/>
      </sharedItems>
    </cacheField>
    <cacheField name="START_DATE" numFmtId="0">
      <sharedItems count="957">
        <s v="2023-10-12 00:00:00.000"/>
        <s v="2020-05-20 00:00:00.000"/>
        <s v="2025-06-17 00:00:00.000"/>
        <s v="2024-11-07 00:00:00.000"/>
        <s v="2021-09-24 00:00:00.000"/>
        <s v="2020-05-05 00:00:00.000"/>
        <s v="2025-01-06 00:00:00.000"/>
        <s v="2025-05-30 00:00:00.000"/>
        <s v="2022-07-25 00:00:00.000"/>
        <s v="2023-08-18 00:00:00.000"/>
        <s v="2023-11-26 00:00:00.000"/>
        <s v="2024-12-25 00:00:00.000"/>
        <s v="2022-09-07 00:00:00.000"/>
        <s v="2022-10-21 00:00:00.000"/>
        <s v="2020-12-14 00:00:00.000"/>
        <s v="2020-02-16 00:00:00.000"/>
        <s v="2023-08-04 00:00:00.000"/>
        <s v="2021-03-10 00:00:00.000"/>
        <s v="2024-09-21 00:00:00.000"/>
        <s v="2022-06-29 00:00:00.000"/>
        <s v="2021-09-02 00:00:00.000"/>
        <s v="2024-10-31 00:00:00.000"/>
        <s v="2022-06-13 00:00:00.000"/>
        <s v="2024-12-04 00:00:00.000"/>
        <s v="2020-01-21 00:00:00.000"/>
        <s v="2025-04-10 00:00:00.000"/>
        <s v="2020-01-19 00:00:00.000"/>
        <s v="2021-02-07 00:00:00.000"/>
        <s v="2022-12-14 00:00:00.000"/>
        <s v="2021-12-24 00:00:00.000"/>
        <s v="2021-03-29 00:00:00.000"/>
        <s v="2021-02-27 00:00:00.000"/>
        <s v="2022-09-24 00:00:00.000"/>
        <s v="2022-01-12 00:00:00.000"/>
        <s v="2023-07-16 00:00:00.000"/>
        <s v="2020-11-08 00:00:00.000"/>
        <s v="2022-06-17 00:00:00.000"/>
        <s v="2021-11-04 00:00:00.000"/>
        <s v="2022-08-18 00:00:00.000"/>
        <s v="2023-09-04 00:00:00.000"/>
        <s v="2020-12-27 00:00:00.000"/>
        <s v="2021-04-25 00:00:00.000"/>
        <s v="2021-11-25 00:00:00.000"/>
        <s v="2025-02-18 00:00:00.000"/>
        <s v="2023-11-02 00:00:00.000"/>
        <s v="2020-06-29 00:00:00.000"/>
        <s v="2020-10-03 00:00:00.000"/>
        <s v="2021-01-25 00:00:00.000"/>
        <s v="2023-12-15 00:00:00.000"/>
        <s v="2025-06-15 00:00:00.000"/>
        <s v="2021-02-22 00:00:00.000"/>
        <s v="2024-11-26 00:00:00.000"/>
        <s v="2024-06-13 00:00:00.000"/>
        <s v="2020-05-12 00:00:00.000"/>
        <s v="2024-12-13 00:00:00.000"/>
        <s v="2023-10-16 00:00:00.000"/>
        <s v="2025-06-05 00:00:00.000"/>
        <s v="2021-07-05 00:00:00.000"/>
        <s v="2024-10-14 00:00:00.000"/>
        <s v="2021-11-23 00:00:00.000"/>
        <s v="2020-04-17 00:00:00.000"/>
        <s v="2025-05-21 00:00:00.000"/>
        <s v="2023-02-20 00:00:00.000"/>
        <s v="2020-04-11 00:00:00.000"/>
        <s v="2020-12-16 00:00:00.000"/>
        <s v="2020-09-26 00:00:00.000"/>
        <s v="2023-01-28 00:00:00.000"/>
        <s v="2021-01-08 00:00:00.000"/>
        <s v="2020-08-16 00:00:00.000"/>
        <s v="2020-12-04 00:00:00.000"/>
        <s v="2021-05-12 00:00:00.000"/>
        <s v="2023-08-05 00:00:00.000"/>
        <s v="2024-04-07 00:00:00.000"/>
        <s v="2024-12-08 00:00:00.000"/>
        <s v="2020-06-21 00:00:00.000"/>
        <s v="2022-02-05 00:00:00.000"/>
        <s v="2020-04-16 00:00:00.000"/>
        <s v="2020-10-20 00:00:00.000"/>
        <s v="2024-09-15 00:00:00.000"/>
        <s v="2024-06-03 00:00:00.000"/>
        <s v="2024-03-26 00:00:00.000"/>
        <s v="2021-02-01 00:00:00.000"/>
        <s v="2025-02-04 00:00:00.000"/>
        <s v="2024-03-29 00:00:00.000"/>
        <s v="2020-12-19 00:00:00.000"/>
        <s v="2022-12-11 00:00:00.000"/>
        <s v="2021-08-10 00:00:00.000"/>
        <s v="2022-02-01 00:00:00.000"/>
        <s v="2022-07-27 00:00:00.000"/>
        <s v="2022-10-02 00:00:00.000"/>
        <s v="2023-05-19 00:00:00.000"/>
        <s v="2023-06-22 00:00:00.000"/>
        <s v="2025-05-16 00:00:00.000"/>
        <s v="2024-09-17 00:00:00.000"/>
        <s v="2023-09-09 00:00:00.000"/>
        <s v="2025-02-09 00:00:00.000"/>
        <s v="2022-04-26 00:00:00.000"/>
        <s v="2025-06-03 00:00:00.000"/>
        <s v="2023-01-09 00:00:00.000"/>
        <s v="2020-06-09 00:00:00.000"/>
        <s v="2021-11-05 00:00:00.000"/>
        <s v="2021-08-02 00:00:00.000"/>
        <s v="2022-03-07 00:00:00.000"/>
        <s v="2024-06-18 00:00:00.000"/>
        <s v="2022-09-14 00:00:00.000"/>
        <s v="2025-03-30 00:00:00.000"/>
        <s v="2022-08-15 00:00:00.000"/>
        <s v="2020-10-25 00:00:00.000"/>
        <s v="2025-05-27 00:00:00.000"/>
        <s v="2022-10-05 00:00:00.000"/>
        <s v="2023-10-14 00:00:00.000"/>
        <s v="2023-05-23 00:00:00.000"/>
        <s v="2024-03-25 00:00:00.000"/>
        <s v="2020-09-17 00:00:00.000"/>
        <s v="2024-03-22 00:00:00.000"/>
        <s v="2021-04-03 00:00:00.000"/>
        <s v="2020-01-16 00:00:00.000"/>
        <s v="2025-05-24 00:00:00.000"/>
        <s v="2021-12-22 00:00:00.000"/>
        <s v="2021-08-30 00:00:00.000"/>
        <s v="2024-03-23 00:00:00.000"/>
        <s v="2021-08-12 00:00:00.000"/>
        <s v="2023-04-01 00:00:00.000"/>
        <s v="2022-05-15 00:00:00.000"/>
        <s v="2023-05-03 00:00:00.000"/>
        <s v="2022-09-28 00:00:00.000"/>
        <s v="2023-11-25 00:00:00.000"/>
        <s v="2023-01-16 00:00:00.000"/>
        <s v="2022-11-19 00:00:00.000"/>
        <s v="2022-07-22 00:00:00.000"/>
        <s v="2021-03-20 00:00:00.000"/>
        <s v="2023-04-19 00:00:00.000"/>
        <s v="2023-05-01 00:00:00.000"/>
        <s v="2021-07-27 00:00:00.000"/>
        <s v="2020-08-04 00:00:00.000"/>
        <s v="2021-12-25 00:00:00.000"/>
        <s v="2025-04-26 00:00:00.000"/>
        <s v="2021-08-14 00:00:00.000"/>
        <s v="2021-04-21 00:00:00.000"/>
        <s v="2022-10-31 00:00:00.000"/>
        <s v="2022-06-10 00:00:00.000"/>
        <s v="2021-12-19 00:00:00.000"/>
        <s v="2025-01-30 00:00:00.000"/>
        <s v="2023-10-29 00:00:00.000"/>
        <s v="2024-01-23 00:00:00.000"/>
        <s v="2023-04-09 00:00:00.000"/>
        <s v="2022-06-02 00:00:00.000"/>
        <s v="2023-09-24 00:00:00.000"/>
        <s v="2022-12-27 00:00:00.000"/>
        <s v="2021-11-08 00:00:00.000"/>
        <s v="2020-09-30 00:00:00.000"/>
        <s v="2022-04-18 00:00:00.000"/>
        <s v="2021-03-28 00:00:00.000"/>
        <s v="2022-09-02 00:00:00.000"/>
        <s v="2022-10-11 00:00:00.000"/>
        <s v="2025-06-13 00:00:00.000"/>
        <s v="2022-08-12 00:00:00.000"/>
        <s v="2025-04-20 00:00:00.000"/>
        <s v="2021-03-06 00:00:00.000"/>
        <s v="2021-03-11 00:00:00.000"/>
        <s v="2025-04-14 00:00:00.000"/>
        <s v="2021-05-21 00:00:00.000"/>
        <s v="2021-10-17 00:00:00.000"/>
        <s v="2021-11-28 00:00:00.000"/>
        <s v="2023-07-08 00:00:00.000"/>
        <s v="2025-01-03 00:00:00.000"/>
        <s v="2025-03-27 00:00:00.000"/>
        <s v="2023-09-17 00:00:00.000"/>
        <s v="2025-05-28 00:00:00.000"/>
        <s v="2024-08-08 00:00:00.000"/>
        <s v="2021-09-11 00:00:00.000"/>
        <s v="2024-04-13 00:00:00.000"/>
        <s v="2021-04-01 00:00:00.000"/>
        <s v="2024-10-21 00:00:00.000"/>
        <s v="2023-08-27 00:00:00.000"/>
        <s v="2022-05-09 00:00:00.000"/>
        <s v="2024-11-15 00:00:00.000"/>
        <s v="2025-01-11 00:00:00.000"/>
        <s v="2024-05-29 00:00:00.000"/>
        <s v="2020-10-01 00:00:00.000"/>
        <s v="2023-03-10 00:00:00.000"/>
        <s v="2022-06-09 00:00:00.000"/>
        <s v="2022-06-18 00:00:00.000"/>
        <s v="2025-01-13 00:00:00.000"/>
        <s v="2021-05-08 00:00:00.000"/>
        <s v="2023-03-19 00:00:00.000"/>
        <s v="2024-08-23 00:00:00.000"/>
        <s v="2023-05-10 00:00:00.000"/>
        <s v="2025-02-22 00:00:00.000"/>
        <s v="2020-07-22 00:00:00.000"/>
        <s v="2022-04-05 00:00:00.000"/>
        <s v="2025-02-20 00:00:00.000"/>
        <s v="2024-03-12 00:00:00.000"/>
        <s v="2021-07-31 00:00:00.000"/>
        <s v="2022-10-04 00:00:00.000"/>
        <s v="2020-07-04 00:00:00.000"/>
        <s v="2020-02-28 00:00:00.000"/>
        <s v="2024-03-01 00:00:00.000"/>
        <s v="2021-06-10 00:00:00.000"/>
        <s v="2024-10-27 00:00:00.000"/>
        <s v="2020-07-20 00:00:00.000"/>
        <s v="2021-11-22 00:00:00.000"/>
        <s v="2025-02-02 00:00:00.000"/>
        <s v="2024-10-10 00:00:00.000"/>
        <s v="2022-12-01 00:00:00.000"/>
        <s v="2023-05-28 00:00:00.000"/>
        <s v="2022-02-12 00:00:00.000"/>
        <s v="2024-06-05 00:00:00.000"/>
        <s v="2020-12-26 00:00:00.000"/>
        <s v="2024-06-27 00:00:00.000"/>
        <s v="2022-09-03 00:00:00.000"/>
        <s v="2021-11-06 00:00:00.000"/>
        <s v="2021-12-18 00:00:00.000"/>
        <s v="2024-08-19 00:00:00.000"/>
        <s v="2022-11-02 00:00:00.000"/>
        <s v="2022-09-17 00:00:00.000"/>
        <s v="2022-02-22 00:00:00.000"/>
        <s v="2023-04-10 00:00:00.000"/>
        <s v="2021-10-09 00:00:00.000"/>
        <s v="2020-04-10 00:00:00.000"/>
        <s v="2023-01-10 00:00:00.000"/>
        <s v="2025-04-22 00:00:00.000"/>
        <s v="2021-10-22 00:00:00.000"/>
        <s v="2021-09-12 00:00:00.000"/>
        <s v="2024-03-18 00:00:00.000"/>
        <s v="2024-12-15 00:00:00.000"/>
        <s v="2020-06-04 00:00:00.000"/>
        <s v="2023-08-17 00:00:00.000"/>
        <s v="2025-01-16 00:00:00.000"/>
        <s v="2024-08-15 00:00:00.000"/>
        <s v="2024-07-18 00:00:00.000"/>
        <s v="2024-01-14 00:00:00.000"/>
        <s v="2023-04-27 00:00:00.000"/>
        <s v="2021-10-21 00:00:00.000"/>
        <s v="2023-08-02 00:00:00.000"/>
        <s v="2022-06-12 00:00:00.000"/>
        <s v="2023-08-23 00:00:00.000"/>
        <s v="2022-02-21 00:00:00.000"/>
        <s v="2024-10-04 00:00:00.000"/>
        <s v="2022-01-29 00:00:00.000"/>
        <s v="2020-04-21 00:00:00.000"/>
        <s v="2020-04-15 00:00:00.000"/>
        <s v="2024-04-18 00:00:00.000"/>
        <s v="2020-07-14 00:00:00.000"/>
        <s v="2023-02-05 00:00:00.000"/>
        <s v="2020-08-26 00:00:00.000"/>
        <s v="2020-02-24 00:00:00.000"/>
        <s v="2022-09-27 00:00:00.000"/>
        <s v="2023-12-23 00:00:00.000"/>
        <s v="2023-04-30 00:00:00.000"/>
        <s v="2023-08-14 00:00:00.000"/>
        <s v="2023-07-30 00:00:00.000"/>
        <s v="2021-06-08 00:00:00.000"/>
        <s v="2024-06-08 00:00:00.000"/>
        <s v="2020-06-07 00:00:00.000"/>
        <s v="2023-01-30 00:00:00.000"/>
        <s v="2024-10-06 00:00:00.000"/>
        <s v="2023-03-22 00:00:00.000"/>
        <s v="2024-05-31 00:00:00.000"/>
        <s v="2022-03-18 00:00:00.000"/>
        <s v="2022-10-03 00:00:00.000"/>
        <s v="2023-03-31 00:00:00.000"/>
        <s v="2022-04-20 00:00:00.000"/>
        <s v="2024-10-01 00:00:00.000"/>
        <s v="2021-07-07 00:00:00.000"/>
        <s v="2024-12-26 00:00:00.000"/>
        <s v="2024-04-17 00:00:00.000"/>
        <s v="2021-04-17 00:00:00.000"/>
        <s v="2023-11-30 00:00:00.000"/>
        <s v="2024-01-28 00:00:00.000"/>
        <s v="2021-05-15 00:00:00.000"/>
        <s v="2020-07-26 00:00:00.000"/>
        <s v="2021-03-26 00:00:00.000"/>
        <s v="2022-07-18 00:00:00.000"/>
        <s v="2021-03-15 00:00:00.000"/>
        <s v="2022-10-17 00:00:00.000"/>
        <s v="2024-12-24 00:00:00.000"/>
        <s v="2024-09-09 00:00:00.000"/>
        <s v="2022-08-27 00:00:00.000"/>
        <s v="2024-02-19 00:00:00.000"/>
        <s v="2021-03-17 00:00:00.000"/>
        <s v="2020-12-17 00:00:00.000"/>
        <s v="2023-11-20 00:00:00.000"/>
        <s v="2024-01-09 00:00:00.000"/>
        <s v="2021-04-19 00:00:00.000"/>
        <s v="2022-07-11 00:00:00.000"/>
        <s v="2025-03-25 00:00:00.000"/>
        <s v="2023-08-28 00:00:00.000"/>
        <s v="2021-12-05 00:00:00.000"/>
        <s v="2024-07-31 00:00:00.000"/>
        <s v="2024-12-14 00:00:00.000"/>
        <s v="2023-10-09 00:00:00.000"/>
        <s v="2024-04-25 00:00:00.000"/>
        <s v="2022-07-21 00:00:00.000"/>
        <s v="2020-11-01 00:00:00.000"/>
        <s v="2022-07-29 00:00:00.000"/>
        <s v="2024-04-22 00:00:00.000"/>
        <s v="2020-01-05 00:00:00.000"/>
        <s v="2021-11-02 00:00:00.000"/>
        <s v="2023-05-12 00:00:00.000"/>
        <s v="2020-12-24 00:00:00.000"/>
        <s v="2025-06-08 00:00:00.000"/>
        <s v="2022-09-26 00:00:00.000"/>
        <s v="2022-03-04 00:00:00.000"/>
        <s v="2022-03-11 00:00:00.000"/>
        <s v="2024-03-07 00:00:00.000"/>
        <s v="2020-06-06 00:00:00.000"/>
        <s v="2023-07-15 00:00:00.000"/>
        <s v="2023-11-09 00:00:00.000"/>
        <s v="2020-01-03 00:00:00.000"/>
        <s v="2024-11-30 00:00:00.000"/>
        <s v="2023-03-21 00:00:00.000"/>
        <s v="2024-07-19 00:00:00.000"/>
        <s v="2022-06-22 00:00:00.000"/>
        <s v="2024-02-01 00:00:00.000"/>
        <s v="2025-02-12 00:00:00.000"/>
        <s v="2021-06-17 00:00:00.000"/>
        <s v="2023-11-23 00:00:00.000"/>
        <s v="2021-05-30 00:00:00.000"/>
        <s v="2024-01-21 00:00:00.000"/>
        <s v="2023-03-30 00:00:00.000"/>
        <s v="2023-04-15 00:00:00.000"/>
        <s v="2022-10-25 00:00:00.000"/>
        <s v="2025-04-02 00:00:00.000"/>
        <s v="2020-03-23 00:00:00.000"/>
        <s v="2020-07-23 00:00:00.000"/>
        <s v="2024-11-21 00:00:00.000"/>
        <s v="2023-07-07 00:00:00.000"/>
        <s v="2022-05-24 00:00:00.000"/>
        <s v="2020-10-21 00:00:00.000"/>
        <s v="2022-04-29 00:00:00.000"/>
        <s v="2024-04-04 00:00:00.000"/>
        <s v="2023-11-29 00:00:00.000"/>
        <s v="2024-06-26 00:00:00.000"/>
        <s v="2020-09-28 00:00:00.000"/>
        <s v="2021-03-12 00:00:00.000"/>
        <s v="2022-03-22 00:00:00.000"/>
        <s v="2024-07-11 00:00:00.000"/>
        <s v="2021-02-05 00:00:00.000"/>
        <s v="2023-01-19 00:00:00.000"/>
        <s v="2020-04-30 00:00:00.000"/>
        <s v="2021-10-02 00:00:00.000"/>
        <s v="2021-11-12 00:00:00.000"/>
        <s v="2024-08-13 00:00:00.000"/>
        <s v="2023-02-21 00:00:00.000"/>
        <s v="2021-05-25 00:00:00.000"/>
        <s v="2021-04-06 00:00:00.000"/>
        <s v="2024-02-04 00:00:00.000"/>
        <s v="2021-04-12 00:00:00.000"/>
        <s v="2022-04-13 00:00:00.000"/>
        <s v="2021-06-29 00:00:00.000"/>
        <s v="2023-05-18 00:00:00.000"/>
        <s v="2022-08-02 00:00:00.000"/>
        <s v="2020-02-03 00:00:00.000"/>
        <s v="2024-10-28 00:00:00.000"/>
        <s v="2022-10-29 00:00:00.000"/>
        <s v="2022-12-15 00:00:00.000"/>
        <s v="2022-09-11 00:00:00.000"/>
        <s v="2021-11-30 00:00:00.000"/>
        <s v="2022-10-16 00:00:00.000"/>
        <s v="2021-08-26 00:00:00.000"/>
        <s v="2022-06-15 00:00:00.000"/>
        <s v="2024-06-29 00:00:00.000"/>
        <s v="2025-02-19 00:00:00.000"/>
        <s v="2023-09-06 00:00:00.000"/>
        <s v="2022-11-27 00:00:00.000"/>
        <s v="2020-08-29 00:00:00.000"/>
        <s v="2020-08-28 00:00:00.000"/>
        <s v="2024-05-09 00:00:00.000"/>
        <s v="2024-10-26 00:00:00.000"/>
        <s v="2024-01-17 00:00:00.000"/>
        <s v="2020-05-03 00:00:00.000"/>
        <s v="2021-07-28 00:00:00.000"/>
        <s v="2024-06-21 00:00:00.000"/>
        <s v="2022-04-02 00:00:00.000"/>
        <s v="2023-05-13 00:00:00.000"/>
        <s v="2020-11-23 00:00:00.000"/>
        <s v="2020-10-19 00:00:00.000"/>
        <s v="2024-12-07 00:00:00.000"/>
        <s v="2020-11-24 00:00:00.000"/>
        <s v="2020-12-30 00:00:00.000"/>
        <s v="2020-07-12 00:00:00.000"/>
        <s v="2021-02-13 00:00:00.000"/>
        <s v="2023-12-31 00:00:00.000"/>
        <s v="2020-06-15 00:00:00.000"/>
        <s v="2021-04-13 00:00:00.000"/>
        <s v="2021-01-03 00:00:00.000"/>
        <s v="2022-03-28 00:00:00.000"/>
        <s v="2024-06-07 00:00:00.000"/>
        <s v="2024-10-15 00:00:00.000"/>
        <s v="2021-08-16 00:00:00.000"/>
        <s v="2021-10-04 00:00:00.000"/>
        <s v="2023-06-14 00:00:00.000"/>
        <s v="2024-06-22 00:00:00.000"/>
        <s v="2021-07-22 00:00:00.000"/>
        <s v="2022-12-23 00:00:00.000"/>
        <s v="2020-11-04 00:00:00.000"/>
        <s v="2020-03-29 00:00:00.000"/>
        <s v="2020-11-27 00:00:00.000"/>
        <s v="2025-04-11 00:00:00.000"/>
        <s v="2024-02-06 00:00:00.000"/>
        <s v="2021-03-18 00:00:00.000"/>
        <s v="2021-01-17 00:00:00.000"/>
        <s v="2020-01-10 00:00:00.000"/>
        <s v="2023-09-21 00:00:00.000"/>
        <s v="2022-04-01 00:00:00.000"/>
        <s v="2020-10-30 00:00:00.000"/>
        <s v="2023-06-21 00:00:00.000"/>
        <s v="2024-10-22 00:00:00.000"/>
        <s v="2024-07-20 00:00:00.000"/>
        <s v="2025-05-14 00:00:00.000"/>
        <s v="2022-10-09 00:00:00.000"/>
        <s v="2020-06-16 00:00:00.000"/>
        <s v="2020-02-05 00:00:00.000"/>
        <s v="2024-02-29 00:00:00.000"/>
        <s v="2025-06-02 00:00:00.000"/>
        <s v="2023-10-08 00:00:00.000"/>
        <s v="2021-03-31 00:00:00.000"/>
        <s v="2025-03-16 00:00:00.000"/>
        <s v="2021-01-23 00:00:00.000"/>
        <s v="2020-10-14 00:00:00.000"/>
        <s v="2024-06-09 00:00:00.000"/>
        <s v="2020-10-05 00:00:00.000"/>
        <s v="2023-10-05 00:00:00.000"/>
        <s v="2025-03-08 00:00:00.000"/>
        <s v="2021-10-29 00:00:00.000"/>
        <s v="2024-04-28 00:00:00.000"/>
        <s v="2023-09-05 00:00:00.000"/>
        <s v="2025-05-25 00:00:00.000"/>
        <s v="2024-11-20 00:00:00.000"/>
        <s v="2024-05-22 00:00:00.000"/>
        <s v="2020-10-24 00:00:00.000"/>
        <s v="2020-06-30 00:00:00.000"/>
        <s v="2025-06-04 00:00:00.000"/>
        <s v="2024-03-31 00:00:00.000"/>
        <s v="2023-12-12 00:00:00.000"/>
        <s v="2023-02-23 00:00:00.000"/>
        <s v="2023-06-11 00:00:00.000"/>
        <s v="2024-12-29 00:00:00.000"/>
        <s v="2024-02-15 00:00:00.000"/>
        <s v="2024-10-24 00:00:00.000"/>
        <s v="2025-06-14 00:00:00.000"/>
        <s v="2020-02-29 00:00:00.000"/>
        <s v="2021-01-13 00:00:00.000"/>
        <s v="2022-04-30 00:00:00.000"/>
        <s v="2020-09-27 00:00:00.000"/>
        <s v="2023-10-18 00:00:00.000"/>
        <s v="2020-12-20 00:00:00.000"/>
        <s v="2022-04-14 00:00:00.000"/>
        <s v="2024-05-14 00:00:00.000"/>
        <s v="2021-07-17 00:00:00.000"/>
        <s v="2023-04-20 00:00:00.000"/>
        <s v="2025-05-03 00:00:00.000"/>
        <s v="2024-05-16 00:00:00.000"/>
        <s v="2020-09-20 00:00:00.000"/>
        <s v="2025-01-15 00:00:00.000"/>
        <s v="2023-06-28 00:00:00.000"/>
        <s v="2022-12-03 00:00:00.000"/>
        <s v="2023-02-07 00:00:00.000"/>
        <s v="2021-11-27 00:00:00.000"/>
        <s v="2024-07-01 00:00:00.000"/>
        <s v="2021-09-25 00:00:00.000"/>
        <s v="2022-02-13 00:00:00.000"/>
        <s v="2022-09-30 00:00:00.000"/>
        <s v="2024-11-24 00:00:00.000"/>
        <s v="2021-03-19 00:00:00.000"/>
        <s v="2020-06-25 00:00:00.000"/>
        <s v="2023-10-21 00:00:00.000"/>
        <s v="2023-10-03 00:00:00.000"/>
        <s v="2025-04-03 00:00:00.000"/>
        <s v="2023-03-16 00:00:00.000"/>
        <s v="2023-10-11 00:00:00.000"/>
        <s v="2021-06-22 00:00:00.000"/>
        <s v="2023-06-04 00:00:00.000"/>
        <s v="2020-06-26 00:00:00.000"/>
        <s v="2023-06-19 00:00:00.000"/>
        <s v="2020-10-09 00:00:00.000"/>
        <s v="2023-07-03 00:00:00.000"/>
        <s v="2022-08-22 00:00:00.000"/>
        <s v="2025-06-23 00:00:00.000"/>
        <s v="2023-12-28 00:00:00.000"/>
        <s v="2020-05-30 00:00:00.000"/>
        <s v="2022-08-24 00:00:00.000"/>
        <s v="2023-01-29 00:00:00.000"/>
        <s v="2024-11-19 00:00:00.000"/>
        <s v="2020-07-11 00:00:00.000"/>
        <s v="2024-01-29 00:00:00.000"/>
        <s v="2020-11-13 00:00:00.000"/>
        <s v="2024-06-15 00:00:00.000"/>
        <s v="2025-05-31 00:00:00.000"/>
        <s v="2024-05-19 00:00:00.000"/>
        <s v="2024-11-05 00:00:00.000"/>
        <s v="2023-10-07 00:00:00.000"/>
        <s v="2020-04-03 00:00:00.000"/>
        <s v="2020-10-11 00:00:00.000"/>
        <s v="2020-08-01 00:00:00.000"/>
        <s v="2024-07-09 00:00:00.000"/>
        <s v="2021-11-16 00:00:00.000"/>
        <s v="2020-11-03 00:00:00.000"/>
        <s v="2022-06-25 00:00:00.000"/>
        <s v="2022-11-09 00:00:00.000"/>
        <s v="2024-01-12 00:00:00.000"/>
        <s v="2025-03-04 00:00:00.000"/>
        <s v="2023-01-21 00:00:00.000"/>
        <s v="2024-09-14 00:00:00.000"/>
        <s v="2024-08-16 00:00:00.000"/>
        <s v="2020-01-18 00:00:00.000"/>
        <s v="2023-05-04 00:00:00.000"/>
        <s v="2020-08-10 00:00:00.000"/>
        <s v="2023-08-31 00:00:00.000"/>
        <s v="2022-12-13 00:00:00.000"/>
        <s v="2021-04-24 00:00:00.000"/>
        <s v="2021-07-04 00:00:00.000"/>
        <s v="2021-09-05 00:00:00.000"/>
        <s v="2023-02-24 00:00:00.000"/>
        <s v="2022-03-20 00:00:00.000"/>
        <s v="2023-01-03 00:00:00.000"/>
        <s v="2022-05-05 00:00:00.000"/>
        <s v="2023-06-30 00:00:00.000"/>
        <s v="2024-03-30 00:00:00.000"/>
        <s v="2020-03-14 00:00:00.000"/>
        <s v="2021-06-05 00:00:00.000"/>
        <s v="2020-07-30 00:00:00.000"/>
        <s v="2020-01-08 00:00:00.000"/>
        <s v="2021-09-13 00:00:00.000"/>
        <s v="2020-11-19 00:00:00.000"/>
        <s v="2022-01-26 00:00:00.000"/>
        <s v="2020-01-04 00:00:00.000"/>
        <s v="2024-08-22 00:00:00.000"/>
        <s v="2022-02-28 00:00:00.000"/>
        <s v="2024-12-19 00:00:00.000"/>
        <s v="2024-02-22 00:00:00.000"/>
        <s v="2024-05-18 00:00:00.000"/>
        <s v="2022-05-23 00:00:00.000"/>
        <s v="2021-08-18 00:00:00.000"/>
        <s v="2021-05-16 00:00:00.000"/>
        <s v="2021-10-28 00:00:00.000"/>
        <s v="2023-02-01 00:00:00.000"/>
        <s v="2021-04-22 00:00:00.000"/>
        <s v="2025-01-18 00:00:00.000"/>
        <s v="2022-11-01 00:00:00.000"/>
        <s v="2022-06-30 00:00:00.000"/>
        <s v="2023-02-11 00:00:00.000"/>
        <s v="2022-07-02 00:00:00.000"/>
        <s v="2025-01-19 00:00:00.000"/>
        <s v="2023-03-02 00:00:00.000"/>
        <s v="2025-05-12 00:00:00.000"/>
        <s v="2020-06-18 00:00:00.000"/>
        <s v="2021-02-18 00:00:00.000"/>
        <s v="2022-12-16 00:00:00.000"/>
        <s v="2024-04-03 00:00:00.000"/>
        <s v="2021-08-01 00:00:00.000"/>
        <s v="2024-11-06 00:00:00.000"/>
        <s v="2023-10-22 00:00:00.000"/>
        <s v="2020-07-25 00:00:00.000"/>
        <s v="2020-02-15 00:00:00.000"/>
        <s v="2024-02-24 00:00:00.000"/>
        <s v="2020-06-10 00:00:00.000"/>
        <s v="2023-01-12 00:00:00.000"/>
        <s v="2020-11-25 00:00:00.000"/>
        <s v="2021-09-30 00:00:00.000"/>
        <s v="2024-08-03 00:00:00.000"/>
        <s v="2024-04-01 00:00:00.000"/>
        <s v="2020-07-19 00:00:00.000"/>
        <s v="2025-02-05 00:00:00.000"/>
        <s v="2023-12-26 00:00:00.000"/>
        <s v="2024-08-21 00:00:00.000"/>
        <s v="2021-10-01 00:00:00.000"/>
        <s v="2021-09-15 00:00:00.000"/>
        <s v="2023-01-13 00:00:00.000"/>
        <s v="2025-01-29 00:00:00.000"/>
        <s v="2024-03-05 00:00:00.000"/>
        <s v="2024-01-11 00:00:00.000"/>
        <s v="2021-04-29 00:00:00.000"/>
        <s v="2024-02-26 00:00:00.000"/>
        <s v="2021-01-29 00:00:00.000"/>
        <s v="2022-08-30 00:00:00.000"/>
        <s v="2022-12-18 00:00:00.000"/>
        <s v="2022-02-14 00:00:00.000"/>
        <s v="2023-05-31 00:00:00.000"/>
        <s v="2022-02-18 00:00:00.000"/>
        <s v="2021-08-15 00:00:00.000"/>
        <s v="2021-09-03 00:00:00.000"/>
        <s v="2023-04-08 00:00:00.000"/>
        <s v="2023-11-06 00:00:00.000"/>
        <s v="2023-12-06 00:00:00.000"/>
        <s v="2023-07-13 00:00:00.000"/>
        <s v="2022-07-23 00:00:00.000"/>
        <s v="2024-09-13 00:00:00.000"/>
        <s v="2023-08-13 00:00:00.000"/>
        <s v="2023-11-22 00:00:00.000"/>
        <s v="2020-09-03 00:00:00.000"/>
        <s v="2020-04-07 00:00:00.000"/>
        <s v="2020-05-11 00:00:00.000"/>
        <s v="2021-01-18 00:00:00.000"/>
        <s v="2020-08-06 00:00:00.000"/>
        <s v="2023-05-11 00:00:00.000"/>
        <s v="2022-05-14 00:00:00.000"/>
        <s v="2022-02-20 00:00:00.000"/>
        <s v="2020-05-06 00:00:00.000"/>
        <s v="2022-11-05 00:00:00.000"/>
        <s v="2023-07-02 00:00:00.000"/>
        <s v="2021-01-09 00:00:00.000"/>
        <s v="2020-05-22 00:00:00.000"/>
        <s v="2024-07-17 00:00:00.000"/>
        <s v="2020-02-22 00:00:00.000"/>
        <s v="2023-03-27 00:00:00.000"/>
        <s v="2021-05-05 00:00:00.000"/>
        <s v="2020-02-23 00:00:00.000"/>
        <s v="2025-05-01 00:00:00.000"/>
        <s v="2023-11-21 00:00:00.000"/>
        <s v="2021-10-23 00:00:00.000"/>
        <s v="2020-02-14 00:00:00.000"/>
        <s v="2023-04-03 00:00:00.000"/>
        <s v="2024-12-02 00:00:00.000"/>
        <s v="2021-03-27 00:00:00.000"/>
        <s v="2020-06-27 00:00:00.000"/>
        <s v="2020-05-08 00:00:00.000"/>
        <s v="2023-02-08 00:00:00.000"/>
        <s v="2022-02-19 00:00:00.000"/>
        <s v="2024-06-19 00:00:00.000"/>
        <s v="2022-04-06 00:00:00.000"/>
        <s v="2024-07-15 00:00:00.000"/>
        <s v="2023-06-12 00:00:00.000"/>
        <s v="2020-03-04 00:00:00.000"/>
        <s v="2020-06-17 00:00:00.000"/>
        <s v="2023-10-02 00:00:00.000"/>
        <s v="2022-09-10 00:00:00.000"/>
        <s v="2022-01-30 00:00:00.000"/>
        <s v="2021-10-03 00:00:00.000"/>
        <s v="2020-03-06 00:00:00.000"/>
        <s v="2024-07-23 00:00:00.000"/>
        <s v="2020-01-02 00:00:00.000"/>
        <s v="2022-09-23 00:00:00.000"/>
        <s v="2021-11-20 00:00:00.000"/>
        <s v="2022-07-06 00:00:00.000"/>
        <s v="2021-06-19 00:00:00.000"/>
        <s v="2020-04-09 00:00:00.000"/>
        <s v="2021-12-04 00:00:00.000"/>
        <s v="2022-03-05 00:00:00.000"/>
        <s v="2023-04-28 00:00:00.000"/>
        <s v="2020-05-07 00:00:00.000"/>
        <s v="2022-06-11 00:00:00.000"/>
        <s v="2020-07-27 00:00:00.000"/>
        <s v="2021-02-24 00:00:00.000"/>
        <s v="2024-11-18 00:00:00.000"/>
        <s v="2022-08-05 00:00:00.000"/>
        <s v="2022-01-07 00:00:00.000"/>
        <s v="2021-12-03 00:00:00.000"/>
        <s v="2024-01-10 00:00:00.000"/>
        <s v="2023-01-05 00:00:00.000"/>
        <s v="2021-09-21 00:00:00.000"/>
        <s v="2020-04-02 00:00:00.000"/>
        <s v="2021-10-25 00:00:00.000"/>
        <s v="2021-12-15 00:00:00.000"/>
        <s v="2024-12-11 00:00:00.000"/>
        <s v="2021-12-06 00:00:00.000"/>
        <s v="2020-03-28 00:00:00.000"/>
        <s v="2023-05-27 00:00:00.000"/>
        <s v="2020-04-12 00:00:00.000"/>
        <s v="2023-09-23 00:00:00.000"/>
        <s v="2024-05-06 00:00:00.000"/>
        <s v="2021-01-12 00:00:00.000"/>
        <s v="2024-01-08 00:00:00.000"/>
        <s v="2021-12-31 00:00:00.000"/>
        <s v="2020-11-14 00:00:00.000"/>
        <s v="2025-02-08 00:00:00.000"/>
        <s v="2023-06-02 00:00:00.000"/>
        <s v="2023-05-16 00:00:00.000"/>
        <s v="2023-08-19 00:00:00.000"/>
        <s v="2020-10-08 00:00:00.000"/>
        <s v="2022-12-25 00:00:00.000"/>
        <s v="2025-01-01 00:00:00.000"/>
        <s v="2022-09-04 00:00:00.000"/>
        <s v="2021-02-12 00:00:00.000"/>
        <s v="2021-07-03 00:00:00.000"/>
        <s v="2020-11-26 00:00:00.000"/>
        <s v="2020-05-29 00:00:00.000"/>
        <s v="2025-04-07 00:00:00.000"/>
        <s v="2023-09-01 00:00:00.000"/>
        <s v="2023-03-01 00:00:00.000"/>
        <s v="2022-12-06 00:00:00.000"/>
        <s v="2020-02-08 00:00:00.000"/>
        <s v="2023-08-10 00:00:00.000"/>
        <s v="2023-07-19 00:00:00.000"/>
        <s v="2022-07-07 00:00:00.000"/>
        <s v="2024-02-07 00:00:00.000"/>
        <s v="2023-02-03 00:00:00.000"/>
        <s v="2024-06-28 00:00:00.000"/>
        <s v="2022-12-19 00:00:00.000"/>
        <s v="2022-07-31 00:00:00.000"/>
        <s v="2021-07-10 00:00:00.000"/>
        <s v="2025-05-19 00:00:00.000"/>
        <s v="2021-04-27 00:00:00.000"/>
        <s v="2024-08-04 00:00:00.000"/>
        <s v="2023-02-26 00:00:00.000"/>
        <s v="2022-02-23 00:00:00.000"/>
        <s v="2020-03-30 00:00:00.000"/>
        <s v="2021-08-31 00:00:00.000"/>
        <s v="2023-03-06 00:00:00.000"/>
        <s v="2024-03-03 00:00:00.000"/>
        <s v="2020-07-05 00:00:00.000"/>
        <s v="2021-04-20 00:00:00.000"/>
        <s v="2021-11-13 00:00:00.000"/>
        <s v="2023-04-12 00:00:00.000"/>
        <s v="2025-03-22 00:00:00.000"/>
        <s v="2020-07-17 00:00:00.000"/>
        <s v="2021-06-14 00:00:00.000"/>
        <s v="2022-07-04 00:00:00.000"/>
        <s v="2025-03-13 00:00:00.000"/>
        <s v="2023-12-22 00:00:00.000"/>
        <s v="2025-02-16 00:00:00.000"/>
        <s v="2021-08-21 00:00:00.000"/>
        <s v="2022-09-20 00:00:00.000"/>
        <s v="2024-08-06 00:00:00.000"/>
        <s v="2022-11-22 00:00:00.000"/>
        <s v="2022-11-08 00:00:00.000"/>
        <s v="2021-04-10 00:00:00.000"/>
        <s v="2022-04-09 00:00:00.000"/>
        <s v="2022-06-27 00:00:00.000"/>
        <s v="2023-11-27 00:00:00.000"/>
        <s v="2022-06-26 00:00:00.000"/>
        <s v="2021-07-11 00:00:00.000"/>
        <s v="2022-04-21 00:00:00.000"/>
        <s v="2023-12-10 00:00:00.000"/>
        <s v="2024-02-13 00:00:00.000"/>
        <s v="2025-01-05 00:00:00.000"/>
        <s v="2023-08-21 00:00:00.000"/>
        <s v="2025-03-10 00:00:00.000"/>
        <s v="2022-08-31 00:00:00.000"/>
        <s v="2020-06-12 00:00:00.000"/>
        <s v="2021-09-01 00:00:00.000"/>
        <s v="2022-07-14 00:00:00.000"/>
        <s v="2021-01-27 00:00:00.000"/>
        <s v="2020-10-15 00:00:00.000"/>
        <s v="2021-02-26 00:00:00.000"/>
        <s v="2020-07-28 00:00:00.000"/>
        <s v="2023-11-14 00:00:00.000"/>
        <s v="2024-08-01 00:00:00.000"/>
        <s v="2021-09-23 00:00:00.000"/>
        <s v="2020-02-25 00:00:00.000"/>
        <s v="2020-09-08 00:00:00.000"/>
        <s v="2020-10-27 00:00:00.000"/>
        <s v="2024-01-20 00:00:00.000"/>
        <s v="2022-06-07 00:00:00.000"/>
        <s v="2022-03-10 00:00:00.000"/>
        <s v="2021-01-31 00:00:00.000"/>
        <s v="2020-03-21 00:00:00.000"/>
        <s v="2024-05-15 00:00:00.000"/>
        <s v="2022-08-17 00:00:00.000"/>
        <s v="2022-08-21 00:00:00.000"/>
        <s v="2021-05-04 00:00:00.000"/>
        <s v="2022-09-09 00:00:00.000"/>
        <s v="2023-10-24 00:00:00.000"/>
        <s v="2025-01-27 00:00:00.000"/>
        <s v="2023-06-24 00:00:00.000"/>
        <s v="2025-04-29 00:00:00.000"/>
        <s v="2022-01-01 00:00:00.000"/>
        <s v="2020-06-01 00:00:00.000"/>
        <s v="2025-01-21 00:00:00.000"/>
        <s v="2022-02-09 00:00:00.000"/>
        <s v="2022-08-03 00:00:00.000"/>
        <s v="2023-06-25 00:00:00.000"/>
        <s v="2024-09-08 00:00:00.000"/>
        <s v="2023-07-23 00:00:00.000"/>
        <s v="2023-09-15 00:00:00.000"/>
        <s v="2024-04-21 00:00:00.000"/>
        <s v="2022-01-08 00:00:00.000"/>
        <s v="2020-12-12 00:00:00.000"/>
        <s v="2021-10-11 00:00:00.000"/>
        <s v="2022-01-25 00:00:00.000"/>
        <s v="2024-09-01 00:00:00.000"/>
        <s v="2021-06-09 00:00:00.000"/>
        <s v="2021-01-10 00:00:00.000"/>
        <s v="2021-01-20 00:00:00.000"/>
        <s v="2024-05-08 00:00:00.000"/>
        <s v="2023-03-04 00:00:00.000"/>
        <s v="2021-02-03 00:00:00.000"/>
        <s v="2020-11-29 00:00:00.000"/>
        <s v="2024-11-14 00:00:00.000"/>
        <s v="2023-06-23 00:00:00.000"/>
        <s v="2021-07-19 00:00:00.000"/>
        <s v="2021-12-08 00:00:00.000"/>
        <s v="2023-11-12 00:00:00.000"/>
        <s v="2020-03-10 00:00:00.000"/>
        <s v="2023-02-12 00:00:00.000"/>
        <s v="2021-04-07 00:00:00.000"/>
        <s v="2022-12-30 00:00:00.000"/>
        <s v="2022-07-28 00:00:00.000"/>
        <s v="2021-06-02 00:00:00.000"/>
        <s v="2021-07-24 00:00:00.000"/>
        <s v="2024-08-05 00:00:00.000"/>
        <s v="2020-08-25 00:00:00.000"/>
        <s v="2023-10-17 00:00:00.000"/>
        <s v="2025-04-06 00:00:00.000"/>
        <s v="2024-07-03 00:00:00.000"/>
        <s v="2020-05-31 00:00:00.000"/>
        <s v="2022-04-22 00:00:00.000"/>
        <s v="2024-04-02 00:00:00.000"/>
        <s v="2022-10-10 00:00:00.000"/>
        <s v="2022-03-19 00:00:00.000"/>
        <s v="2025-01-08 00:00:00.000"/>
        <s v="2022-07-26 00:00:00.000"/>
        <s v="2023-05-29 00:00:00.000"/>
        <s v="2023-08-16 00:00:00.000"/>
        <s v="2023-04-16 00:00:00.000"/>
        <s v="2020-06-14 00:00:00.000"/>
        <s v="2024-08-18 00:00:00.000"/>
        <s v="2022-04-25 00:00:00.000"/>
        <s v="2023-01-31 00:00:00.000"/>
        <s v="2024-06-12 00:00:00.000"/>
        <s v="2025-04-18 00:00:00.000"/>
        <s v="2024-07-06 00:00:00.000"/>
        <s v="2023-06-18 00:00:00.000"/>
        <s v="2022-12-20 00:00:00.000"/>
        <s v="2024-11-23 00:00:00.000"/>
        <s v="2023-12-01 00:00:00.000"/>
        <s v="2024-07-30 00:00:00.000"/>
        <s v="2020-08-03 00:00:00.000"/>
        <s v="2025-05-08 00:00:00.000"/>
        <s v="2022-09-25 00:00:00.000"/>
        <s v="2021-05-11 00:00:00.000"/>
        <s v="2024-03-21 00:00:00.000"/>
        <s v="2023-10-27 00:00:00.000"/>
        <s v="2021-08-04 00:00:00.000"/>
        <s v="2021-06-30 00:00:00.000"/>
        <s v="2022-02-16 00:00:00.000"/>
        <s v="2020-07-07 00:00:00.000"/>
        <s v="2024-06-02 00:00:00.000"/>
        <s v="2024-04-19 00:00:00.000"/>
        <s v="2021-02-15 00:00:00.000"/>
        <s v="2023-11-10 00:00:00.000"/>
        <s v="2023-03-05 00:00:00.000"/>
        <s v="2025-03-09 00:00:00.000"/>
        <s v="2022-10-14 00:00:00.000"/>
        <s v="2024-02-20 00:00:00.000"/>
        <s v="2023-01-17 00:00:00.000"/>
        <s v="2020-11-22 00:00:00.000"/>
        <s v="2021-10-14 00:00:00.000"/>
        <s v="2023-04-04 00:00:00.000"/>
        <s v="2022-02-26 00:00:00.000"/>
        <s v="2023-07-12 00:00:00.000"/>
        <s v="2023-12-11 00:00:00.000"/>
        <s v="2022-08-11 00:00:00.000"/>
        <s v="2021-09-17 00:00:00.000"/>
        <s v="2021-01-21 00:00:00.000"/>
        <s v="2023-02-25 00:00:00.000"/>
        <s v="2020-06-02 00:00:00.000"/>
        <s v="2020-05-21 00:00:00.000"/>
        <s v="2024-02-21 00:00:00.000"/>
        <s v="2025-06-28 00:00:00.000"/>
        <s v="2020-01-27 00:00:00.000"/>
        <s v="2021-01-22 00:00:00.000"/>
        <s v="2022-09-01 00:00:00.000"/>
        <s v="2024-03-27 00:00:00.000"/>
        <s v="2025-05-17 00:00:00.000"/>
        <s v="2021-01-15 00:00:00.000"/>
        <s v="2020-08-19 00:00:00.000"/>
        <s v="2025-05-18 00:00:00.000"/>
        <s v="2024-02-16 00:00:00.000"/>
        <s v="2023-04-11 00:00:00.000"/>
        <s v="2020-11-06 00:00:00.000"/>
        <s v="2021-04-26 00:00:00.000"/>
        <s v="2022-08-06 00:00:00.000"/>
        <s v="2023-11-01 00:00:00.000"/>
        <s v="2024-03-10 00:00:00.000"/>
        <s v="2020-03-17 00:00:00.000"/>
        <s v="2023-10-20 00:00:00.000"/>
        <s v="2020-02-01 00:00:00.000"/>
        <s v="2022-01-27 00:00:00.000"/>
        <s v="2021-03-24 00:00:00.000"/>
        <s v="2025-06-27 00:00:00.000"/>
        <s v="2024-09-26 00:00:00.000"/>
        <s v="2020-03-27 00:00:00.000"/>
        <s v="2024-11-12 00:00:00.000"/>
        <s v="2021-08-22 00:00:00.000"/>
        <s v="2024-08-09 00:00:00.000"/>
        <s v="2021-09-27 00:00:00.000"/>
        <s v="2023-06-06 00:00:00.000"/>
        <s v="2021-06-11 00:00:00.000"/>
        <s v="2021-07-13 00:00:00.000"/>
        <s v="2022-09-29 00:00:00.000"/>
        <s v="2020-01-13 00:00:00.000"/>
        <s v="2023-12-24 00:00:00.000"/>
        <s v="2020-11-07 00:00:00.000"/>
        <s v="2021-05-24 00:00:00.000"/>
        <s v="2023-12-13 00:00:00.000"/>
        <s v="2021-09-26 00:00:00.000"/>
        <s v="2023-01-24 00:00:00.000"/>
        <s v="2020-08-17 00:00:00.000"/>
        <s v="2024-12-16 00:00:00.000"/>
        <s v="2021-11-21 00:00:00.000"/>
        <s v="2020-04-26 00:00:00.000"/>
        <s v="2022-06-01 00:00:00.000"/>
        <s v="2020-01-26 00:00:00.000"/>
        <s v="2025-01-10 00:00:00.000"/>
        <s v="2024-06-23 00:00:00.000"/>
        <s v="2024-11-04 00:00:00.000"/>
        <s v="2024-03-08 00:00:00.000"/>
        <s v="2022-01-05 00:00:00.000"/>
        <s v="2022-09-13 00:00:00.000"/>
        <s v="2024-10-02 00:00:00.000"/>
        <s v="2022-12-17 00:00:00.000"/>
        <s v="2022-03-21 00:00:00.000"/>
        <s v="2023-03-26 00:00:00.000"/>
        <s v="2023-01-11 00:00:00.000"/>
        <s v="2023-07-09 00:00:00.000"/>
        <s v="2021-10-07 00:00:00.000"/>
        <s v="2022-10-24 00:00:00.000"/>
        <s v="2022-08-14 00:00:00.000"/>
        <s v="2020-02-27 00:00:00.000"/>
        <s v="2024-05-21 00:00:00.000"/>
        <s v="2021-11-03 00:00:00.000"/>
        <s v="2025-06-24 00:00:00.000"/>
        <s v="2020-09-15 00:00:00.000"/>
        <s v="2021-11-14 00:00:00.000"/>
        <s v="2022-01-02 00:00:00.000"/>
        <s v="2020-04-13 00:00:00.000"/>
        <s v="2020-12-09 00:00:00.000"/>
        <s v="2023-09-26 00:00:00.000"/>
        <s v="2023-06-09 00:00:00.000"/>
        <s v="2021-04-23 00:00:00.000"/>
        <s v="2024-01-02 00:00:00.000"/>
        <s v="2024-06-20 00:00:00.000"/>
        <s v="2022-06-05 00:00:00.000"/>
        <s v="2020-07-21 00:00:00.000"/>
        <s v="2023-06-13 00:00:00.000"/>
        <s v="2021-05-26 00:00:00.000"/>
        <s v="2025-03-17 00:00:00.000"/>
        <s v="2023-06-20 00:00:00.000"/>
        <s v="2021-02-21 00:00:00.000"/>
        <s v="2024-11-13 00:00:00.000"/>
        <s v="2024-03-14 00:00:00.000"/>
        <s v="2020-04-04 00:00:00.000"/>
        <s v="2021-07-30 00:00:00.000"/>
        <s v="2023-12-21 00:00:00.000"/>
        <s v="2021-05-10 00:00:00.000"/>
        <s v="2024-12-27 00:00:00.000"/>
        <s v="2022-10-18 00:00:00.000"/>
        <s v="2021-05-01 00:00:00.000"/>
        <s v="2021-07-14 00:00:00.000"/>
        <s v="2025-04-17 00:00:00.000"/>
        <s v="2024-05-27 00:00:00.000"/>
        <s v="2021-10-27 00:00:00.000"/>
        <s v="2024-05-13 00:00:00.000"/>
        <s v="2020-05-19 00:00:00.000"/>
        <s v="2025-03-31 00:00:00.000"/>
        <s v="2024-01-30 00:00:00.000"/>
        <s v="2023-04-24 00:00:00.000"/>
        <s v="2020-08-27 00:00:00.000"/>
        <s v="2024-10-05 00:00:00.000"/>
        <s v="2022-04-16 00:00:00.000"/>
        <s v="2021-03-21 00:00:00.000"/>
        <s v="2024-09-02 00:00:00.000"/>
        <s v="2025-02-23 00:00:00.000"/>
        <s v="2024-09-19 00:00:00.000"/>
        <s v="2023-06-08 00:00:00.000"/>
      </sharedItems>
    </cacheField>
    <cacheField name="STATUS" numFmtId="0">
      <sharedItems count="3">
        <s v="Active"/>
        <s v="Closed"/>
        <s v="Default"/>
      </sharedItems>
    </cacheField>
    <cacheField name="DAYS_PAST_DUE" numFmtId="0">
      <sharedItems containsSemiMixedTypes="0" containsString="0" containsNumber="1" containsInteger="1" minValue="0" maxValue="363" count="177">
        <n v="44"/>
        <n v="0"/>
        <n v="71"/>
        <n v="303"/>
        <n v="33"/>
        <n v="69"/>
        <n v="157"/>
        <n v="290"/>
        <n v="327"/>
        <n v="153"/>
        <n v="67"/>
        <n v="313"/>
        <n v="11"/>
        <n v="114"/>
        <n v="267"/>
        <n v="36"/>
        <n v="56"/>
        <n v="72"/>
        <n v="227"/>
        <n v="18"/>
        <n v="161"/>
        <n v="273"/>
        <n v="45"/>
        <n v="307"/>
        <n v="4"/>
        <n v="214"/>
        <n v="176"/>
        <n v="332"/>
        <n v="30"/>
        <n v="288"/>
        <n v="59"/>
        <n v="12"/>
        <n v="81"/>
        <n v="311"/>
        <n v="120"/>
        <n v="309"/>
        <n v="319"/>
        <n v="73"/>
        <n v="75"/>
        <n v="286"/>
        <n v="254"/>
        <n v="344"/>
        <n v="170"/>
        <n v="325"/>
        <n v="7"/>
        <n v="228"/>
        <n v="32"/>
        <n v="280"/>
        <n v="117"/>
        <n v="154"/>
        <n v="195"/>
        <n v="37"/>
        <n v="35"/>
        <n v="87"/>
        <n v="80"/>
        <n v="47"/>
        <n v="302"/>
        <n v="41"/>
        <n v="139"/>
        <n v="21"/>
        <n v="2"/>
        <n v="334"/>
        <n v="90"/>
        <n v="205"/>
        <n v="16"/>
        <n v="138"/>
        <n v="48"/>
        <n v="136"/>
        <n v="276"/>
        <n v="198"/>
        <n v="143"/>
        <n v="51"/>
        <n v="26"/>
        <n v="20"/>
        <n v="107"/>
        <n v="321"/>
        <n v="40"/>
        <n v="151"/>
        <n v="269"/>
        <n v="5"/>
        <n v="22"/>
        <n v="188"/>
        <n v="86"/>
        <n v="84"/>
        <n v="126"/>
        <n v="62"/>
        <n v="144"/>
        <n v="82"/>
        <n v="55"/>
        <n v="83"/>
        <n v="352"/>
        <n v="147"/>
        <n v="133"/>
        <n v="38"/>
        <n v="278"/>
        <n v="354"/>
        <n v="76"/>
        <n v="113"/>
        <n v="289"/>
        <n v="246"/>
        <n v="304"/>
        <n v="29"/>
        <n v="336"/>
        <n v="10"/>
        <n v="61"/>
        <n v="363"/>
        <n v="49"/>
        <n v="8"/>
        <n v="25"/>
        <n v="216"/>
        <n v="308"/>
        <n v="77"/>
        <n v="31"/>
        <n v="101"/>
        <n v="279"/>
        <n v="335"/>
        <n v="162"/>
        <n v="85"/>
        <n v="320"/>
        <n v="217"/>
        <n v="333"/>
        <n v="242"/>
        <n v="1"/>
        <n v="175"/>
        <n v="202"/>
        <n v="50"/>
        <n v="355"/>
        <n v="23"/>
        <n v="140"/>
        <n v="295"/>
        <n v="244"/>
        <n v="180"/>
        <n v="13"/>
        <n v="177"/>
        <n v="312"/>
        <n v="239"/>
        <n v="338"/>
        <n v="210"/>
        <n v="358"/>
        <n v="92"/>
        <n v="66"/>
        <n v="326"/>
        <n v="65"/>
        <n v="341"/>
        <n v="98"/>
        <n v="79"/>
        <n v="19"/>
        <n v="119"/>
        <n v="247"/>
        <n v="14"/>
        <n v="203"/>
        <n v="115"/>
        <n v="9"/>
        <n v="88"/>
        <n v="24"/>
        <n v="70"/>
        <n v="52"/>
        <n v="42"/>
        <n v="102"/>
        <n v="93"/>
        <n v="123"/>
        <n v="234"/>
        <n v="54"/>
        <n v="184"/>
        <n v="200"/>
        <n v="57"/>
        <n v="99"/>
        <n v="189"/>
        <n v="268"/>
        <n v="209"/>
        <n v="271"/>
        <n v="171"/>
        <n v="95"/>
        <n v="17"/>
        <n v="129"/>
        <n v="34"/>
        <n v="251"/>
      </sharedItems>
    </cacheField>
    <cacheField name="FIXED-START_DATE" numFmtId="0">
      <sharedItems containsSemiMixedTypes="0" containsString="0" containsNonDate="0" containsDate="1" minDate="2020-01-02T00:00:00" maxDate="2025-06-28T00:00:00" count="957">
        <d v="2023-10-12T00:00:00"/>
        <d v="2020-05-20T00:00:00"/>
        <d v="2025-06-17T00:00:00"/>
        <d v="2024-11-07T00:00:00"/>
        <d v="2021-09-24T00:00:00"/>
        <d v="2020-05-05T00:00:00"/>
        <d v="2025-01-06T00:00:00"/>
        <d v="2025-05-30T00:00:00"/>
        <d v="2022-07-25T00:00:00"/>
        <d v="2023-08-18T00:00:00"/>
        <d v="2023-11-26T00:00:00"/>
        <d v="2024-12-25T00:00:00"/>
        <d v="2022-09-07T00:00:00"/>
        <d v="2022-10-21T00:00:00"/>
        <d v="2020-12-14T00:00:00"/>
        <d v="2020-02-16T00:00:00"/>
        <d v="2023-08-04T00:00:00"/>
        <d v="2021-03-10T00:00:00"/>
        <d v="2024-09-21T00:00:00"/>
        <d v="2022-06-29T00:00:00"/>
        <d v="2021-09-02T00:00:00"/>
        <d v="2024-10-31T00:00:00"/>
        <d v="2022-06-13T00:00:00"/>
        <d v="2024-12-04T00:00:00"/>
        <d v="2020-01-21T00:00:00"/>
        <d v="2025-04-10T00:00:00"/>
        <d v="2020-01-19T00:00:00"/>
        <d v="2021-02-07T00:00:00"/>
        <d v="2022-12-14T00:00:00"/>
        <d v="2021-12-24T00:00:00"/>
        <d v="2021-03-29T00:00:00"/>
        <d v="2021-02-27T00:00:00"/>
        <d v="2022-09-24T00:00:00"/>
        <d v="2022-01-12T00:00:00"/>
        <d v="2023-07-16T00:00:00"/>
        <d v="2020-11-08T00:00:00"/>
        <d v="2022-06-17T00:00:00"/>
        <d v="2021-11-04T00:00:00"/>
        <d v="2022-08-18T00:00:00"/>
        <d v="2023-09-04T00:00:00"/>
        <d v="2020-12-27T00:00:00"/>
        <d v="2021-04-25T00:00:00"/>
        <d v="2021-11-25T00:00:00"/>
        <d v="2025-02-18T00:00:00"/>
        <d v="2023-11-02T00:00:00"/>
        <d v="2020-06-29T00:00:00"/>
        <d v="2020-10-03T00:00:00"/>
        <d v="2021-01-25T00:00:00"/>
        <d v="2023-12-15T00:00:00"/>
        <d v="2025-06-15T00:00:00"/>
        <d v="2021-02-22T00:00:00"/>
        <d v="2024-11-26T00:00:00"/>
        <d v="2024-06-13T00:00:00"/>
        <d v="2020-05-12T00:00:00"/>
        <d v="2024-12-13T00:00:00"/>
        <d v="2023-10-16T00:00:00"/>
        <d v="2025-06-05T00:00:00"/>
        <d v="2021-07-05T00:00:00"/>
        <d v="2024-10-14T00:00:00"/>
        <d v="2021-11-23T00:00:00"/>
        <d v="2020-04-17T00:00:00"/>
        <d v="2025-05-21T00:00:00"/>
        <d v="2023-02-20T00:00:00"/>
        <d v="2020-04-11T00:00:00"/>
        <d v="2020-12-16T00:00:00"/>
        <d v="2020-09-26T00:00:00"/>
        <d v="2023-01-28T00:00:00"/>
        <d v="2021-01-08T00:00:00"/>
        <d v="2020-08-16T00:00:00"/>
        <d v="2020-12-04T00:00:00"/>
        <d v="2021-05-12T00:00:00"/>
        <d v="2023-08-05T00:00:00"/>
        <d v="2024-04-07T00:00:00"/>
        <d v="2024-12-08T00:00:00"/>
        <d v="2020-06-21T00:00:00"/>
        <d v="2022-02-05T00:00:00"/>
        <d v="2020-04-16T00:00:00"/>
        <d v="2020-10-20T00:00:00"/>
        <d v="2024-09-15T00:00:00"/>
        <d v="2024-06-03T00:00:00"/>
        <d v="2024-03-26T00:00:00"/>
        <d v="2021-02-01T00:00:00"/>
        <d v="2025-02-04T00:00:00"/>
        <d v="2024-03-29T00:00:00"/>
        <d v="2020-12-19T00:00:00"/>
        <d v="2022-12-11T00:00:00"/>
        <d v="2021-08-10T00:00:00"/>
        <d v="2022-02-01T00:00:00"/>
        <d v="2022-07-27T00:00:00"/>
        <d v="2022-10-02T00:00:00"/>
        <d v="2023-05-19T00:00:00"/>
        <d v="2023-06-22T00:00:00"/>
        <d v="2025-05-16T00:00:00"/>
        <d v="2024-09-17T00:00:00"/>
        <d v="2023-09-09T00:00:00"/>
        <d v="2025-02-09T00:00:00"/>
        <d v="2022-04-26T00:00:00"/>
        <d v="2025-06-03T00:00:00"/>
        <d v="2023-01-09T00:00:00"/>
        <d v="2020-06-09T00:00:00"/>
        <d v="2021-11-05T00:00:00"/>
        <d v="2021-08-02T00:00:00"/>
        <d v="2022-03-07T00:00:00"/>
        <d v="2024-06-18T00:00:00"/>
        <d v="2022-09-14T00:00:00"/>
        <d v="2025-03-30T00:00:00"/>
        <d v="2022-08-15T00:00:00"/>
        <d v="2020-10-25T00:00:00"/>
        <d v="2025-05-27T00:00:00"/>
        <d v="2022-10-05T00:00:00"/>
        <d v="2023-10-14T00:00:00"/>
        <d v="2023-05-23T00:00:00"/>
        <d v="2024-03-25T00:00:00"/>
        <d v="2020-09-17T00:00:00"/>
        <d v="2024-03-22T00:00:00"/>
        <d v="2021-04-03T00:00:00"/>
        <d v="2020-01-16T00:00:00"/>
        <d v="2025-05-24T00:00:00"/>
        <d v="2021-12-22T00:00:00"/>
        <d v="2021-08-30T00:00:00"/>
        <d v="2024-03-23T00:00:00"/>
        <d v="2021-08-12T00:00:00"/>
        <d v="2023-04-01T00:00:00"/>
        <d v="2022-05-15T00:00:00"/>
        <d v="2023-05-03T00:00:00"/>
        <d v="2022-09-28T00:00:00"/>
        <d v="2023-11-25T00:00:00"/>
        <d v="2023-01-16T00:00:00"/>
        <d v="2022-11-19T00:00:00"/>
        <d v="2022-07-22T00:00:00"/>
        <d v="2021-03-20T00:00:00"/>
        <d v="2023-04-19T00:00:00"/>
        <d v="2023-05-01T00:00:00"/>
        <d v="2021-07-27T00:00:00"/>
        <d v="2020-08-04T00:00:00"/>
        <d v="2021-12-25T00:00:00"/>
        <d v="2025-04-26T00:00:00"/>
        <d v="2021-08-14T00:00:00"/>
        <d v="2021-04-21T00:00:00"/>
        <d v="2022-10-31T00:00:00"/>
        <d v="2022-06-10T00:00:00"/>
        <d v="2021-12-19T00:00:00"/>
        <d v="2025-01-30T00:00:00"/>
        <d v="2023-10-29T00:00:00"/>
        <d v="2024-01-23T00:00:00"/>
        <d v="2023-04-09T00:00:00"/>
        <d v="2022-06-02T00:00:00"/>
        <d v="2023-09-24T00:00:00"/>
        <d v="2022-12-27T00:00:00"/>
        <d v="2021-11-08T00:00:00"/>
        <d v="2020-09-30T00:00:00"/>
        <d v="2022-04-18T00:00:00"/>
        <d v="2021-03-28T00:00:00"/>
        <d v="2022-09-02T00:00:00"/>
        <d v="2022-10-11T00:00:00"/>
        <d v="2025-06-13T00:00:00"/>
        <d v="2022-08-12T00:00:00"/>
        <d v="2025-04-20T00:00:00"/>
        <d v="2021-03-06T00:00:00"/>
        <d v="2021-03-11T00:00:00"/>
        <d v="2025-04-14T00:00:00"/>
        <d v="2021-05-21T00:00:00"/>
        <d v="2021-10-17T00:00:00"/>
        <d v="2021-11-28T00:00:00"/>
        <d v="2023-07-08T00:00:00"/>
        <d v="2025-01-03T00:00:00"/>
        <d v="2025-03-27T00:00:00"/>
        <d v="2023-09-17T00:00:00"/>
        <d v="2025-05-28T00:00:00"/>
        <d v="2024-08-08T00:00:00"/>
        <d v="2021-09-11T00:00:00"/>
        <d v="2024-04-13T00:00:00"/>
        <d v="2021-04-01T00:00:00"/>
        <d v="2024-10-21T00:00:00"/>
        <d v="2023-08-27T00:00:00"/>
        <d v="2022-05-09T00:00:00"/>
        <d v="2024-11-15T00:00:00"/>
        <d v="2025-01-11T00:00:00"/>
        <d v="2024-05-29T00:00:00"/>
        <d v="2020-10-01T00:00:00"/>
        <d v="2023-03-10T00:00:00"/>
        <d v="2022-06-09T00:00:00"/>
        <d v="2022-06-18T00:00:00"/>
        <d v="2025-01-13T00:00:00"/>
        <d v="2021-05-08T00:00:00"/>
        <d v="2023-03-19T00:00:00"/>
        <d v="2024-08-23T00:00:00"/>
        <d v="2023-05-10T00:00:00"/>
        <d v="2025-02-22T00:00:00"/>
        <d v="2020-07-22T00:00:00"/>
        <d v="2022-04-05T00:00:00"/>
        <d v="2025-02-20T00:00:00"/>
        <d v="2024-03-12T00:00:00"/>
        <d v="2021-07-31T00:00:00"/>
        <d v="2022-10-04T00:00:00"/>
        <d v="2020-07-04T00:00:00"/>
        <d v="2020-02-28T00:00:00"/>
        <d v="2024-03-01T00:00:00"/>
        <d v="2021-06-10T00:00:00"/>
        <d v="2024-10-27T00:00:00"/>
        <d v="2020-07-20T00:00:00"/>
        <d v="2021-11-22T00:00:00"/>
        <d v="2025-02-02T00:00:00"/>
        <d v="2024-10-10T00:00:00"/>
        <d v="2022-12-01T00:00:00"/>
        <d v="2023-05-28T00:00:00"/>
        <d v="2022-02-12T00:00:00"/>
        <d v="2024-06-05T00:00:00"/>
        <d v="2020-12-26T00:00:00"/>
        <d v="2024-06-27T00:00:00"/>
        <d v="2022-09-03T00:00:00"/>
        <d v="2021-11-06T00:00:00"/>
        <d v="2021-12-18T00:00:00"/>
        <d v="2024-08-19T00:00:00"/>
        <d v="2022-11-02T00:00:00"/>
        <d v="2022-09-17T00:00:00"/>
        <d v="2022-02-22T00:00:00"/>
        <d v="2023-04-10T00:00:00"/>
        <d v="2021-10-09T00:00:00"/>
        <d v="2020-04-10T00:00:00"/>
        <d v="2023-01-10T00:00:00"/>
        <d v="2025-04-22T00:00:00"/>
        <d v="2021-10-22T00:00:00"/>
        <d v="2021-09-12T00:00:00"/>
        <d v="2024-03-18T00:00:00"/>
        <d v="2024-12-15T00:00:00"/>
        <d v="2020-06-04T00:00:00"/>
        <d v="2023-08-17T00:00:00"/>
        <d v="2025-01-16T00:00:00"/>
        <d v="2024-08-15T00:00:00"/>
        <d v="2024-07-18T00:00:00"/>
        <d v="2024-01-14T00:00:00"/>
        <d v="2023-04-27T00:00:00"/>
        <d v="2021-10-21T00:00:00"/>
        <d v="2023-08-02T00:00:00"/>
        <d v="2022-06-12T00:00:00"/>
        <d v="2023-08-23T00:00:00"/>
        <d v="2022-02-21T00:00:00"/>
        <d v="2024-10-04T00:00:00"/>
        <d v="2022-01-29T00:00:00"/>
        <d v="2020-04-21T00:00:00"/>
        <d v="2020-04-15T00:00:00"/>
        <d v="2024-04-18T00:00:00"/>
        <d v="2020-07-14T00:00:00"/>
        <d v="2023-02-05T00:00:00"/>
        <d v="2020-08-26T00:00:00"/>
        <d v="2020-02-24T00:00:00"/>
        <d v="2022-09-27T00:00:00"/>
        <d v="2023-12-23T00:00:00"/>
        <d v="2023-04-30T00:00:00"/>
        <d v="2023-08-14T00:00:00"/>
        <d v="2023-07-30T00:00:00"/>
        <d v="2021-06-08T00:00:00"/>
        <d v="2024-06-08T00:00:00"/>
        <d v="2020-06-07T00:00:00"/>
        <d v="2023-01-30T00:00:00"/>
        <d v="2024-10-06T00:00:00"/>
        <d v="2023-03-22T00:00:00"/>
        <d v="2024-05-31T00:00:00"/>
        <d v="2022-03-18T00:00:00"/>
        <d v="2022-10-03T00:00:00"/>
        <d v="2023-03-31T00:00:00"/>
        <d v="2022-04-20T00:00:00"/>
        <d v="2024-10-01T00:00:00"/>
        <d v="2021-07-07T00:00:00"/>
        <d v="2024-12-26T00:00:00"/>
        <d v="2024-04-17T00:00:00"/>
        <d v="2021-04-17T00:00:00"/>
        <d v="2023-11-30T00:00:00"/>
        <d v="2024-01-28T00:00:00"/>
        <d v="2021-05-15T00:00:00"/>
        <d v="2020-07-26T00:00:00"/>
        <d v="2021-03-26T00:00:00"/>
        <d v="2022-07-18T00:00:00"/>
        <d v="2021-03-15T00:00:00"/>
        <d v="2022-10-17T00:00:00"/>
        <d v="2024-12-24T00:00:00"/>
        <d v="2024-09-09T00:00:00"/>
        <d v="2022-08-27T00:00:00"/>
        <d v="2024-02-19T00:00:00"/>
        <d v="2021-03-17T00:00:00"/>
        <d v="2020-12-17T00:00:00"/>
        <d v="2023-11-20T00:00:00"/>
        <d v="2024-01-09T00:00:00"/>
        <d v="2021-04-19T00:00:00"/>
        <d v="2022-07-11T00:00:00"/>
        <d v="2025-03-25T00:00:00"/>
        <d v="2023-08-28T00:00:00"/>
        <d v="2021-12-05T00:00:00"/>
        <d v="2024-07-31T00:00:00"/>
        <d v="2024-12-14T00:00:00"/>
        <d v="2023-10-09T00:00:00"/>
        <d v="2024-04-25T00:00:00"/>
        <d v="2022-07-21T00:00:00"/>
        <d v="2020-11-01T00:00:00"/>
        <d v="2022-07-29T00:00:00"/>
        <d v="2024-04-22T00:00:00"/>
        <d v="2020-01-05T00:00:00"/>
        <d v="2021-11-02T00:00:00"/>
        <d v="2023-05-12T00:00:00"/>
        <d v="2020-12-24T00:00:00"/>
        <d v="2025-06-08T00:00:00"/>
        <d v="2022-09-26T00:00:00"/>
        <d v="2022-03-04T00:00:00"/>
        <d v="2022-03-11T00:00:00"/>
        <d v="2024-03-07T00:00:00"/>
        <d v="2020-06-06T00:00:00"/>
        <d v="2023-07-15T00:00:00"/>
        <d v="2023-11-09T00:00:00"/>
        <d v="2020-01-03T00:00:00"/>
        <d v="2024-11-30T00:00:00"/>
        <d v="2023-03-21T00:00:00"/>
        <d v="2024-07-19T00:00:00"/>
        <d v="2022-06-22T00:00:00"/>
        <d v="2024-02-01T00:00:00"/>
        <d v="2025-02-12T00:00:00"/>
        <d v="2021-06-17T00:00:00"/>
        <d v="2023-11-23T00:00:00"/>
        <d v="2021-05-30T00:00:00"/>
        <d v="2024-01-21T00:00:00"/>
        <d v="2023-03-30T00:00:00"/>
        <d v="2023-04-15T00:00:00"/>
        <d v="2022-10-25T00:00:00"/>
        <d v="2025-04-02T00:00:00"/>
        <d v="2020-03-23T00:00:00"/>
        <d v="2020-07-23T00:00:00"/>
        <d v="2024-11-21T00:00:00"/>
        <d v="2023-07-07T00:00:00"/>
        <d v="2022-05-24T00:00:00"/>
        <d v="2020-10-21T00:00:00"/>
        <d v="2022-04-29T00:00:00"/>
        <d v="2024-04-04T00:00:00"/>
        <d v="2023-11-29T00:00:00"/>
        <d v="2024-06-26T00:00:00"/>
        <d v="2020-09-28T00:00:00"/>
        <d v="2021-03-12T00:00:00"/>
        <d v="2022-03-22T00:00:00"/>
        <d v="2024-07-11T00:00:00"/>
        <d v="2021-02-05T00:00:00"/>
        <d v="2023-01-19T00:00:00"/>
        <d v="2020-04-30T00:00:00"/>
        <d v="2021-10-02T00:00:00"/>
        <d v="2021-11-12T00:00:00"/>
        <d v="2024-08-13T00:00:00"/>
        <d v="2023-02-21T00:00:00"/>
        <d v="2021-05-25T00:00:00"/>
        <d v="2021-04-06T00:00:00"/>
        <d v="2024-02-04T00:00:00"/>
        <d v="2021-04-12T00:00:00"/>
        <d v="2022-04-13T00:00:00"/>
        <d v="2021-06-29T00:00:00"/>
        <d v="2023-05-18T00:00:00"/>
        <d v="2022-08-02T00:00:00"/>
        <d v="2020-02-03T00:00:00"/>
        <d v="2024-10-28T00:00:00"/>
        <d v="2022-10-29T00:00:00"/>
        <d v="2022-12-15T00:00:00"/>
        <d v="2022-09-11T00:00:00"/>
        <d v="2021-11-30T00:00:00"/>
        <d v="2022-10-16T00:00:00"/>
        <d v="2021-08-26T00:00:00"/>
        <d v="2022-06-15T00:00:00"/>
        <d v="2024-06-29T00:00:00"/>
        <d v="2025-02-19T00:00:00"/>
        <d v="2023-09-06T00:00:00"/>
        <d v="2022-11-27T00:00:00"/>
        <d v="2020-08-29T00:00:00"/>
        <d v="2020-08-28T00:00:00"/>
        <d v="2024-05-09T00:00:00"/>
        <d v="2024-10-26T00:00:00"/>
        <d v="2024-01-17T00:00:00"/>
        <d v="2020-05-03T00:00:00"/>
        <d v="2021-07-28T00:00:00"/>
        <d v="2024-06-21T00:00:00"/>
        <d v="2022-04-02T00:00:00"/>
        <d v="2023-05-13T00:00:00"/>
        <d v="2020-11-23T00:00:00"/>
        <d v="2020-10-19T00:00:00"/>
        <d v="2024-12-07T00:00:00"/>
        <d v="2020-11-24T00:00:00"/>
        <d v="2020-12-30T00:00:00"/>
        <d v="2020-07-12T00:00:00"/>
        <d v="2021-02-13T00:00:00"/>
        <d v="2023-12-31T00:00:00"/>
        <d v="2020-06-15T00:00:00"/>
        <d v="2021-04-13T00:00:00"/>
        <d v="2021-01-03T00:00:00"/>
        <d v="2022-03-28T00:00:00"/>
        <d v="2024-06-07T00:00:00"/>
        <d v="2024-10-15T00:00:00"/>
        <d v="2021-08-16T00:00:00"/>
        <d v="2021-10-04T00:00:00"/>
        <d v="2023-06-14T00:00:00"/>
        <d v="2024-06-22T00:00:00"/>
        <d v="2021-07-22T00:00:00"/>
        <d v="2022-12-23T00:00:00"/>
        <d v="2020-11-04T00:00:00"/>
        <d v="2020-03-29T00:00:00"/>
        <d v="2020-11-27T00:00:00"/>
        <d v="2025-04-11T00:00:00"/>
        <d v="2024-02-06T00:00:00"/>
        <d v="2021-03-18T00:00:00"/>
        <d v="2021-01-17T00:00:00"/>
        <d v="2020-01-10T00:00:00"/>
        <d v="2023-09-21T00:00:00"/>
        <d v="2022-04-01T00:00:00"/>
        <d v="2020-10-30T00:00:00"/>
        <d v="2023-06-21T00:00:00"/>
        <d v="2024-10-22T00:00:00"/>
        <d v="2024-07-20T00:00:00"/>
        <d v="2025-05-14T00:00:00"/>
        <d v="2022-10-09T00:00:00"/>
        <d v="2020-06-16T00:00:00"/>
        <d v="2020-02-05T00:00:00"/>
        <d v="2024-02-29T00:00:00"/>
        <d v="2025-06-02T00:00:00"/>
        <d v="2023-10-08T00:00:00"/>
        <d v="2021-03-31T00:00:00"/>
        <d v="2025-03-16T00:00:00"/>
        <d v="2021-01-23T00:00:00"/>
        <d v="2020-10-14T00:00:00"/>
        <d v="2024-06-09T00:00:00"/>
        <d v="2020-10-05T00:00:00"/>
        <d v="2023-10-05T00:00:00"/>
        <d v="2025-03-08T00:00:00"/>
        <d v="2021-10-29T00:00:00"/>
        <d v="2024-04-28T00:00:00"/>
        <d v="2023-09-05T00:00:00"/>
        <d v="2025-05-25T00:00:00"/>
        <d v="2024-11-20T00:00:00"/>
        <d v="2024-05-22T00:00:00"/>
        <d v="2020-10-24T00:00:00"/>
        <d v="2020-06-30T00:00:00"/>
        <d v="2025-06-04T00:00:00"/>
        <d v="2024-03-31T00:00:00"/>
        <d v="2023-12-12T00:00:00"/>
        <d v="2023-02-23T00:00:00"/>
        <d v="2023-06-11T00:00:00"/>
        <d v="2024-12-29T00:00:00"/>
        <d v="2024-02-15T00:00:00"/>
        <d v="2024-10-24T00:00:00"/>
        <d v="2025-06-14T00:00:00"/>
        <d v="2020-02-29T00:00:00"/>
        <d v="2021-01-13T00:00:00"/>
        <d v="2022-04-30T00:00:00"/>
        <d v="2020-09-27T00:00:00"/>
        <d v="2023-10-18T00:00:00"/>
        <d v="2020-12-20T00:00:00"/>
        <d v="2022-04-14T00:00:00"/>
        <d v="2024-05-14T00:00:00"/>
        <d v="2021-07-17T00:00:00"/>
        <d v="2023-04-20T00:00:00"/>
        <d v="2025-05-03T00:00:00"/>
        <d v="2024-05-16T00:00:00"/>
        <d v="2020-09-20T00:00:00"/>
        <d v="2025-01-15T00:00:00"/>
        <d v="2023-06-28T00:00:00"/>
        <d v="2022-12-03T00:00:00"/>
        <d v="2023-02-07T00:00:00"/>
        <d v="2021-11-27T00:00:00"/>
        <d v="2024-07-01T00:00:00"/>
        <d v="2021-09-25T00:00:00"/>
        <d v="2022-02-13T00:00:00"/>
        <d v="2022-09-30T00:00:00"/>
        <d v="2024-11-24T00:00:00"/>
        <d v="2021-03-19T00:00:00"/>
        <d v="2020-06-25T00:00:00"/>
        <d v="2023-10-21T00:00:00"/>
        <d v="2023-10-03T00:00:00"/>
        <d v="2025-04-03T00:00:00"/>
        <d v="2023-03-16T00:00:00"/>
        <d v="2023-10-11T00:00:00"/>
        <d v="2021-06-22T00:00:00"/>
        <d v="2023-06-04T00:00:00"/>
        <d v="2020-06-26T00:00:00"/>
        <d v="2023-06-19T00:00:00"/>
        <d v="2020-10-09T00:00:00"/>
        <d v="2023-07-03T00:00:00"/>
        <d v="2022-08-22T00:00:00"/>
        <d v="2025-06-23T00:00:00"/>
        <d v="2023-12-28T00:00:00"/>
        <d v="2020-05-30T00:00:00"/>
        <d v="2022-08-24T00:00:00"/>
        <d v="2023-01-29T00:00:00"/>
        <d v="2024-11-19T00:00:00"/>
        <d v="2020-07-11T00:00:00"/>
        <d v="2024-01-29T00:00:00"/>
        <d v="2020-11-13T00:00:00"/>
        <d v="2024-06-15T00:00:00"/>
        <d v="2025-05-31T00:00:00"/>
        <d v="2024-05-19T00:00:00"/>
        <d v="2024-11-05T00:00:00"/>
        <d v="2023-10-07T00:00:00"/>
        <d v="2020-04-03T00:00:00"/>
        <d v="2020-10-11T00:00:00"/>
        <d v="2020-08-01T00:00:00"/>
        <d v="2024-07-09T00:00:00"/>
        <d v="2021-11-16T00:00:00"/>
        <d v="2020-11-03T00:00:00"/>
        <d v="2022-06-25T00:00:00"/>
        <d v="2022-11-09T00:00:00"/>
        <d v="2024-01-12T00:00:00"/>
        <d v="2025-03-04T00:00:00"/>
        <d v="2023-01-21T00:00:00"/>
        <d v="2024-09-14T00:00:00"/>
        <d v="2024-08-16T00:00:00"/>
        <d v="2020-01-18T00:00:00"/>
        <d v="2023-05-04T00:00:00"/>
        <d v="2020-08-10T00:00:00"/>
        <d v="2023-08-31T00:00:00"/>
        <d v="2022-12-13T00:00:00"/>
        <d v="2021-04-24T00:00:00"/>
        <d v="2021-07-04T00:00:00"/>
        <d v="2021-09-05T00:00:00"/>
        <d v="2023-02-24T00:00:00"/>
        <d v="2022-03-20T00:00:00"/>
        <d v="2023-01-03T00:00:00"/>
        <d v="2022-05-05T00:00:00"/>
        <d v="2023-06-30T00:00:00"/>
        <d v="2024-03-30T00:00:00"/>
        <d v="2020-03-14T00:00:00"/>
        <d v="2021-06-05T00:00:00"/>
        <d v="2020-07-30T00:00:00"/>
        <d v="2020-01-08T00:00:00"/>
        <d v="2021-09-13T00:00:00"/>
        <d v="2020-11-19T00:00:00"/>
        <d v="2022-01-26T00:00:00"/>
        <d v="2020-01-04T00:00:00"/>
        <d v="2024-08-22T00:00:00"/>
        <d v="2022-02-28T00:00:00"/>
        <d v="2024-12-19T00:00:00"/>
        <d v="2024-02-22T00:00:00"/>
        <d v="2024-05-18T00:00:00"/>
        <d v="2022-05-23T00:00:00"/>
        <d v="2021-08-18T00:00:00"/>
        <d v="2021-05-16T00:00:00"/>
        <d v="2021-10-28T00:00:00"/>
        <d v="2023-02-01T00:00:00"/>
        <d v="2021-04-22T00:00:00"/>
        <d v="2025-01-18T00:00:00"/>
        <d v="2022-11-01T00:00:00"/>
        <d v="2022-06-30T00:00:00"/>
        <d v="2023-02-11T00:00:00"/>
        <d v="2022-07-02T00:00:00"/>
        <d v="2025-01-19T00:00:00"/>
        <d v="2023-03-02T00:00:00"/>
        <d v="2025-05-12T00:00:00"/>
        <d v="2020-06-18T00:00:00"/>
        <d v="2021-02-18T00:00:00"/>
        <d v="2022-12-16T00:00:00"/>
        <d v="2024-04-03T00:00:00"/>
        <d v="2021-08-01T00:00:00"/>
        <d v="2024-11-06T00:00:00"/>
        <d v="2023-10-22T00:00:00"/>
        <d v="2020-07-25T00:00:00"/>
        <d v="2020-02-15T00:00:00"/>
        <d v="2024-02-24T00:00:00"/>
        <d v="2020-06-10T00:00:00"/>
        <d v="2023-01-12T00:00:00"/>
        <d v="2020-11-25T00:00:00"/>
        <d v="2021-09-30T00:00:00"/>
        <d v="2024-08-03T00:00:00"/>
        <d v="2024-04-01T00:00:00"/>
        <d v="2020-07-19T00:00:00"/>
        <d v="2025-02-05T00:00:00"/>
        <d v="2023-12-26T00:00:00"/>
        <d v="2024-08-21T00:00:00"/>
        <d v="2021-10-01T00:00:00"/>
        <d v="2021-09-15T00:00:00"/>
        <d v="2023-01-13T00:00:00"/>
        <d v="2025-01-29T00:00:00"/>
        <d v="2024-03-05T00:00:00"/>
        <d v="2024-01-11T00:00:00"/>
        <d v="2021-04-29T00:00:00"/>
        <d v="2024-02-26T00:00:00"/>
        <d v="2021-01-29T00:00:00"/>
        <d v="2022-08-30T00:00:00"/>
        <d v="2022-12-18T00:00:00"/>
        <d v="2022-02-14T00:00:00"/>
        <d v="2023-05-31T00:00:00"/>
        <d v="2022-02-18T00:00:00"/>
        <d v="2021-08-15T00:00:00"/>
        <d v="2021-09-03T00:00:00"/>
        <d v="2023-04-08T00:00:00"/>
        <d v="2023-11-06T00:00:00"/>
        <d v="2023-12-06T00:00:00"/>
        <d v="2023-07-13T00:00:00"/>
        <d v="2022-07-23T00:00:00"/>
        <d v="2024-09-13T00:00:00"/>
        <d v="2023-08-13T00:00:00"/>
        <d v="2023-11-22T00:00:00"/>
        <d v="2020-09-03T00:00:00"/>
        <d v="2020-04-07T00:00:00"/>
        <d v="2020-05-11T00:00:00"/>
        <d v="2021-01-18T00:00:00"/>
        <d v="2020-08-06T00:00:00"/>
        <d v="2023-05-11T00:00:00"/>
        <d v="2022-05-14T00:00:00"/>
        <d v="2022-02-20T00:00:00"/>
        <d v="2020-05-06T00:00:00"/>
        <d v="2022-11-05T00:00:00"/>
        <d v="2023-07-02T00:00:00"/>
        <d v="2021-01-09T00:00:00"/>
        <d v="2020-05-22T00:00:00"/>
        <d v="2024-07-17T00:00:00"/>
        <d v="2020-02-22T00:00:00"/>
        <d v="2023-03-27T00:00:00"/>
        <d v="2021-05-05T00:00:00"/>
        <d v="2020-02-23T00:00:00"/>
        <d v="2025-05-01T00:00:00"/>
        <d v="2023-11-21T00:00:00"/>
        <d v="2021-10-23T00:00:00"/>
        <d v="2020-02-14T00:00:00"/>
        <d v="2023-04-03T00:00:00"/>
        <d v="2024-12-02T00:00:00"/>
        <d v="2021-03-27T00:00:00"/>
        <d v="2020-06-27T00:00:00"/>
        <d v="2020-05-08T00:00:00"/>
        <d v="2023-02-08T00:00:00"/>
        <d v="2022-02-19T00:00:00"/>
        <d v="2024-06-19T00:00:00"/>
        <d v="2022-04-06T00:00:00"/>
        <d v="2024-07-15T00:00:00"/>
        <d v="2023-06-12T00:00:00"/>
        <d v="2020-03-04T00:00:00"/>
        <d v="2020-06-17T00:00:00"/>
        <d v="2023-10-02T00:00:00"/>
        <d v="2022-09-10T00:00:00"/>
        <d v="2022-01-30T00:00:00"/>
        <d v="2021-10-03T00:00:00"/>
        <d v="2020-03-06T00:00:00"/>
        <d v="2024-07-23T00:00:00"/>
        <d v="2020-01-02T00:00:00"/>
        <d v="2022-09-23T00:00:00"/>
        <d v="2021-11-20T00:00:00"/>
        <d v="2022-07-06T00:00:00"/>
        <d v="2021-06-19T00:00:00"/>
        <d v="2020-04-09T00:00:00"/>
        <d v="2021-12-04T00:00:00"/>
        <d v="2022-03-05T00:00:00"/>
        <d v="2023-04-28T00:00:00"/>
        <d v="2020-05-07T00:00:00"/>
        <d v="2022-06-11T00:00:00"/>
        <d v="2020-07-27T00:00:00"/>
        <d v="2021-02-24T00:00:00"/>
        <d v="2024-11-18T00:00:00"/>
        <d v="2022-08-05T00:00:00"/>
        <d v="2022-01-07T00:00:00"/>
        <d v="2021-12-03T00:00:00"/>
        <d v="2024-01-10T00:00:00"/>
        <d v="2023-01-05T00:00:00"/>
        <d v="2021-09-21T00:00:00"/>
        <d v="2020-04-02T00:00:00"/>
        <d v="2021-10-25T00:00:00"/>
        <d v="2021-12-15T00:00:00"/>
        <d v="2024-12-11T00:00:00"/>
        <d v="2021-12-06T00:00:00"/>
        <d v="2020-03-28T00:00:00"/>
        <d v="2023-05-27T00:00:00"/>
        <d v="2020-04-12T00:00:00"/>
        <d v="2023-09-23T00:00:00"/>
        <d v="2024-05-06T00:00:00"/>
        <d v="2021-01-12T00:00:00"/>
        <d v="2024-01-08T00:00:00"/>
        <d v="2021-12-31T00:00:00"/>
        <d v="2020-11-14T00:00:00"/>
        <d v="2025-02-08T00:00:00"/>
        <d v="2023-06-02T00:00:00"/>
        <d v="2023-05-16T00:00:00"/>
        <d v="2023-08-19T00:00:00"/>
        <d v="2020-10-08T00:00:00"/>
        <d v="2022-12-25T00:00:00"/>
        <d v="2025-01-01T00:00:00"/>
        <d v="2022-09-04T00:00:00"/>
        <d v="2021-02-12T00:00:00"/>
        <d v="2021-07-03T00:00:00"/>
        <d v="2020-11-26T00:00:00"/>
        <d v="2020-05-29T00:00:00"/>
        <d v="2025-04-07T00:00:00"/>
        <d v="2023-09-01T00:00:00"/>
        <d v="2023-03-01T00:00:00"/>
        <d v="2022-12-06T00:00:00"/>
        <d v="2020-02-08T00:00:00"/>
        <d v="2023-08-10T00:00:00"/>
        <d v="2023-07-19T00:00:00"/>
        <d v="2022-07-07T00:00:00"/>
        <d v="2024-02-07T00:00:00"/>
        <d v="2023-02-03T00:00:00"/>
        <d v="2024-06-28T00:00:00"/>
        <d v="2022-12-19T00:00:00"/>
        <d v="2022-07-31T00:00:00"/>
        <d v="2021-07-10T00:00:00"/>
        <d v="2025-05-19T00:00:00"/>
        <d v="2021-04-27T00:00:00"/>
        <d v="2024-08-04T00:00:00"/>
        <d v="2023-02-26T00:00:00"/>
        <d v="2022-02-23T00:00:00"/>
        <d v="2020-03-30T00:00:00"/>
        <d v="2021-08-31T00:00:00"/>
        <d v="2023-03-06T00:00:00"/>
        <d v="2024-03-03T00:00:00"/>
        <d v="2020-07-05T00:00:00"/>
        <d v="2021-04-20T00:00:00"/>
        <d v="2021-11-13T00:00:00"/>
        <d v="2023-04-12T00:00:00"/>
        <d v="2025-03-22T00:00:00"/>
        <d v="2020-07-17T00:00:00"/>
        <d v="2021-06-14T00:00:00"/>
        <d v="2022-07-04T00:00:00"/>
        <d v="2025-03-13T00:00:00"/>
        <d v="2023-12-22T00:00:00"/>
        <d v="2025-02-16T00:00:00"/>
        <d v="2021-08-21T00:00:00"/>
        <d v="2022-09-20T00:00:00"/>
        <d v="2024-08-06T00:00:00"/>
        <d v="2022-11-22T00:00:00"/>
        <d v="2022-11-08T00:00:00"/>
        <d v="2021-04-10T00:00:00"/>
        <d v="2022-04-09T00:00:00"/>
        <d v="2022-06-27T00:00:00"/>
        <d v="2023-11-27T00:00:00"/>
        <d v="2022-06-26T00:00:00"/>
        <d v="2021-07-11T00:00:00"/>
        <d v="2022-04-21T00:00:00"/>
        <d v="2023-12-10T00:00:00"/>
        <d v="2024-02-13T00:00:00"/>
        <d v="2025-01-05T00:00:00"/>
        <d v="2023-08-21T00:00:00"/>
        <d v="2025-03-10T00:00:00"/>
        <d v="2022-08-31T00:00:00"/>
        <d v="2020-06-12T00:00:00"/>
        <d v="2021-09-01T00:00:00"/>
        <d v="2022-07-14T00:00:00"/>
        <d v="2021-01-27T00:00:00"/>
        <d v="2020-10-15T00:00:00"/>
        <d v="2021-02-26T00:00:00"/>
        <d v="2020-07-28T00:00:00"/>
        <d v="2023-11-14T00:00:00"/>
        <d v="2024-08-01T00:00:00"/>
        <d v="2021-09-23T00:00:00"/>
        <d v="2020-02-25T00:00:00"/>
        <d v="2020-09-08T00:00:00"/>
        <d v="2020-10-27T00:00:00"/>
        <d v="2024-01-20T00:00:00"/>
        <d v="2022-06-07T00:00:00"/>
        <d v="2022-03-10T00:00:00"/>
        <d v="2021-01-31T00:00:00"/>
        <d v="2020-03-21T00:00:00"/>
        <d v="2024-05-15T00:00:00"/>
        <d v="2022-08-17T00:00:00"/>
        <d v="2022-08-21T00:00:00"/>
        <d v="2021-05-04T00:00:00"/>
        <d v="2022-09-09T00:00:00"/>
        <d v="2023-10-24T00:00:00"/>
        <d v="2025-01-27T00:00:00"/>
        <d v="2023-06-24T00:00:00"/>
        <d v="2025-04-29T00:00:00"/>
        <d v="2022-01-01T00:00:00"/>
        <d v="2020-06-01T00:00:00"/>
        <d v="2025-01-21T00:00:00"/>
        <d v="2022-02-09T00:00:00"/>
        <d v="2022-08-03T00:00:00"/>
        <d v="2023-06-25T00:00:00"/>
        <d v="2024-09-08T00:00:00"/>
        <d v="2023-07-23T00:00:00"/>
        <d v="2023-09-15T00:00:00"/>
        <d v="2024-04-21T00:00:00"/>
        <d v="2022-01-08T00:00:00"/>
        <d v="2020-12-12T00:00:00"/>
        <d v="2021-10-11T00:00:00"/>
        <d v="2022-01-25T00:00:00"/>
        <d v="2024-09-01T00:00:00"/>
        <d v="2021-06-09T00:00:00"/>
        <d v="2021-01-10T00:00:00"/>
        <d v="2021-01-20T00:00:00"/>
        <d v="2024-05-08T00:00:00"/>
        <d v="2023-03-04T00:00:00"/>
        <d v="2021-02-03T00:00:00"/>
        <d v="2020-11-29T00:00:00"/>
        <d v="2024-11-14T00:00:00"/>
        <d v="2023-06-23T00:00:00"/>
        <d v="2021-07-19T00:00:00"/>
        <d v="2021-12-08T00:00:00"/>
        <d v="2023-11-12T00:00:00"/>
        <d v="2020-03-10T00:00:00"/>
        <d v="2023-02-12T00:00:00"/>
        <d v="2021-04-07T00:00:00"/>
        <d v="2022-12-30T00:00:00"/>
        <d v="2022-07-28T00:00:00"/>
        <d v="2021-06-02T00:00:00"/>
        <d v="2021-07-24T00:00:00"/>
        <d v="2024-08-05T00:00:00"/>
        <d v="2020-08-25T00:00:00"/>
        <d v="2023-10-17T00:00:00"/>
        <d v="2025-04-06T00:00:00"/>
        <d v="2024-07-03T00:00:00"/>
        <d v="2020-05-31T00:00:00"/>
        <d v="2022-04-22T00:00:00"/>
        <d v="2024-04-02T00:00:00"/>
        <d v="2022-10-10T00:00:00"/>
        <d v="2022-03-19T00:00:00"/>
        <d v="2025-01-08T00:00:00"/>
        <d v="2022-07-26T00:00:00"/>
        <d v="2023-05-29T00:00:00"/>
        <d v="2023-08-16T00:00:00"/>
        <d v="2023-04-16T00:00:00"/>
        <d v="2020-06-14T00:00:00"/>
        <d v="2024-08-18T00:00:00"/>
        <d v="2022-04-25T00:00:00"/>
        <d v="2023-01-31T00:00:00"/>
        <d v="2024-06-12T00:00:00"/>
        <d v="2025-04-18T00:00:00"/>
        <d v="2024-07-06T00:00:00"/>
        <d v="2023-06-18T00:00:00"/>
        <d v="2022-12-20T00:00:00"/>
        <d v="2024-11-23T00:00:00"/>
        <d v="2023-12-01T00:00:00"/>
        <d v="2024-07-30T00:00:00"/>
        <d v="2020-08-03T00:00:00"/>
        <d v="2025-05-08T00:00:00"/>
        <d v="2022-09-25T00:00:00"/>
        <d v="2021-05-11T00:00:00"/>
        <d v="2024-03-21T00:00:00"/>
        <d v="2023-10-27T00:00:00"/>
        <d v="2021-08-04T00:00:00"/>
        <d v="2021-06-30T00:00:00"/>
        <d v="2022-02-16T00:00:00"/>
        <d v="2020-07-07T00:00:00"/>
        <d v="2024-06-02T00:00:00"/>
        <d v="2024-04-19T00:00:00"/>
        <d v="2021-02-15T00:00:00"/>
        <d v="2023-11-10T00:00:00"/>
        <d v="2023-03-05T00:00:00"/>
        <d v="2025-03-09T00:00:00"/>
        <d v="2022-10-14T00:00:00"/>
        <d v="2024-02-20T00:00:00"/>
        <d v="2023-01-17T00:00:00"/>
        <d v="2020-11-22T00:00:00"/>
        <d v="2021-10-14T00:00:00"/>
        <d v="2023-04-04T00:00:00"/>
        <d v="2022-02-26T00:00:00"/>
        <d v="2023-07-12T00:00:00"/>
        <d v="2023-12-11T00:00:00"/>
        <d v="2022-08-11T00:00:00"/>
        <d v="2021-09-17T00:00:00"/>
        <d v="2021-01-21T00:00:00"/>
        <d v="2023-02-25T00:00:00"/>
        <d v="2020-06-02T00:00:00"/>
        <d v="2020-05-21T00:00:00"/>
        <d v="2024-02-21T00:00:00"/>
        <d v="2025-06-28T00:00:00"/>
        <d v="2020-01-27T00:00:00"/>
        <d v="2021-01-22T00:00:00"/>
        <d v="2022-09-01T00:00:00"/>
        <d v="2024-03-27T00:00:00"/>
        <d v="2025-05-17T00:00:00"/>
        <d v="2021-01-15T00:00:00"/>
        <d v="2020-08-19T00:00:00"/>
        <d v="2025-05-18T00:00:00"/>
        <d v="2024-02-16T00:00:00"/>
        <d v="2023-04-11T00:00:00"/>
        <d v="2020-11-06T00:00:00"/>
        <d v="2021-04-26T00:00:00"/>
        <d v="2022-08-06T00:00:00"/>
        <d v="2023-11-01T00:00:00"/>
        <d v="2024-03-10T00:00:00"/>
        <d v="2020-03-17T00:00:00"/>
        <d v="2023-10-20T00:00:00"/>
        <d v="2020-02-01T00:00:00"/>
        <d v="2022-01-27T00:00:00"/>
        <d v="2021-03-24T00:00:00"/>
        <d v="2025-06-27T00:00:00"/>
        <d v="2024-09-26T00:00:00"/>
        <d v="2020-03-27T00:00:00"/>
        <d v="2024-11-12T00:00:00"/>
        <d v="2021-08-22T00:00:00"/>
        <d v="2024-08-09T00:00:00"/>
        <d v="2021-09-27T00:00:00"/>
        <d v="2023-06-06T00:00:00"/>
        <d v="2021-06-11T00:00:00"/>
        <d v="2021-07-13T00:00:00"/>
        <d v="2022-09-29T00:00:00"/>
        <d v="2020-01-13T00:00:00"/>
        <d v="2023-12-24T00:00:00"/>
        <d v="2020-11-07T00:00:00"/>
        <d v="2021-05-24T00:00:00"/>
        <d v="2023-12-13T00:00:00"/>
        <d v="2021-09-26T00:00:00"/>
        <d v="2023-01-24T00:00:00"/>
        <d v="2020-08-17T00:00:00"/>
        <d v="2024-12-16T00:00:00"/>
        <d v="2021-11-21T00:00:00"/>
        <d v="2020-04-26T00:00:00"/>
        <d v="2022-06-01T00:00:00"/>
        <d v="2020-01-26T00:00:00"/>
        <d v="2025-01-10T00:00:00"/>
        <d v="2024-06-23T00:00:00"/>
        <d v="2024-11-04T00:00:00"/>
        <d v="2024-03-08T00:00:00"/>
        <d v="2022-01-05T00:00:00"/>
        <d v="2022-09-13T00:00:00"/>
        <d v="2024-10-02T00:00:00"/>
        <d v="2022-12-17T00:00:00"/>
        <d v="2022-03-21T00:00:00"/>
        <d v="2023-03-26T00:00:00"/>
        <d v="2023-01-11T00:00:00"/>
        <d v="2023-07-09T00:00:00"/>
        <d v="2021-10-07T00:00:00"/>
        <d v="2022-10-24T00:00:00"/>
        <d v="2022-08-14T00:00:00"/>
        <d v="2020-02-27T00:00:00"/>
        <d v="2024-05-21T00:00:00"/>
        <d v="2021-11-03T00:00:00"/>
        <d v="2025-06-24T00:00:00"/>
        <d v="2020-09-15T00:00:00"/>
        <d v="2021-11-14T00:00:00"/>
        <d v="2022-01-02T00:00:00"/>
        <d v="2020-04-13T00:00:00"/>
        <d v="2020-12-09T00:00:00"/>
        <d v="2023-09-26T00:00:00"/>
        <d v="2023-06-09T00:00:00"/>
        <d v="2021-04-23T00:00:00"/>
        <d v="2024-01-02T00:00:00"/>
        <d v="2024-06-20T00:00:00"/>
        <d v="2022-06-05T00:00:00"/>
        <d v="2020-07-21T00:00:00"/>
        <d v="2023-06-13T00:00:00"/>
        <d v="2021-05-26T00:00:00"/>
        <d v="2025-03-17T00:00:00"/>
        <d v="2023-06-20T00:00:00"/>
        <d v="2021-02-21T00:00:00"/>
        <d v="2024-11-13T00:00:00"/>
        <d v="2024-03-14T00:00:00"/>
        <d v="2020-04-04T00:00:00"/>
        <d v="2021-07-30T00:00:00"/>
        <d v="2023-12-21T00:00:00"/>
        <d v="2021-05-10T00:00:00"/>
        <d v="2024-12-27T00:00:00"/>
        <d v="2022-10-18T00:00:00"/>
        <d v="2021-05-01T00:00:00"/>
        <d v="2021-07-14T00:00:00"/>
        <d v="2025-04-17T00:00:00"/>
        <d v="2024-05-27T00:00:00"/>
        <d v="2021-10-27T00:00:00"/>
        <d v="2024-05-13T00:00:00"/>
        <d v="2020-05-19T00:00:00"/>
        <d v="2025-03-31T00:00:00"/>
        <d v="2024-01-30T00:00:00"/>
        <d v="2023-04-24T00:00:00"/>
        <d v="2020-08-27T00:00:00"/>
        <d v="2024-10-05T00:00:00"/>
        <d v="2022-04-16T00:00:00"/>
        <d v="2021-03-21T00:00:00"/>
        <d v="2024-09-02T00:00:00"/>
        <d v="2025-02-23T00:00:00"/>
        <d v="2024-09-19T00:00:00"/>
        <d v="2023-06-08T00:00:00"/>
      </sharedItems>
      <fieldGroup base="10">
        <rangePr groupBy="months" startDate="2020-01-02T00:00:00" endDate="2025-06-28T00:00:00" groupInterval="1"/>
        <groupItems count="14">
          <s v="&lt;02.01.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.06.2025"/>
        </groupItems>
      </fieldGroup>
    </cacheField>
    <cacheField name="FIXED_LOAN_AMOUNT" numFmtId="0">
      <sharedItems containsSemiMixedTypes="0" containsString="0" containsNumber="1" minValue="0" maxValue="199825.58" count="1299">
        <n v="144802.01"/>
        <n v="79987.33"/>
        <n v="7888.64"/>
        <n v="57335.63"/>
        <n v="68276.52"/>
        <n v="5395.2"/>
        <n v="107604.16"/>
        <n v="7430.32"/>
        <n v="99322.46"/>
        <n v="14436.78"/>
        <n v="106322.24"/>
        <n v="136314.96"/>
        <n v="12025.71"/>
        <n v="11542.3"/>
        <n v="5516.51"/>
        <n v="140462.92"/>
        <n v="152095.89"/>
        <n v="3357.1"/>
        <n v="8034.19"/>
        <n v="39174.9"/>
        <n v="126399.7"/>
        <n v="28675.25"/>
        <n v="86650.25"/>
        <n v="5007.46"/>
        <n v="21487.02"/>
        <n v="131621.36"/>
        <n v="3271.66"/>
        <n v="12138.1"/>
        <n v="100872.7"/>
        <n v="39596.7"/>
        <n v="32046.48"/>
        <n v="2561.95"/>
        <n v="2079.28"/>
        <n v="16932.81"/>
        <n v="5942.55"/>
        <n v="1499.15"/>
        <n v="5904.77"/>
        <n v="10245.78"/>
        <n v="89731.63"/>
        <n v="37365.44"/>
        <n v="181409.06"/>
        <n v="20276.54"/>
        <n v="37297.23"/>
        <n v="11518.52"/>
        <n v="12261.15"/>
        <n v="3634.41"/>
        <n v="12762.83"/>
        <n v="6608.87"/>
        <n v="92837.72"/>
        <n v="36617.84"/>
        <n v="26881.9"/>
        <n v="7263.69"/>
        <n v="81588.38"/>
        <n v="167764.77"/>
        <n v="28762.12"/>
        <n v="14626.42"/>
        <n v="31037.18"/>
        <n v="6252.21"/>
        <n v="5711.66"/>
        <n v="25845.3"/>
        <n v="8070.14"/>
        <n v="9402.66"/>
        <n v="14194.57"/>
        <n v="80836.19"/>
        <n v="669.93"/>
        <n v="6977.57"/>
        <n v="99530.35"/>
        <n v="141559.21"/>
        <n v="3910.27"/>
        <n v="1452.84"/>
        <n v="5571.63"/>
        <n v="1471.05"/>
        <n v="9814.54"/>
        <n v="9701.13"/>
        <n v="7281.43"/>
        <n v="24478.57"/>
        <n v="112550.72"/>
        <n v="12971.68"/>
        <n v="156488.71"/>
        <n v="1218.62"/>
        <n v="10418.17"/>
        <n v="87041.24"/>
        <n v="34748.01"/>
        <n v="9477.37"/>
        <n v="152589"/>
        <n v="8692.15"/>
        <n v="8404.49"/>
        <n v="9594.92"/>
        <n v="7213.02"/>
        <n v="14710.22"/>
        <n v="34880.08"/>
        <n v="9608.98"/>
        <n v="37488.65"/>
        <n v="21100.83"/>
        <n v="39769.54"/>
        <n v="4202.04"/>
        <n v="170236.97"/>
        <n v="167673"/>
        <n v="11524.84"/>
        <n v="63962.45"/>
        <n v="96533.43"/>
        <n v="5945.96"/>
        <n v="3823"/>
        <n v="7771.89"/>
        <n v="75611.91"/>
        <n v="19225.29"/>
        <n v="116430.82"/>
        <n v="61352.8"/>
        <n v="7812.74"/>
        <n v="17470.31"/>
        <n v="34100.07"/>
        <n v="91194.05"/>
        <n v="155689.29"/>
        <n v="37682.93"/>
        <n v="683.07"/>
        <n v="22466"/>
        <n v="3194.41"/>
        <n v="2267.35"/>
        <n v="26436.52"/>
        <n v="3664.38"/>
        <n v="133140.39"/>
        <n v="24437.48"/>
        <n v="6646.72"/>
        <n v="112985.79"/>
        <n v="84930.96"/>
        <n v="81166.55"/>
        <n v="32467.9"/>
        <n v="27642.84"/>
        <n v="10902.81"/>
        <n v="4203.21"/>
        <n v="5555.26"/>
        <n v="148924.06"/>
        <n v="61112.79"/>
        <n v="13785.27"/>
        <n v="12671.08"/>
        <n v="3833.53"/>
        <n v="3215.77"/>
        <n v="5534.7"/>
        <n v="87582.7"/>
        <n v="36343.64"/>
        <n v="36013.33"/>
        <n v="13902.99"/>
        <n v="129031.63"/>
        <n v="9553.11"/>
        <n v="26718.5"/>
        <n v="100172.69"/>
        <n v="5894.65"/>
        <n v="3672.71"/>
        <n v="5312.65"/>
        <n v="179204.32"/>
        <n v="3503.12"/>
        <n v="10270.21"/>
        <n v="13555.59"/>
        <n v="31092.32"/>
        <n v="24408.44"/>
        <n v="3362.54"/>
        <n v="7801.22"/>
        <n v="3816.43"/>
        <n v="2396.29"/>
        <n v="33406.3"/>
        <n v="121973.78"/>
        <n v="9109.79"/>
        <n v="142347.25"/>
        <n v="134374.47"/>
        <n v="10533.98"/>
        <n v="68969.22"/>
        <n v="35972.39"/>
        <n v="143817.41"/>
        <n v="197762.12"/>
        <n v="3428.82"/>
        <n v="36010.77"/>
        <n v="118224.88"/>
        <n v="10388.88"/>
        <n v="10823.36"/>
        <n v="10959.33"/>
        <n v="117072.83"/>
        <n v="11956.17"/>
        <n v="12767.17"/>
        <n v="14770.82"/>
        <n v="3988.56"/>
        <n v="140575.17"/>
        <n v="8791.01"/>
        <n v="142529.34"/>
        <n v="10185.67"/>
        <n v="11048.12"/>
        <n v="579.32"/>
        <n v="10142.32"/>
        <n v="14659.3"/>
        <n v="14529.83"/>
        <n v="6439.51"/>
        <n v="113998.69"/>
        <n v="154008.08"/>
        <n v="131860.43"/>
        <n v="9409.18"/>
        <n v="3665.93"/>
        <n v="105774.5"/>
        <n v="35104.63"/>
        <n v="31319.17"/>
        <n v="5333.42"/>
        <n v="8283.76"/>
        <n v="107039.9"/>
        <n v="19684.69"/>
        <n v="55970.53"/>
        <n v="4932.31"/>
        <n v="35675.43"/>
        <n v="114097.28"/>
        <n v="5981.93"/>
        <n v="7926.31"/>
        <n v="6609.61"/>
        <n v="53157.89"/>
        <n v="4722.03"/>
        <n v="3916.14"/>
        <n v="102199.06"/>
        <n v="26787.07"/>
        <n v="69733.69"/>
        <n v="25875.72"/>
        <n v="35314.08"/>
        <n v="14455.59"/>
        <n v="16655.1"/>
        <n v="102733.64"/>
        <n v="45299.68"/>
        <n v="2297.4"/>
        <n v="58804.08"/>
        <n v="37777.63"/>
        <n v="34239.05"/>
        <n v="104471.53"/>
        <n v="96205.98"/>
        <n v="2189.23"/>
        <n v="13239.84"/>
        <n v="34742.13"/>
        <n v="36652.31"/>
        <n v="3175.68"/>
        <n v="31459.97"/>
        <n v="123212.38"/>
        <n v="22661.6"/>
        <n v="26116.38"/>
        <n v="7126.61"/>
        <n v="22591.65"/>
        <n v="143693.34"/>
        <n v="30299.47"/>
        <n v="7479.1"/>
        <n v="26761.9"/>
        <n v="8866.13"/>
        <n v="164653.92"/>
        <n v="11265.89"/>
        <n v="13708.09"/>
        <n v="10852.24"/>
        <n v="10456.29"/>
        <n v="97938.13"/>
        <n v="120438.05"/>
        <n v="2652.11"/>
        <n v="28534.03"/>
        <n v="9125.07"/>
        <n v="33914.13"/>
        <n v="6463.4"/>
        <n v="103443.08"/>
        <n v="5677.34"/>
        <n v="55453.13"/>
        <n v="14279.49"/>
        <n v="129447.74"/>
        <n v="19353.58"/>
        <n v="1366.97"/>
        <n v="2323.93"/>
        <n v="6929.92"/>
        <n v="6476.15"/>
        <n v="19541.6"/>
        <n v="7454.79"/>
        <n v="196397.64"/>
        <n v="9690.28"/>
        <n v="16702.7"/>
        <n v="108247.52"/>
        <n v="22850.58"/>
        <n v="136782.6"/>
        <n v="7463.65"/>
        <n v="10528"/>
        <n v="10995.06"/>
        <n v="5178.78"/>
        <n v="29570.84"/>
        <n v="6983.94"/>
        <n v="190504.92"/>
        <n v="22999.83"/>
        <n v="9493.43"/>
        <n v="9968.27"/>
        <n v="12378.26"/>
        <n v="147019.63"/>
        <n v="38647.7"/>
        <n v="23370.32"/>
        <n v="97273.35"/>
        <n v="30124.27"/>
        <n v="13968.35"/>
        <n v="989.87"/>
        <n v="5170.84"/>
        <n v="5551.14"/>
        <n v="74771.45"/>
        <n v="18097.61"/>
        <n v="149744.92"/>
        <n v="3990.76"/>
        <n v="122303.84"/>
        <n v="189769.17"/>
        <n v="15569.04"/>
        <n v="5397.14"/>
        <n v="10625.93"/>
        <n v="114544.81"/>
        <n v="1393.53"/>
        <n v="5234.17"/>
        <n v="1193.97"/>
        <n v="8379.26"/>
        <n v="199518.3"/>
        <n v="13707.49"/>
        <n v="77549.67"/>
        <n v="13005.07"/>
        <n v="14301.16"/>
        <n v="188229.87"/>
        <n v="55371.12"/>
        <n v="6092.29"/>
        <n v="26940.61"/>
        <n v="10277.17"/>
        <n v="186480.07"/>
        <n v="7595.42"/>
        <n v="6237.09"/>
        <n v="190588.34"/>
        <n v="1167.95"/>
        <n v="57263.66"/>
        <n v="92571.67"/>
        <n v="35107.93"/>
        <n v="1521.84"/>
        <n v="5699.16"/>
        <n v="7518.82"/>
        <n v="19060.86"/>
        <n v="3350.79"/>
        <n v="156318.47"/>
        <n v="13432.48"/>
        <n v="172392.44"/>
        <n v="61820.3"/>
        <n v="26328.41"/>
        <n v="29403.09"/>
        <n v="25626.88"/>
        <n v="168138.77"/>
        <n v="111158.27"/>
        <n v="14637.47"/>
        <n v="9175.25"/>
        <n v="742.71"/>
        <n v="113319.92"/>
        <n v="2635.27"/>
        <n v="23700.24"/>
        <n v="39656.74"/>
        <n v="38792.43"/>
        <n v="31012.87"/>
        <n v="62414.31"/>
        <n v="78313.07"/>
        <n v="13984.93"/>
        <n v="162142.34"/>
        <n v="2008.49"/>
        <n v="111623.82"/>
        <n v="14259.48"/>
        <n v="85827.36"/>
        <n v="2333.26"/>
        <n v="6311.69"/>
        <n v="15770.37"/>
        <n v="115093.36"/>
        <n v="151370.92"/>
        <n v="19098.14"/>
        <n v="32867.8"/>
        <n v="8422.95"/>
        <n v="23435.12"/>
        <n v="79617.78"/>
        <n v="11215.11"/>
        <n v="38182.87"/>
        <n v="32077.21"/>
        <n v="3583.85"/>
        <n v="35537.05"/>
        <n v="17249.14"/>
        <n v="13146.39"/>
        <n v="107354.22"/>
        <n v="150083.09"/>
        <n v="21791.23"/>
        <n v="21052.6"/>
        <n v="8176"/>
        <n v="1409.7"/>
        <n v="12576.49"/>
        <n v="120198.94"/>
        <n v="7187.51"/>
        <n v="24855.48"/>
        <n v="8712.73"/>
        <n v="14727.9"/>
        <n v="109733.12"/>
        <n v="10376.49"/>
        <n v="4813.03"/>
        <n v="10452.65"/>
        <n v="11013.6"/>
        <n v="83098.69"/>
        <n v="16093.56"/>
        <n v="91976.84"/>
        <n v="2976.39"/>
        <n v="8588.45"/>
        <n v="3924.4"/>
        <n v="23986.76"/>
        <n v="87721.45"/>
        <n v="1835.63"/>
        <n v="9327.42"/>
        <n v="136537.78"/>
        <n v="5425.68"/>
        <n v="113552.99"/>
        <n v="98570.71"/>
        <n v="2631.83"/>
        <n v="5023.28"/>
        <n v="116235.83"/>
        <n v="100945.66"/>
        <n v="14861.82"/>
        <n v="1727.59"/>
        <n v="183609.9"/>
        <n v="96093.4"/>
        <n v="91626.03"/>
        <n v="36808.45"/>
        <n v="30033.06"/>
        <n v="122727.35"/>
        <n v="113706.49"/>
        <n v="12899.39"/>
        <n v="13361.86"/>
        <n v="57572.84"/>
        <n v="147457.61"/>
        <n v="100127.23"/>
        <n v="18404.16"/>
        <n v="105382.23"/>
        <n v="14527.45"/>
        <n v="849.58"/>
        <n v="85077.35"/>
        <n v="189672.93"/>
        <n v="27921.81"/>
        <n v="7758.36"/>
        <n v="149706"/>
        <n v="20560.68"/>
        <n v="132955.18"/>
        <n v="46509.46"/>
        <n v="2242.67"/>
        <n v="187835.28"/>
        <n v="30530.18"/>
        <n v="8141.01"/>
        <n v="6725.73"/>
        <n v="98729.56"/>
        <n v="6884.57"/>
        <n v="8192.75"/>
        <n v="5590.36"/>
        <n v="149639.1"/>
        <n v="7877.82"/>
        <n v="14999.82"/>
        <n v="56838.94"/>
        <n v="12913.36"/>
        <n v="7285.76"/>
        <n v="6433.75"/>
        <n v="8026.2"/>
        <n v="7926.19"/>
        <n v="79806.12"/>
        <n v="13704.46"/>
        <n v="5738.34"/>
        <n v="14503.71"/>
        <n v="25843.26"/>
        <n v="2141.85"/>
        <n v="2571.2"/>
        <n v="193228.89"/>
        <n v="32468.18"/>
        <n v="8157.91"/>
        <n v="61860.9"/>
        <n v="3666.28"/>
        <n v="154993.13"/>
        <n v="14937.71"/>
        <n v="37409.77"/>
        <n v="27814"/>
        <n v="13442.32"/>
        <n v="2044.72"/>
        <n v="32982.03"/>
        <n v="28265.94"/>
        <n v="2452.34"/>
        <n v="88037.08"/>
        <n v="7629.45"/>
        <n v="10245.75"/>
        <n v="44907.6"/>
        <n v="3429.86"/>
        <n v="64935.8"/>
        <n v="173197.56"/>
        <n v="32677.23"/>
        <n v="82621.44"/>
        <n v="35765.16"/>
        <n v="2502.34"/>
        <n v="29291.4"/>
        <n v="3152.26"/>
        <n v="9330.55"/>
        <n v="12199.67"/>
        <n v="165169.6"/>
        <n v="10174.98"/>
        <n v="182691.36"/>
        <n v="13916.72"/>
        <n v="141258.85"/>
        <n v="22121.03"/>
        <n v="6668.75"/>
        <n v="14334.83"/>
        <n v="36334.81"/>
        <n v="27745.42"/>
        <n v="99130.05"/>
        <n v="11517.18"/>
        <n v="2213.62"/>
        <n v="708.57"/>
        <n v="39521.04"/>
        <n v="97109.45"/>
        <n v="19620.98"/>
        <n v="19889.42"/>
        <n v="101976.77"/>
        <n v="63699.8"/>
        <n v="36550.12"/>
        <n v="35886.69"/>
        <n v="27213.44"/>
        <n v="129109.15"/>
        <n v="101727.13"/>
        <n v="125307.44"/>
        <n v="5360.38"/>
        <n v="27483.96"/>
        <n v="89850.45"/>
        <n v="13885.08"/>
        <n v="37874.38"/>
        <n v="32073.81"/>
        <n v="1147.93"/>
        <n v="37090.39"/>
        <n v="3286.37"/>
        <n v="22727.17"/>
        <n v="3527.72"/>
        <n v="2035.73"/>
        <n v="10004.13"/>
        <n v="72416.86"/>
        <n v="22019.8"/>
        <n v="2595.35"/>
        <n v="14769.74"/>
        <n v="167831.77"/>
        <n v="9563.88"/>
        <n v="199498.07"/>
        <n v="32802"/>
        <n v="16992.19"/>
        <n v="110255.4"/>
        <n v="1530.75"/>
        <n v="77242.63"/>
        <n v="12528.13"/>
        <n v="88058.38"/>
        <n v="13469.08"/>
        <n v="6673.94"/>
        <n v="3552.66"/>
        <n v="9555"/>
        <n v="27832.25"/>
        <n v="51115.16"/>
        <n v="61858.27"/>
        <n v="63694.48"/>
        <n v="134340.78"/>
        <n v="71980.51"/>
        <n v="5585.34"/>
        <n v="95295.96"/>
        <n v="194961.19"/>
        <n v="31090.94"/>
        <n v="1607.28"/>
        <n v="4710.18"/>
        <n v="115608.51"/>
        <n v="89742.01"/>
        <n v="6170.29"/>
        <n v="13608.15"/>
        <n v="112112.83"/>
        <n v="4468.87"/>
        <n v="880.47"/>
        <n v="24720.94"/>
        <n v="137823.71"/>
        <n v="103464.02"/>
        <n v="582.25"/>
        <n v="103559.9"/>
        <n v="125290.4"/>
        <n v="19743.18"/>
        <n v="39109.22"/>
        <n v="39479.64"/>
        <n v="197270.93"/>
        <n v="76585.92"/>
        <n v="3135.21"/>
        <n v="87710.73"/>
        <n v="31179.62"/>
        <n v="64354.52"/>
        <n v="16172.53"/>
        <n v="85345.54"/>
        <n v="73945.92"/>
        <n v="4044.33"/>
        <n v="12118.22"/>
        <n v="177715.77"/>
        <n v="2084.63"/>
        <n v="7574.87"/>
        <n v="3149.56"/>
        <n v="131669.6"/>
        <n v="133336.09"/>
        <n v="8059.97"/>
        <n v="196246.94"/>
        <n v="49895"/>
        <n v="35391.49"/>
        <n v="55039.13"/>
        <n v="12974.6"/>
        <n v="25460.64"/>
        <n v="1114.55"/>
        <n v="55769.19"/>
        <n v="33773.71"/>
        <n v="1699.59"/>
        <n v="14643.41"/>
        <n v="1386.89"/>
        <n v="18885.26"/>
        <n v="124536.98"/>
        <n v="194566.98"/>
        <n v="8414.1"/>
        <n v="4206.28"/>
        <n v="30544.64"/>
        <n v="778.95"/>
        <n v="109719.1"/>
        <n v="35788.19"/>
        <n v="80363.56"/>
        <n v="12542.7"/>
        <n v="13247.46"/>
        <n v="7579.69"/>
        <n v="97130.03"/>
        <n v="51292.23"/>
        <n v="31877.7"/>
        <n v="69186.91"/>
        <n v="14345.28"/>
        <n v="91057.31"/>
        <n v="3531.25"/>
        <n v="2039.78"/>
        <n v="29879.78"/>
        <n v="8143.71"/>
        <n v="17638.58"/>
        <n v="193333.15"/>
        <n v="45363.59"/>
        <n v="132730.44"/>
        <n v="140005.61"/>
        <n v="147609.96"/>
        <n v="61605.36"/>
        <n v="149318.05"/>
        <n v="6423.15"/>
        <n v="1280.77"/>
        <n v="146876.81"/>
        <n v="125793.5"/>
        <n v="64755.13"/>
        <n v="172199.02"/>
        <n v="11570.23"/>
        <n v="37408.81"/>
        <n v="20913.37"/>
        <n v="7802.35"/>
        <n v="4264.04"/>
        <n v="14242.6"/>
        <n v="4509.47"/>
        <n v="12782.51"/>
        <n v="1910.04"/>
        <n v="138402.04"/>
        <n v="154211.85"/>
        <n v="2789.52"/>
        <n v="32388.89"/>
        <n v="13572"/>
        <n v="89725.91"/>
        <n v="78923.82"/>
        <n v="8041.34"/>
        <n v="25588.86"/>
        <n v="111732.9"/>
        <n v="134901.53"/>
        <n v="135456.99"/>
        <n v="36138.61"/>
        <n v="13223.72"/>
        <n v="58114.68"/>
        <n v="7936.92"/>
        <n v="189088.4"/>
        <n v="10709.15"/>
        <n v="9086.41"/>
        <n v="100566.93"/>
        <n v="22269.01"/>
        <n v="1486.47"/>
        <n v="129314.31"/>
        <n v="28395.56"/>
        <n v="28124.9"/>
        <n v="113521.57"/>
        <n v="13650.39"/>
        <n v="4155.1"/>
        <n v="24065.89"/>
        <n v="19935.6"/>
        <n v="18995.13"/>
        <n v="29551.1"/>
        <n v="24311.86"/>
        <n v="14600.76"/>
        <n v="142681.28"/>
        <n v="55896.51"/>
        <n v="7862.75"/>
        <n v="22833.73"/>
        <n v="8650.81"/>
        <n v="9745.88"/>
        <n v="80769.6"/>
        <n v="33799.54"/>
        <n v="9617.26"/>
        <n v="39740.81"/>
        <n v="8664.71"/>
        <n v="102908.3"/>
        <n v="86033.72"/>
        <n v="14344.48"/>
        <n v="12769.49"/>
        <n v="145530.71"/>
        <n v="100434.83"/>
        <n v="91309.95"/>
        <n v="121697.23"/>
        <n v="17496.36"/>
        <n v="8077.29"/>
        <n v="185339.43"/>
        <n v="188791.09"/>
        <n v="88367.47"/>
        <n v="6548.08"/>
        <n v="12953.37"/>
        <n v="23427.22"/>
        <n v="5519.03"/>
        <n v="58812.04"/>
        <n v="2120.93"/>
        <n v="51200.65"/>
        <n v="61890.88"/>
        <n v="151819.78"/>
        <n v="20124.24"/>
        <n v="1108.82"/>
        <n v="30340.6"/>
        <n v="91691.41"/>
        <n v="39780.37"/>
        <n v="5503.33"/>
        <n v="34695.41"/>
        <n v="9457.07"/>
        <n v="7693.49"/>
        <n v="21778.67"/>
        <n v="32880.19"/>
        <n v="139582.02"/>
        <n v="192733.87"/>
        <n v="131543.75"/>
        <n v="107237.42"/>
        <n v="125917.39"/>
        <n v="21571.45"/>
        <n v="190191.4"/>
        <n v="196819.45"/>
        <n v="22645.6"/>
        <n v="14548.26"/>
        <n v="690.39"/>
        <n v="52956.77"/>
        <n v="129223.76"/>
        <n v="6261.26"/>
        <n v="199825.58"/>
        <n v="23276.38"/>
        <n v="61959.36"/>
        <n v="36312.35"/>
        <n v="2460.3"/>
        <n v="17210.59"/>
        <n v="7247.45"/>
        <n v="6440.61"/>
        <n v="7820.62"/>
        <n v="12768.02"/>
        <n v="10553.12"/>
        <n v="114063.73"/>
        <n v="127917.34"/>
        <n v="3347.15"/>
        <n v="8462.23"/>
        <n v="114238.5"/>
        <n v="13612.5"/>
        <n v="29956.22"/>
        <n v="9029.55"/>
        <n v="7789.47"/>
        <n v="35815.5"/>
        <n v="2581.91"/>
        <n v="14096.14"/>
        <n v="109535.96"/>
        <n v="23908.71"/>
        <n v="144140.39"/>
        <n v="17379.81"/>
        <n v="39799.62"/>
        <n v="119786.72"/>
        <n v="8868.43"/>
        <n v="10660.36"/>
        <n v="9599.5"/>
        <n v="92825.93"/>
        <n v="117561.09"/>
        <n v="6578.31"/>
        <n v="15217.92"/>
        <n v="25557.48"/>
        <n v="4688.64"/>
        <n v="7626.7"/>
        <n v="33566.31"/>
        <n v="13931.06"/>
        <n v="126625.71"/>
        <n v="29833.81"/>
        <n v="11041.32"/>
        <n v="82286.22"/>
        <n v="36808.82"/>
        <n v="38705.02"/>
        <n v="12787.15"/>
        <n v="5190.52"/>
        <n v="9156.15"/>
        <n v="151515.39"/>
        <n v="18274.06"/>
        <n v="11715.79"/>
        <n v="3217.27"/>
        <n v="23010.24"/>
        <n v="196430.32"/>
        <n v="10669.63"/>
        <n v="14205.21"/>
        <n v="17050.61"/>
        <n v="3795.54"/>
        <n v="82104.27"/>
        <n v="120393.58"/>
        <n v="28972.62"/>
        <n v="32174.13"/>
        <n v="62315.24"/>
        <n v="190970.02"/>
        <n v="79379.01"/>
        <n v="4516.24"/>
        <n v="2368.64"/>
        <n v="27046.23"/>
        <n v="38441.65"/>
        <n v="117274.3"/>
        <n v="39870.52"/>
        <n v="9364.83"/>
        <n v="9247.33"/>
        <n v="35072.77"/>
        <n v="3150.54"/>
        <n v="164571.85"/>
        <n v="82698.38"/>
        <n v="5501.88"/>
        <n v="80436.15"/>
        <n v="2884.83"/>
        <n v="11045"/>
        <n v="9279.05"/>
        <n v="49731.75"/>
        <n v="27741.64"/>
        <n v="27893.46"/>
        <n v="9800.12"/>
        <n v="138727.68"/>
        <n v="14233.44"/>
        <n v="59233.34"/>
        <n v="17118.71"/>
        <n v="39053.5"/>
        <n v="30689.01"/>
        <n v="23286.73"/>
        <n v="19163.96"/>
        <n v="26813.91"/>
        <n v="14627.79"/>
        <n v="4323.97"/>
        <n v="28347.36"/>
        <n v="105227.01"/>
        <n v="14574.66"/>
        <n v="99051.25"/>
        <n v="73179.73"/>
        <n v="134653.55"/>
        <n v="18117.26"/>
        <n v="9120.98"/>
        <n v="26307.93"/>
        <n v="5842.47"/>
        <n v="16792.38"/>
        <n v="80933.46"/>
        <n v="64608.91"/>
        <n v="5991.42"/>
        <n v="5337.09"/>
        <n v="7994.88"/>
        <n v="30363.04"/>
        <n v="13641.19"/>
        <n v="5243.87"/>
        <n v="39234.36"/>
        <n v="5909.87"/>
        <n v="7165.33"/>
        <n v="14985.84"/>
        <n v="27637.47"/>
        <n v="34888.31"/>
        <n v="18971.99"/>
        <n v="146758.09"/>
        <n v="68785.86"/>
        <n v="37905.82"/>
        <n v="12445.22"/>
        <n v="135541.11"/>
        <n v="11603.47"/>
        <n v="75182.79"/>
        <n v="36450.01"/>
        <n v="12050.15"/>
        <n v="5007.57"/>
        <n v="32624.3"/>
        <n v="4168.46"/>
        <n v="10719.28"/>
        <n v="192275.44"/>
        <n v="8181.98"/>
        <n v="31659.43"/>
        <n v="10557.69"/>
        <n v="190430.06"/>
        <n v="22817.89"/>
        <n v="5004.62"/>
        <n v="26612.99"/>
        <n v="97320.42"/>
        <n v="46314.12"/>
        <n v="74219.05"/>
        <n v="101841.11"/>
        <n v="112414.21"/>
        <n v="9852.48"/>
        <n v="9613.32"/>
        <n v="22545.27"/>
        <n v="4943.51"/>
        <n v="166728.52"/>
        <n v="13710.02"/>
        <n v="4855.25"/>
        <n v="8262.88"/>
        <n v="76648.43"/>
        <n v="18401.46"/>
        <n v="144895.27"/>
        <n v="9656.65"/>
        <n v="18995.71"/>
        <n v="33071.79"/>
        <n v="11890.3"/>
        <n v="9730.85"/>
        <n v="93452.04"/>
        <n v="5319.83"/>
        <n v="13052.85"/>
        <n v="37023.28"/>
        <n v="2393.28"/>
        <n v="7101.4"/>
        <n v="98114.94"/>
        <n v="64822.93"/>
        <n v="1974.92"/>
        <n v="197391.39"/>
        <n v="8176.73"/>
        <n v="2906.29"/>
        <n v="14763.98"/>
        <n v="5179.3"/>
        <n v="1755.19"/>
        <n v="54447.01"/>
        <n v="7868.34"/>
        <n v="90948"/>
        <n v="39948.35"/>
        <n v="9676.39"/>
        <n v="21989.01"/>
        <n v="84894.79"/>
        <n v="4255.57"/>
        <n v="15209.96"/>
        <n v="101545.57"/>
        <n v="14698.87"/>
        <n v="93089.99"/>
        <n v="2339.87"/>
        <n v="57447.94"/>
        <n v="8141.19"/>
        <n v="5440.43"/>
        <n v="10035.29"/>
        <n v="76645.38"/>
        <n v="685.04"/>
        <n v="26299.85"/>
        <n v="2557.48"/>
        <n v="22392.77"/>
        <n v="19753.48"/>
        <n v="38757.97"/>
        <n v="6573.58"/>
        <n v="24924.85"/>
        <n v="10696.82"/>
        <n v="188534.87"/>
        <n v="15967.26"/>
        <n v="31966.28"/>
        <n v="29044.95"/>
        <n v="15625.11"/>
        <n v="11861.23"/>
        <n v="104853.3"/>
        <n v="1743.21"/>
        <n v="14363.26"/>
        <n v="2873.3"/>
        <n v="14390.36"/>
        <n v="3356.59"/>
        <n v="4938.31"/>
        <n v="3548.65"/>
        <n v="10854.54"/>
        <n v="11931.08"/>
        <n v="1262.77"/>
        <n v="3459.58"/>
        <n v="3876.3"/>
        <n v="144704.83"/>
        <n v="57076.09"/>
        <n v="129511.5"/>
        <n v="10099.75"/>
        <n v="7070.88"/>
        <n v="5464.15"/>
        <n v="149071.54"/>
        <n v="30665.71"/>
        <n v="174780.9"/>
        <n v="828.53"/>
        <n v="149465.18"/>
        <n v="18130.67"/>
        <n v="7475.56"/>
        <n v="4253.3"/>
        <n v="10272.68"/>
        <n v="57835.72"/>
        <n v="7544.84"/>
        <n v="148081.85"/>
        <n v="1138.9"/>
        <n v="7128.01"/>
        <n v="1671.65"/>
        <n v="13746.11"/>
        <n v="153548.8"/>
        <n v="91758.06"/>
        <n v="19865.16"/>
        <n v="17426.09"/>
        <n v="169031.05"/>
        <n v="1861.61"/>
        <n v="128771.61"/>
        <n v="37545.23"/>
        <n v="171066.27"/>
        <n v="25807.53"/>
        <n v="39655.36"/>
        <n v="88708.99"/>
        <n v="13161.12"/>
        <n v="94076.26"/>
        <n v="37975.35"/>
        <n v="2184.03"/>
        <n v="144807.37"/>
        <n v="101267.01"/>
        <n v="50900.31"/>
        <n v="141396.62"/>
        <n v="17286.57"/>
        <n v="5059.56"/>
        <n v="119266.88"/>
        <n v="15947.25"/>
        <n v="11067.77"/>
        <n v="33464.15"/>
        <n v="547.41"/>
        <n v="5168.1"/>
        <n v="133551.57"/>
        <n v="13136.95"/>
        <n v="3012.34"/>
        <n v="135042.69"/>
        <n v="2942.65"/>
        <n v="6816.88"/>
        <n v="88832.17"/>
        <n v="194496.68"/>
        <n v="8676.21"/>
        <n v="33814.05"/>
        <n v="57502.63"/>
        <n v="146702.97"/>
        <n v="24707.07"/>
        <n v="4697.17"/>
        <n v="26255.37"/>
        <n v="3701.82"/>
        <n v="38718.66"/>
        <n v="118684.22"/>
        <n v="4012.33"/>
        <n v="13663.6"/>
        <n v="18546.87"/>
        <n v="7972.09"/>
        <n v="12831.02"/>
        <n v="8948.58"/>
        <n v="6958.27"/>
        <n v="26780.71"/>
        <n v="138356.75"/>
        <n v="199763.33"/>
        <n v="24621.89"/>
        <n v="20365.81"/>
        <n v="56883.47"/>
        <n v="8463.72"/>
        <n v="32828.37"/>
        <n v="145550.8"/>
        <n v="6035.31"/>
        <n v="5334.64"/>
        <n v="13912.69"/>
        <n v="152434.27"/>
        <n v="3771.32"/>
        <n v="31115.44"/>
        <n v="3240.71"/>
        <n v="95485.57"/>
        <n v="118125.17"/>
        <n v="176426.84"/>
        <n v="24149.51"/>
        <n v="145127.96"/>
        <n v="4075.89"/>
        <n v="104416.1"/>
        <n v="33853.1"/>
        <n v="38198.81"/>
        <n v="11089.7"/>
        <n v="140532.71"/>
        <n v="25179.81"/>
        <n v="16820.11"/>
        <n v="17141.5"/>
        <n v="664.45"/>
        <n v="151528.99"/>
        <n v="9965.05"/>
        <n v="26231.07"/>
        <n v="35877.6"/>
        <n v="31408.17"/>
        <n v="23399.9"/>
        <n v="3881.41"/>
        <n v="11670.45"/>
        <n v="4423.67"/>
        <n v="5096.92"/>
        <n v="52153.4"/>
        <n v="1266.27"/>
        <n v="16662.44"/>
        <n v="157592.58"/>
        <n v="67826.8"/>
        <n v="8928.01"/>
        <n v="79629.62"/>
        <n v="75000.89"/>
        <n v="114341.2"/>
        <n v="5195.82"/>
        <n v="4805.76"/>
        <n v="86062.2"/>
        <n v="101469.26"/>
        <n v="120209.7"/>
        <n v="10050.36"/>
        <n v="36264.45"/>
        <n v="7697.61"/>
        <n v="59051.04"/>
        <n v="128527.35"/>
        <n v="33472.2"/>
        <n v="83856.21"/>
        <n v="121946.46"/>
        <n v="6694.92"/>
        <n v="133047.42"/>
        <n v="145529.64"/>
        <n v="9879.76"/>
        <n v="102312.4"/>
        <n v="70635.58"/>
        <n v="69536.64"/>
        <n v="8368.26"/>
        <n v="74245.27"/>
        <n v="3000.12"/>
        <n v="109269.17"/>
        <n v="7954.24"/>
        <n v="72203.04"/>
        <n v="109012.16"/>
        <n v="3723.32"/>
        <n v="44298.56"/>
        <n v="176944"/>
        <n v="159515.08"/>
        <n v="10329.68"/>
        <n v="30071.86"/>
        <n v="26805.41"/>
        <n v="140201.08"/>
        <n v="35306.16"/>
        <n v="8504.55"/>
        <n v="18168.63"/>
        <n v="9456.42"/>
        <n v="78237.47"/>
        <n v="11860.45"/>
        <n v="1697.42"/>
        <n v="1364.1"/>
        <n v="10084.4"/>
        <n v="2337.77"/>
        <n v="23396.17"/>
        <n v="4005.61"/>
        <n v="30830.58"/>
        <n v="8376.02"/>
        <n v="9207.61"/>
        <n v="75275.39"/>
        <n v="148628.82"/>
        <n v="31432.82"/>
        <n v="887.49"/>
        <n v="9052.98"/>
        <n v="22007.18"/>
        <n v="28970.69"/>
        <n v="11944.06"/>
        <n v="123028.42"/>
        <n v="7365.85"/>
        <n v="2610.01"/>
        <n v="24619.6"/>
        <n v="14025.74"/>
        <n v="15596.86"/>
        <n v="187799.62"/>
        <n v="53892.29"/>
        <n v="34403.9"/>
        <n v="1189.14"/>
        <n v="22059.84"/>
        <n v="24333.7"/>
        <n v="41402.33"/>
        <n v="8077.01"/>
        <n v="13059"/>
        <n v="6816.96"/>
        <n v="50832.71"/>
        <n v="18616.01"/>
        <n v="8614.91"/>
        <n v="150375.48"/>
        <n v="160831.71"/>
        <n v="38084.25"/>
        <n v="7842.2"/>
        <n v="3545.48"/>
        <n v="1899.7"/>
        <n v="4872.53"/>
        <n v="32181.92"/>
        <n v="150493.28"/>
        <n v="94114.46"/>
        <n v="6005.53"/>
        <n v="115887.17"/>
        <n v="39726.64"/>
        <n v="27837.96"/>
        <n v="23577.4"/>
        <n v="101634.28"/>
        <n v="6454.28"/>
        <n v="22040.05"/>
        <n v="141204.95"/>
        <n v="137799.35"/>
        <n v="9519.45"/>
        <n v="26346.69"/>
        <n v="8844.23"/>
        <n v="4291.67"/>
        <n v="32991.22"/>
        <n v="3428.45"/>
        <n v="5893.16"/>
        <n v="5198.11"/>
        <n v="111847.73"/>
        <n v="160064.43"/>
        <n v="31956.31"/>
        <n v="9248.38"/>
        <n v="140006.63"/>
        <n v="31613.06"/>
        <n v="21291.32"/>
        <n v="35909.38"/>
        <n v="19119.6"/>
        <n v="14877.8"/>
        <n v="20588.13"/>
        <n v="169294.43"/>
        <n v="179600.99"/>
        <n v="4074.17"/>
        <n v="83844.06"/>
        <n v="2495.49"/>
        <n v="12973.89"/>
        <n v="197364.71"/>
        <n v="4529.73"/>
        <n v="61447.38"/>
        <n v="136080.9"/>
        <n v="30500.36"/>
        <n v="11896.31"/>
        <n v="28939.96"/>
        <n v="7371.95"/>
        <n v="85195.04"/>
        <n v="7376.95"/>
        <n v="61133.46"/>
        <n v="35777.74"/>
        <n v="3024.87"/>
        <n v="174747.97"/>
        <n v="7726.03"/>
        <n v="9144.4"/>
        <n v="1854.97"/>
        <n v="2276.22"/>
        <n v="177907.48"/>
        <n v="35103.03"/>
        <n v="679.38"/>
        <n v="1986.33"/>
        <n v="164397.95"/>
        <n v="138045.1"/>
        <n v="4039.9"/>
        <n v="136195.26"/>
        <n v="100739.02"/>
        <n v="1132.85"/>
        <n v="18330.34"/>
        <n v="100593.21"/>
        <n v="32309.41"/>
        <n v="35781.1"/>
        <n v="13564.42"/>
        <n v="19564.73"/>
        <n v="3943.28"/>
        <n v="84010.35"/>
        <n v="33393.14"/>
        <n v="5584.34"/>
        <n v="10337.89"/>
        <n v="7073.44"/>
        <n v="12059.01"/>
        <n v="7769.25"/>
        <n v="25080.56"/>
        <n v="58125.73"/>
        <n v="11040.96"/>
        <n v="99309.04"/>
        <n v="2857.18"/>
        <n v="33987.52"/>
        <n v="80109.35"/>
        <n v="13074.92"/>
        <n v="8579.59"/>
        <n v="129398.2"/>
        <n v="19239.64"/>
        <n v="12621.11"/>
        <n v="14461.26"/>
        <n v="31361.61"/>
        <n v="6288.42"/>
        <n v="27191.78"/>
        <n v="21196.51"/>
        <n v="176697.54"/>
        <n v="7151.41"/>
        <n v="32700.24"/>
        <n v="11425.33"/>
        <n v="3300.77"/>
        <n v="22208.2"/>
        <n v="11459.17"/>
        <n v="8433.45"/>
        <n v="125418.86"/>
        <n v="110739.5"/>
        <n v="96755.41"/>
        <n v="78957.32"/>
        <n v="9511.81"/>
        <n v="6868.99"/>
        <n v="4238.11"/>
        <n v="8984.08"/>
        <n v="58680.12"/>
        <n v="112097.64"/>
        <n v="1771.08"/>
        <n v="4495.15"/>
        <n v="35280.97"/>
        <n v="52428.71"/>
        <n v="9348.2"/>
        <n v="69139.55"/>
      </sharedItems>
    </cacheField>
    <cacheField name="Years (FIXED-START_DATE)" numFmtId="0" databaseField="0">
      <fieldGroup base="10">
        <rangePr groupBy="years" startDate="2020-01-02T00:00:00" endDate="2025-06-28T00:00:00" groupInterval="1"/>
        <groupItems count="8">
          <s v="&lt;02.01.2020"/>
          <s v="2020"/>
          <s v="2021"/>
          <s v="2022"/>
          <s v="2023"/>
          <s v="2024"/>
          <s v="2025"/>
          <s v="&gt;28.06.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0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0"/>
    <x v="0"/>
  </r>
  <r>
    <x v="2"/>
    <x v="2"/>
    <x v="2"/>
    <x v="1"/>
    <x v="2"/>
    <x v="2"/>
    <x v="2"/>
    <x v="2"/>
    <x v="0"/>
    <x v="1"/>
  </r>
  <r>
    <x v="3"/>
    <x v="3"/>
    <x v="3"/>
    <x v="1"/>
    <x v="0"/>
    <x v="3"/>
    <x v="3"/>
    <x v="3"/>
    <x v="0"/>
    <x v="2"/>
  </r>
  <r>
    <x v="4"/>
    <x v="4"/>
    <x v="4"/>
    <x v="1"/>
    <x v="2"/>
    <x v="1"/>
    <x v="4"/>
    <x v="4"/>
    <x v="0"/>
    <x v="0"/>
  </r>
  <r>
    <x v="5"/>
    <x v="5"/>
    <x v="5"/>
    <x v="1"/>
    <x v="2"/>
    <x v="1"/>
    <x v="5"/>
    <x v="5"/>
    <x v="1"/>
    <x v="0"/>
  </r>
  <r>
    <x v="6"/>
    <x v="6"/>
    <x v="6"/>
    <x v="0"/>
    <x v="2"/>
    <x v="2"/>
    <x v="6"/>
    <x v="6"/>
    <x v="0"/>
    <x v="2"/>
  </r>
  <r>
    <x v="7"/>
    <x v="7"/>
    <x v="7"/>
    <x v="1"/>
    <x v="2"/>
    <x v="2"/>
    <x v="7"/>
    <x v="7"/>
    <x v="0"/>
    <x v="0"/>
  </r>
  <r>
    <x v="8"/>
    <x v="8"/>
    <x v="8"/>
    <x v="1"/>
    <x v="1"/>
    <x v="2"/>
    <x v="8"/>
    <x v="8"/>
    <x v="1"/>
    <x v="0"/>
  </r>
  <r>
    <x v="9"/>
    <x v="9"/>
    <x v="9"/>
    <x v="1"/>
    <x v="1"/>
    <x v="3"/>
    <x v="9"/>
    <x v="9"/>
    <x v="0"/>
    <x v="1"/>
  </r>
  <r>
    <x v="10"/>
    <x v="10"/>
    <x v="10"/>
    <x v="1"/>
    <x v="2"/>
    <x v="1"/>
    <x v="10"/>
    <x v="10"/>
    <x v="1"/>
    <x v="1"/>
  </r>
  <r>
    <x v="11"/>
    <x v="11"/>
    <x v="11"/>
    <x v="0"/>
    <x v="1"/>
    <x v="4"/>
    <x v="11"/>
    <x v="11"/>
    <x v="0"/>
    <x v="1"/>
  </r>
  <r>
    <x v="12"/>
    <x v="12"/>
    <x v="12"/>
    <x v="0"/>
    <x v="1"/>
    <x v="3"/>
    <x v="12"/>
    <x v="12"/>
    <x v="0"/>
    <x v="0"/>
  </r>
  <r>
    <x v="13"/>
    <x v="1"/>
    <x v="1"/>
    <x v="0"/>
    <x v="1"/>
    <x v="1"/>
    <x v="13"/>
    <x v="13"/>
    <x v="2"/>
    <x v="3"/>
  </r>
  <r>
    <x v="14"/>
    <x v="13"/>
    <x v="13"/>
    <x v="0"/>
    <x v="1"/>
    <x v="5"/>
    <x v="14"/>
    <x v="14"/>
    <x v="1"/>
    <x v="1"/>
  </r>
  <r>
    <x v="15"/>
    <x v="14"/>
    <x v="14"/>
    <x v="1"/>
    <x v="2"/>
    <x v="5"/>
    <x v="15"/>
    <x v="15"/>
    <x v="0"/>
    <x v="0"/>
  </r>
  <r>
    <x v="16"/>
    <x v="15"/>
    <x v="15"/>
    <x v="1"/>
    <x v="0"/>
    <x v="2"/>
    <x v="16"/>
    <x v="16"/>
    <x v="1"/>
    <x v="0"/>
  </r>
  <r>
    <x v="17"/>
    <x v="16"/>
    <x v="16"/>
    <x v="1"/>
    <x v="2"/>
    <x v="5"/>
    <x v="17"/>
    <x v="17"/>
    <x v="1"/>
    <x v="1"/>
  </r>
  <r>
    <x v="18"/>
    <x v="17"/>
    <x v="17"/>
    <x v="0"/>
    <x v="0"/>
    <x v="5"/>
    <x v="18"/>
    <x v="18"/>
    <x v="0"/>
    <x v="2"/>
  </r>
  <r>
    <x v="19"/>
    <x v="18"/>
    <x v="18"/>
    <x v="1"/>
    <x v="2"/>
    <x v="4"/>
    <x v="19"/>
    <x v="19"/>
    <x v="0"/>
    <x v="0"/>
  </r>
  <r>
    <x v="20"/>
    <x v="19"/>
    <x v="19"/>
    <x v="1"/>
    <x v="0"/>
    <x v="3"/>
    <x v="20"/>
    <x v="20"/>
    <x v="2"/>
    <x v="3"/>
  </r>
  <r>
    <x v="21"/>
    <x v="20"/>
    <x v="20"/>
    <x v="0"/>
    <x v="2"/>
    <x v="6"/>
    <x v="21"/>
    <x v="21"/>
    <x v="0"/>
    <x v="2"/>
  </r>
  <r>
    <x v="22"/>
    <x v="21"/>
    <x v="21"/>
    <x v="0"/>
    <x v="1"/>
    <x v="5"/>
    <x v="22"/>
    <x v="22"/>
    <x v="2"/>
    <x v="3"/>
  </r>
  <r>
    <x v="23"/>
    <x v="22"/>
    <x v="22"/>
    <x v="0"/>
    <x v="2"/>
    <x v="2"/>
    <x v="23"/>
    <x v="23"/>
    <x v="1"/>
    <x v="1"/>
  </r>
  <r>
    <x v="24"/>
    <x v="23"/>
    <x v="23"/>
    <x v="0"/>
    <x v="2"/>
    <x v="5"/>
    <x v="24"/>
    <x v="24"/>
    <x v="0"/>
    <x v="0"/>
  </r>
  <r>
    <x v="25"/>
    <x v="24"/>
    <x v="11"/>
    <x v="0"/>
    <x v="1"/>
    <x v="6"/>
    <x v="25"/>
    <x v="25"/>
    <x v="2"/>
    <x v="3"/>
  </r>
  <r>
    <x v="26"/>
    <x v="25"/>
    <x v="24"/>
    <x v="0"/>
    <x v="1"/>
    <x v="3"/>
    <x v="26"/>
    <x v="26"/>
    <x v="0"/>
    <x v="0"/>
  </r>
  <r>
    <x v="27"/>
    <x v="26"/>
    <x v="25"/>
    <x v="1"/>
    <x v="1"/>
    <x v="4"/>
    <x v="27"/>
    <x v="27"/>
    <x v="0"/>
    <x v="0"/>
  </r>
  <r>
    <x v="28"/>
    <x v="27"/>
    <x v="26"/>
    <x v="1"/>
    <x v="2"/>
    <x v="4"/>
    <x v="28"/>
    <x v="28"/>
    <x v="0"/>
    <x v="2"/>
  </r>
  <r>
    <x v="29"/>
    <x v="28"/>
    <x v="27"/>
    <x v="1"/>
    <x v="2"/>
    <x v="3"/>
    <x v="29"/>
    <x v="29"/>
    <x v="1"/>
    <x v="1"/>
  </r>
  <r>
    <x v="30"/>
    <x v="29"/>
    <x v="11"/>
    <x v="0"/>
    <x v="1"/>
    <x v="2"/>
    <x v="30"/>
    <x v="30"/>
    <x v="2"/>
    <x v="3"/>
  </r>
  <r>
    <x v="31"/>
    <x v="30"/>
    <x v="28"/>
    <x v="1"/>
    <x v="2"/>
    <x v="5"/>
    <x v="31"/>
    <x v="31"/>
    <x v="0"/>
    <x v="2"/>
  </r>
  <r>
    <x v="32"/>
    <x v="31"/>
    <x v="29"/>
    <x v="0"/>
    <x v="2"/>
    <x v="6"/>
    <x v="32"/>
    <x v="32"/>
    <x v="0"/>
    <x v="0"/>
  </r>
  <r>
    <x v="33"/>
    <x v="32"/>
    <x v="30"/>
    <x v="0"/>
    <x v="2"/>
    <x v="0"/>
    <x v="33"/>
    <x v="33"/>
    <x v="1"/>
    <x v="0"/>
  </r>
  <r>
    <x v="34"/>
    <x v="33"/>
    <x v="31"/>
    <x v="0"/>
    <x v="1"/>
    <x v="4"/>
    <x v="34"/>
    <x v="34"/>
    <x v="0"/>
    <x v="0"/>
  </r>
  <r>
    <x v="35"/>
    <x v="34"/>
    <x v="32"/>
    <x v="1"/>
    <x v="2"/>
    <x v="0"/>
    <x v="35"/>
    <x v="35"/>
    <x v="1"/>
    <x v="2"/>
  </r>
  <r>
    <x v="36"/>
    <x v="35"/>
    <x v="33"/>
    <x v="0"/>
    <x v="0"/>
    <x v="3"/>
    <x v="36"/>
    <x v="36"/>
    <x v="0"/>
    <x v="0"/>
  </r>
  <r>
    <x v="37"/>
    <x v="36"/>
    <x v="34"/>
    <x v="0"/>
    <x v="2"/>
    <x v="4"/>
    <x v="37"/>
    <x v="37"/>
    <x v="0"/>
    <x v="1"/>
  </r>
  <r>
    <x v="38"/>
    <x v="37"/>
    <x v="35"/>
    <x v="0"/>
    <x v="2"/>
    <x v="2"/>
    <x v="38"/>
    <x v="38"/>
    <x v="0"/>
    <x v="1"/>
  </r>
  <r>
    <x v="39"/>
    <x v="38"/>
    <x v="36"/>
    <x v="0"/>
    <x v="1"/>
    <x v="0"/>
    <x v="39"/>
    <x v="39"/>
    <x v="0"/>
    <x v="1"/>
  </r>
  <r>
    <x v="40"/>
    <x v="39"/>
    <x v="37"/>
    <x v="1"/>
    <x v="1"/>
    <x v="0"/>
    <x v="40"/>
    <x v="40"/>
    <x v="0"/>
    <x v="1"/>
  </r>
  <r>
    <x v="41"/>
    <x v="40"/>
    <x v="38"/>
    <x v="1"/>
    <x v="2"/>
    <x v="3"/>
    <x v="41"/>
    <x v="41"/>
    <x v="1"/>
    <x v="2"/>
  </r>
  <r>
    <x v="42"/>
    <x v="41"/>
    <x v="39"/>
    <x v="1"/>
    <x v="2"/>
    <x v="6"/>
    <x v="42"/>
    <x v="42"/>
    <x v="0"/>
    <x v="0"/>
  </r>
  <r>
    <x v="43"/>
    <x v="42"/>
    <x v="40"/>
    <x v="1"/>
    <x v="1"/>
    <x v="6"/>
    <x v="43"/>
    <x v="43"/>
    <x v="0"/>
    <x v="1"/>
  </r>
  <r>
    <x v="44"/>
    <x v="43"/>
    <x v="41"/>
    <x v="0"/>
    <x v="2"/>
    <x v="4"/>
    <x v="44"/>
    <x v="44"/>
    <x v="2"/>
    <x v="3"/>
  </r>
  <r>
    <x v="45"/>
    <x v="44"/>
    <x v="42"/>
    <x v="0"/>
    <x v="0"/>
    <x v="4"/>
    <x v="45"/>
    <x v="45"/>
    <x v="1"/>
    <x v="0"/>
  </r>
  <r>
    <x v="46"/>
    <x v="45"/>
    <x v="43"/>
    <x v="1"/>
    <x v="1"/>
    <x v="5"/>
    <x v="46"/>
    <x v="46"/>
    <x v="0"/>
    <x v="0"/>
  </r>
  <r>
    <x v="47"/>
    <x v="46"/>
    <x v="44"/>
    <x v="0"/>
    <x v="2"/>
    <x v="5"/>
    <x v="47"/>
    <x v="47"/>
    <x v="0"/>
    <x v="1"/>
  </r>
  <r>
    <x v="48"/>
    <x v="47"/>
    <x v="45"/>
    <x v="1"/>
    <x v="2"/>
    <x v="4"/>
    <x v="48"/>
    <x v="48"/>
    <x v="0"/>
    <x v="2"/>
  </r>
  <r>
    <x v="49"/>
    <x v="48"/>
    <x v="46"/>
    <x v="1"/>
    <x v="1"/>
    <x v="3"/>
    <x v="49"/>
    <x v="49"/>
    <x v="2"/>
    <x v="3"/>
  </r>
  <r>
    <x v="50"/>
    <x v="49"/>
    <x v="47"/>
    <x v="1"/>
    <x v="2"/>
    <x v="0"/>
    <x v="50"/>
    <x v="50"/>
    <x v="1"/>
    <x v="0"/>
  </r>
  <r>
    <x v="51"/>
    <x v="50"/>
    <x v="48"/>
    <x v="0"/>
    <x v="2"/>
    <x v="6"/>
    <x v="51"/>
    <x v="51"/>
    <x v="2"/>
    <x v="3"/>
  </r>
  <r>
    <x v="52"/>
    <x v="51"/>
    <x v="49"/>
    <x v="0"/>
    <x v="0"/>
    <x v="3"/>
    <x v="52"/>
    <x v="52"/>
    <x v="0"/>
    <x v="0"/>
  </r>
  <r>
    <x v="53"/>
    <x v="52"/>
    <x v="50"/>
    <x v="0"/>
    <x v="2"/>
    <x v="0"/>
    <x v="53"/>
    <x v="53"/>
    <x v="0"/>
    <x v="0"/>
  </r>
  <r>
    <x v="54"/>
    <x v="53"/>
    <x v="51"/>
    <x v="0"/>
    <x v="0"/>
    <x v="1"/>
    <x v="54"/>
    <x v="54"/>
    <x v="1"/>
    <x v="1"/>
  </r>
  <r>
    <x v="55"/>
    <x v="54"/>
    <x v="52"/>
    <x v="1"/>
    <x v="2"/>
    <x v="3"/>
    <x v="55"/>
    <x v="55"/>
    <x v="0"/>
    <x v="2"/>
  </r>
  <r>
    <x v="56"/>
    <x v="55"/>
    <x v="53"/>
    <x v="1"/>
    <x v="1"/>
    <x v="6"/>
    <x v="56"/>
    <x v="56"/>
    <x v="1"/>
    <x v="1"/>
  </r>
  <r>
    <x v="57"/>
    <x v="56"/>
    <x v="54"/>
    <x v="1"/>
    <x v="1"/>
    <x v="3"/>
    <x v="57"/>
    <x v="57"/>
    <x v="0"/>
    <x v="2"/>
  </r>
  <r>
    <x v="58"/>
    <x v="57"/>
    <x v="55"/>
    <x v="1"/>
    <x v="2"/>
    <x v="0"/>
    <x v="58"/>
    <x v="58"/>
    <x v="0"/>
    <x v="1"/>
  </r>
  <r>
    <x v="59"/>
    <x v="58"/>
    <x v="56"/>
    <x v="1"/>
    <x v="2"/>
    <x v="2"/>
    <x v="59"/>
    <x v="53"/>
    <x v="0"/>
    <x v="0"/>
  </r>
  <r>
    <x v="60"/>
    <x v="59"/>
    <x v="57"/>
    <x v="0"/>
    <x v="1"/>
    <x v="6"/>
    <x v="60"/>
    <x v="59"/>
    <x v="0"/>
    <x v="2"/>
  </r>
  <r>
    <x v="61"/>
    <x v="60"/>
    <x v="58"/>
    <x v="1"/>
    <x v="1"/>
    <x v="1"/>
    <x v="61"/>
    <x v="60"/>
    <x v="0"/>
    <x v="0"/>
  </r>
  <r>
    <x v="62"/>
    <x v="61"/>
    <x v="53"/>
    <x v="1"/>
    <x v="1"/>
    <x v="3"/>
    <x v="62"/>
    <x v="61"/>
    <x v="0"/>
    <x v="0"/>
  </r>
  <r>
    <x v="63"/>
    <x v="62"/>
    <x v="59"/>
    <x v="0"/>
    <x v="2"/>
    <x v="1"/>
    <x v="63"/>
    <x v="62"/>
    <x v="0"/>
    <x v="0"/>
  </r>
  <r>
    <x v="64"/>
    <x v="63"/>
    <x v="60"/>
    <x v="1"/>
    <x v="1"/>
    <x v="1"/>
    <x v="64"/>
    <x v="63"/>
    <x v="0"/>
    <x v="1"/>
  </r>
  <r>
    <x v="65"/>
    <x v="64"/>
    <x v="61"/>
    <x v="1"/>
    <x v="0"/>
    <x v="4"/>
    <x v="65"/>
    <x v="64"/>
    <x v="0"/>
    <x v="2"/>
  </r>
  <r>
    <x v="66"/>
    <x v="65"/>
    <x v="62"/>
    <x v="0"/>
    <x v="2"/>
    <x v="1"/>
    <x v="66"/>
    <x v="65"/>
    <x v="0"/>
    <x v="2"/>
  </r>
  <r>
    <x v="67"/>
    <x v="66"/>
    <x v="63"/>
    <x v="1"/>
    <x v="2"/>
    <x v="6"/>
    <x v="67"/>
    <x v="66"/>
    <x v="0"/>
    <x v="1"/>
  </r>
  <r>
    <x v="68"/>
    <x v="67"/>
    <x v="64"/>
    <x v="1"/>
    <x v="0"/>
    <x v="6"/>
    <x v="68"/>
    <x v="67"/>
    <x v="0"/>
    <x v="1"/>
  </r>
  <r>
    <x v="69"/>
    <x v="68"/>
    <x v="65"/>
    <x v="0"/>
    <x v="2"/>
    <x v="4"/>
    <x v="69"/>
    <x v="68"/>
    <x v="0"/>
    <x v="0"/>
  </r>
  <r>
    <x v="70"/>
    <x v="69"/>
    <x v="0"/>
    <x v="0"/>
    <x v="0"/>
    <x v="3"/>
    <x v="70"/>
    <x v="69"/>
    <x v="1"/>
    <x v="1"/>
  </r>
  <r>
    <x v="71"/>
    <x v="70"/>
    <x v="66"/>
    <x v="1"/>
    <x v="0"/>
    <x v="5"/>
    <x v="71"/>
    <x v="70"/>
    <x v="0"/>
    <x v="1"/>
  </r>
  <r>
    <x v="72"/>
    <x v="71"/>
    <x v="67"/>
    <x v="1"/>
    <x v="1"/>
    <x v="2"/>
    <x v="72"/>
    <x v="71"/>
    <x v="0"/>
    <x v="1"/>
  </r>
  <r>
    <x v="73"/>
    <x v="72"/>
    <x v="68"/>
    <x v="1"/>
    <x v="0"/>
    <x v="5"/>
    <x v="73"/>
    <x v="15"/>
    <x v="0"/>
    <x v="0"/>
  </r>
  <r>
    <x v="74"/>
    <x v="73"/>
    <x v="69"/>
    <x v="1"/>
    <x v="1"/>
    <x v="6"/>
    <x v="74"/>
    <x v="72"/>
    <x v="0"/>
    <x v="0"/>
  </r>
  <r>
    <x v="75"/>
    <x v="74"/>
    <x v="70"/>
    <x v="0"/>
    <x v="2"/>
    <x v="0"/>
    <x v="75"/>
    <x v="73"/>
    <x v="1"/>
    <x v="1"/>
  </r>
  <r>
    <x v="76"/>
    <x v="47"/>
    <x v="45"/>
    <x v="1"/>
    <x v="2"/>
    <x v="4"/>
    <x v="76"/>
    <x v="28"/>
    <x v="0"/>
    <x v="2"/>
  </r>
  <r>
    <x v="77"/>
    <x v="75"/>
    <x v="71"/>
    <x v="1"/>
    <x v="1"/>
    <x v="5"/>
    <x v="77"/>
    <x v="74"/>
    <x v="0"/>
    <x v="2"/>
  </r>
  <r>
    <x v="78"/>
    <x v="76"/>
    <x v="72"/>
    <x v="0"/>
    <x v="2"/>
    <x v="1"/>
    <x v="78"/>
    <x v="75"/>
    <x v="0"/>
    <x v="1"/>
  </r>
  <r>
    <x v="79"/>
    <x v="77"/>
    <x v="73"/>
    <x v="1"/>
    <x v="2"/>
    <x v="4"/>
    <x v="79"/>
    <x v="76"/>
    <x v="0"/>
    <x v="2"/>
  </r>
  <r>
    <x v="80"/>
    <x v="78"/>
    <x v="74"/>
    <x v="0"/>
    <x v="2"/>
    <x v="0"/>
    <x v="80"/>
    <x v="77"/>
    <x v="0"/>
    <x v="2"/>
  </r>
  <r>
    <x v="81"/>
    <x v="79"/>
    <x v="75"/>
    <x v="0"/>
    <x v="2"/>
    <x v="1"/>
    <x v="81"/>
    <x v="78"/>
    <x v="0"/>
    <x v="1"/>
  </r>
  <r>
    <x v="82"/>
    <x v="80"/>
    <x v="76"/>
    <x v="0"/>
    <x v="1"/>
    <x v="6"/>
    <x v="82"/>
    <x v="79"/>
    <x v="2"/>
    <x v="3"/>
  </r>
  <r>
    <x v="83"/>
    <x v="81"/>
    <x v="77"/>
    <x v="0"/>
    <x v="2"/>
    <x v="2"/>
    <x v="83"/>
    <x v="80"/>
    <x v="0"/>
    <x v="2"/>
  </r>
  <r>
    <x v="84"/>
    <x v="82"/>
    <x v="78"/>
    <x v="1"/>
    <x v="2"/>
    <x v="3"/>
    <x v="84"/>
    <x v="81"/>
    <x v="0"/>
    <x v="1"/>
  </r>
  <r>
    <x v="85"/>
    <x v="16"/>
    <x v="16"/>
    <x v="1"/>
    <x v="2"/>
    <x v="5"/>
    <x v="85"/>
    <x v="82"/>
    <x v="0"/>
    <x v="0"/>
  </r>
  <r>
    <x v="86"/>
    <x v="83"/>
    <x v="72"/>
    <x v="0"/>
    <x v="2"/>
    <x v="3"/>
    <x v="86"/>
    <x v="83"/>
    <x v="1"/>
    <x v="1"/>
  </r>
  <r>
    <x v="87"/>
    <x v="84"/>
    <x v="35"/>
    <x v="0"/>
    <x v="2"/>
    <x v="4"/>
    <x v="87"/>
    <x v="84"/>
    <x v="0"/>
    <x v="0"/>
  </r>
  <r>
    <x v="88"/>
    <x v="85"/>
    <x v="79"/>
    <x v="0"/>
    <x v="2"/>
    <x v="5"/>
    <x v="88"/>
    <x v="85"/>
    <x v="0"/>
    <x v="1"/>
  </r>
  <r>
    <x v="89"/>
    <x v="86"/>
    <x v="80"/>
    <x v="0"/>
    <x v="2"/>
    <x v="2"/>
    <x v="89"/>
    <x v="50"/>
    <x v="0"/>
    <x v="0"/>
  </r>
  <r>
    <x v="90"/>
    <x v="87"/>
    <x v="81"/>
    <x v="1"/>
    <x v="2"/>
    <x v="4"/>
    <x v="90"/>
    <x v="86"/>
    <x v="0"/>
    <x v="1"/>
  </r>
  <r>
    <x v="91"/>
    <x v="4"/>
    <x v="4"/>
    <x v="1"/>
    <x v="2"/>
    <x v="1"/>
    <x v="91"/>
    <x v="87"/>
    <x v="2"/>
    <x v="3"/>
  </r>
  <r>
    <x v="92"/>
    <x v="88"/>
    <x v="82"/>
    <x v="0"/>
    <x v="2"/>
    <x v="2"/>
    <x v="92"/>
    <x v="88"/>
    <x v="1"/>
    <x v="2"/>
  </r>
  <r>
    <x v="93"/>
    <x v="89"/>
    <x v="83"/>
    <x v="1"/>
    <x v="2"/>
    <x v="0"/>
    <x v="93"/>
    <x v="89"/>
    <x v="1"/>
    <x v="1"/>
  </r>
  <r>
    <x v="94"/>
    <x v="90"/>
    <x v="84"/>
    <x v="1"/>
    <x v="2"/>
    <x v="6"/>
    <x v="94"/>
    <x v="84"/>
    <x v="2"/>
    <x v="3"/>
  </r>
  <r>
    <x v="95"/>
    <x v="91"/>
    <x v="85"/>
    <x v="1"/>
    <x v="1"/>
    <x v="3"/>
    <x v="95"/>
    <x v="90"/>
    <x v="0"/>
    <x v="2"/>
  </r>
  <r>
    <x v="96"/>
    <x v="92"/>
    <x v="86"/>
    <x v="0"/>
    <x v="2"/>
    <x v="4"/>
    <x v="96"/>
    <x v="46"/>
    <x v="0"/>
    <x v="0"/>
  </r>
  <r>
    <x v="97"/>
    <x v="93"/>
    <x v="87"/>
    <x v="1"/>
    <x v="2"/>
    <x v="4"/>
    <x v="97"/>
    <x v="91"/>
    <x v="0"/>
    <x v="2"/>
  </r>
  <r>
    <x v="98"/>
    <x v="94"/>
    <x v="88"/>
    <x v="1"/>
    <x v="2"/>
    <x v="1"/>
    <x v="98"/>
    <x v="92"/>
    <x v="0"/>
    <x v="1"/>
  </r>
  <r>
    <x v="99"/>
    <x v="95"/>
    <x v="89"/>
    <x v="1"/>
    <x v="2"/>
    <x v="5"/>
    <x v="99"/>
    <x v="93"/>
    <x v="0"/>
    <x v="1"/>
  </r>
  <r>
    <x v="100"/>
    <x v="96"/>
    <x v="31"/>
    <x v="0"/>
    <x v="1"/>
    <x v="5"/>
    <x v="100"/>
    <x v="94"/>
    <x v="0"/>
    <x v="0"/>
  </r>
  <r>
    <x v="101"/>
    <x v="97"/>
    <x v="90"/>
    <x v="0"/>
    <x v="2"/>
    <x v="3"/>
    <x v="101"/>
    <x v="95"/>
    <x v="1"/>
    <x v="1"/>
  </r>
  <r>
    <x v="102"/>
    <x v="98"/>
    <x v="91"/>
    <x v="0"/>
    <x v="2"/>
    <x v="5"/>
    <x v="102"/>
    <x v="96"/>
    <x v="0"/>
    <x v="0"/>
  </r>
  <r>
    <x v="103"/>
    <x v="99"/>
    <x v="92"/>
    <x v="0"/>
    <x v="2"/>
    <x v="6"/>
    <x v="103"/>
    <x v="97"/>
    <x v="0"/>
    <x v="0"/>
  </r>
  <r>
    <x v="104"/>
    <x v="100"/>
    <x v="93"/>
    <x v="1"/>
    <x v="0"/>
    <x v="2"/>
    <x v="104"/>
    <x v="98"/>
    <x v="1"/>
    <x v="1"/>
  </r>
  <r>
    <x v="105"/>
    <x v="101"/>
    <x v="94"/>
    <x v="0"/>
    <x v="2"/>
    <x v="0"/>
    <x v="105"/>
    <x v="99"/>
    <x v="0"/>
    <x v="2"/>
  </r>
  <r>
    <x v="106"/>
    <x v="102"/>
    <x v="95"/>
    <x v="0"/>
    <x v="2"/>
    <x v="4"/>
    <x v="106"/>
    <x v="100"/>
    <x v="0"/>
    <x v="2"/>
  </r>
  <r>
    <x v="107"/>
    <x v="51"/>
    <x v="49"/>
    <x v="0"/>
    <x v="0"/>
    <x v="3"/>
    <x v="107"/>
    <x v="101"/>
    <x v="0"/>
    <x v="1"/>
  </r>
  <r>
    <x v="108"/>
    <x v="103"/>
    <x v="96"/>
    <x v="1"/>
    <x v="2"/>
    <x v="3"/>
    <x v="108"/>
    <x v="102"/>
    <x v="0"/>
    <x v="2"/>
  </r>
  <r>
    <x v="109"/>
    <x v="104"/>
    <x v="97"/>
    <x v="1"/>
    <x v="2"/>
    <x v="4"/>
    <x v="109"/>
    <x v="103"/>
    <x v="0"/>
    <x v="0"/>
  </r>
  <r>
    <x v="110"/>
    <x v="105"/>
    <x v="98"/>
    <x v="0"/>
    <x v="1"/>
    <x v="3"/>
    <x v="110"/>
    <x v="104"/>
    <x v="2"/>
    <x v="3"/>
  </r>
  <r>
    <x v="111"/>
    <x v="106"/>
    <x v="99"/>
    <x v="0"/>
    <x v="0"/>
    <x v="2"/>
    <x v="111"/>
    <x v="105"/>
    <x v="0"/>
    <x v="0"/>
  </r>
  <r>
    <x v="112"/>
    <x v="107"/>
    <x v="100"/>
    <x v="1"/>
    <x v="2"/>
    <x v="0"/>
    <x v="112"/>
    <x v="6"/>
    <x v="0"/>
    <x v="2"/>
  </r>
  <r>
    <x v="113"/>
    <x v="20"/>
    <x v="20"/>
    <x v="0"/>
    <x v="2"/>
    <x v="6"/>
    <x v="113"/>
    <x v="106"/>
    <x v="0"/>
    <x v="0"/>
  </r>
  <r>
    <x v="114"/>
    <x v="108"/>
    <x v="101"/>
    <x v="0"/>
    <x v="2"/>
    <x v="2"/>
    <x v="114"/>
    <x v="107"/>
    <x v="0"/>
    <x v="0"/>
  </r>
  <r>
    <x v="115"/>
    <x v="109"/>
    <x v="102"/>
    <x v="0"/>
    <x v="1"/>
    <x v="1"/>
    <x v="115"/>
    <x v="108"/>
    <x v="2"/>
    <x v="3"/>
  </r>
  <r>
    <x v="116"/>
    <x v="110"/>
    <x v="37"/>
    <x v="1"/>
    <x v="1"/>
    <x v="1"/>
    <x v="116"/>
    <x v="109"/>
    <x v="1"/>
    <x v="0"/>
  </r>
  <r>
    <x v="117"/>
    <x v="111"/>
    <x v="103"/>
    <x v="1"/>
    <x v="1"/>
    <x v="4"/>
    <x v="117"/>
    <x v="110"/>
    <x v="0"/>
    <x v="1"/>
  </r>
  <r>
    <x v="118"/>
    <x v="112"/>
    <x v="104"/>
    <x v="0"/>
    <x v="0"/>
    <x v="1"/>
    <x v="118"/>
    <x v="111"/>
    <x v="2"/>
    <x v="3"/>
  </r>
  <r>
    <x v="119"/>
    <x v="113"/>
    <x v="105"/>
    <x v="1"/>
    <x v="1"/>
    <x v="1"/>
    <x v="119"/>
    <x v="47"/>
    <x v="2"/>
    <x v="3"/>
  </r>
  <r>
    <x v="120"/>
    <x v="114"/>
    <x v="106"/>
    <x v="0"/>
    <x v="1"/>
    <x v="1"/>
    <x v="120"/>
    <x v="112"/>
    <x v="0"/>
    <x v="0"/>
  </r>
  <r>
    <x v="121"/>
    <x v="115"/>
    <x v="107"/>
    <x v="1"/>
    <x v="2"/>
    <x v="1"/>
    <x v="121"/>
    <x v="113"/>
    <x v="0"/>
    <x v="1"/>
  </r>
  <r>
    <x v="122"/>
    <x v="116"/>
    <x v="108"/>
    <x v="1"/>
    <x v="1"/>
    <x v="0"/>
    <x v="122"/>
    <x v="114"/>
    <x v="0"/>
    <x v="0"/>
  </r>
  <r>
    <x v="123"/>
    <x v="117"/>
    <x v="2"/>
    <x v="1"/>
    <x v="2"/>
    <x v="0"/>
    <x v="123"/>
    <x v="115"/>
    <x v="1"/>
    <x v="1"/>
  </r>
  <r>
    <x v="124"/>
    <x v="118"/>
    <x v="109"/>
    <x v="1"/>
    <x v="1"/>
    <x v="3"/>
    <x v="124"/>
    <x v="116"/>
    <x v="0"/>
    <x v="1"/>
  </r>
  <r>
    <x v="125"/>
    <x v="119"/>
    <x v="110"/>
    <x v="1"/>
    <x v="2"/>
    <x v="1"/>
    <x v="125"/>
    <x v="117"/>
    <x v="0"/>
    <x v="0"/>
  </r>
  <r>
    <x v="126"/>
    <x v="120"/>
    <x v="111"/>
    <x v="1"/>
    <x v="0"/>
    <x v="1"/>
    <x v="126"/>
    <x v="118"/>
    <x v="0"/>
    <x v="1"/>
  </r>
  <r>
    <x v="127"/>
    <x v="121"/>
    <x v="112"/>
    <x v="1"/>
    <x v="1"/>
    <x v="6"/>
    <x v="127"/>
    <x v="119"/>
    <x v="0"/>
    <x v="2"/>
  </r>
  <r>
    <x v="128"/>
    <x v="122"/>
    <x v="113"/>
    <x v="0"/>
    <x v="2"/>
    <x v="6"/>
    <x v="128"/>
    <x v="120"/>
    <x v="0"/>
    <x v="1"/>
  </r>
  <r>
    <x v="129"/>
    <x v="123"/>
    <x v="114"/>
    <x v="1"/>
    <x v="1"/>
    <x v="5"/>
    <x v="129"/>
    <x v="83"/>
    <x v="2"/>
    <x v="3"/>
  </r>
  <r>
    <x v="130"/>
    <x v="124"/>
    <x v="115"/>
    <x v="0"/>
    <x v="1"/>
    <x v="0"/>
    <x v="130"/>
    <x v="121"/>
    <x v="1"/>
    <x v="0"/>
  </r>
  <r>
    <x v="131"/>
    <x v="125"/>
    <x v="116"/>
    <x v="0"/>
    <x v="2"/>
    <x v="3"/>
    <x v="131"/>
    <x v="46"/>
    <x v="1"/>
    <x v="0"/>
  </r>
  <r>
    <x v="132"/>
    <x v="126"/>
    <x v="117"/>
    <x v="0"/>
    <x v="2"/>
    <x v="5"/>
    <x v="132"/>
    <x v="122"/>
    <x v="0"/>
    <x v="1"/>
  </r>
  <r>
    <x v="133"/>
    <x v="127"/>
    <x v="118"/>
    <x v="1"/>
    <x v="0"/>
    <x v="1"/>
    <x v="133"/>
    <x v="123"/>
    <x v="0"/>
    <x v="2"/>
  </r>
  <r>
    <x v="134"/>
    <x v="128"/>
    <x v="119"/>
    <x v="0"/>
    <x v="2"/>
    <x v="6"/>
    <x v="134"/>
    <x v="124"/>
    <x v="1"/>
    <x v="0"/>
  </r>
  <r>
    <x v="135"/>
    <x v="129"/>
    <x v="120"/>
    <x v="0"/>
    <x v="2"/>
    <x v="0"/>
    <x v="135"/>
    <x v="125"/>
    <x v="0"/>
    <x v="1"/>
  </r>
  <r>
    <x v="136"/>
    <x v="130"/>
    <x v="121"/>
    <x v="0"/>
    <x v="0"/>
    <x v="0"/>
    <x v="136"/>
    <x v="126"/>
    <x v="0"/>
    <x v="0"/>
  </r>
  <r>
    <x v="137"/>
    <x v="131"/>
    <x v="122"/>
    <x v="1"/>
    <x v="2"/>
    <x v="0"/>
    <x v="137"/>
    <x v="127"/>
    <x v="0"/>
    <x v="0"/>
  </r>
  <r>
    <x v="138"/>
    <x v="132"/>
    <x v="123"/>
    <x v="0"/>
    <x v="0"/>
    <x v="1"/>
    <x v="138"/>
    <x v="128"/>
    <x v="0"/>
    <x v="0"/>
  </r>
  <r>
    <x v="139"/>
    <x v="133"/>
    <x v="124"/>
    <x v="0"/>
    <x v="2"/>
    <x v="1"/>
    <x v="139"/>
    <x v="129"/>
    <x v="2"/>
    <x v="3"/>
  </r>
  <r>
    <x v="140"/>
    <x v="134"/>
    <x v="125"/>
    <x v="1"/>
    <x v="2"/>
    <x v="4"/>
    <x v="140"/>
    <x v="130"/>
    <x v="1"/>
    <x v="1"/>
  </r>
  <r>
    <x v="141"/>
    <x v="135"/>
    <x v="126"/>
    <x v="0"/>
    <x v="0"/>
    <x v="3"/>
    <x v="141"/>
    <x v="5"/>
    <x v="0"/>
    <x v="0"/>
  </r>
  <r>
    <x v="142"/>
    <x v="62"/>
    <x v="59"/>
    <x v="0"/>
    <x v="2"/>
    <x v="1"/>
    <x v="142"/>
    <x v="131"/>
    <x v="0"/>
    <x v="2"/>
  </r>
  <r>
    <x v="143"/>
    <x v="136"/>
    <x v="19"/>
    <x v="1"/>
    <x v="0"/>
    <x v="1"/>
    <x v="143"/>
    <x v="132"/>
    <x v="0"/>
    <x v="1"/>
  </r>
  <r>
    <x v="144"/>
    <x v="107"/>
    <x v="100"/>
    <x v="1"/>
    <x v="2"/>
    <x v="0"/>
    <x v="144"/>
    <x v="1"/>
    <x v="2"/>
    <x v="3"/>
  </r>
  <r>
    <x v="145"/>
    <x v="137"/>
    <x v="127"/>
    <x v="1"/>
    <x v="1"/>
    <x v="2"/>
    <x v="145"/>
    <x v="133"/>
    <x v="0"/>
    <x v="2"/>
  </r>
  <r>
    <x v="146"/>
    <x v="138"/>
    <x v="128"/>
    <x v="0"/>
    <x v="1"/>
    <x v="5"/>
    <x v="146"/>
    <x v="134"/>
    <x v="1"/>
    <x v="0"/>
  </r>
  <r>
    <x v="147"/>
    <x v="139"/>
    <x v="129"/>
    <x v="1"/>
    <x v="2"/>
    <x v="0"/>
    <x v="147"/>
    <x v="135"/>
    <x v="0"/>
    <x v="1"/>
  </r>
  <r>
    <x v="148"/>
    <x v="140"/>
    <x v="130"/>
    <x v="0"/>
    <x v="1"/>
    <x v="1"/>
    <x v="148"/>
    <x v="136"/>
    <x v="0"/>
    <x v="1"/>
  </r>
  <r>
    <x v="149"/>
    <x v="141"/>
    <x v="131"/>
    <x v="1"/>
    <x v="2"/>
    <x v="3"/>
    <x v="149"/>
    <x v="137"/>
    <x v="0"/>
    <x v="0"/>
  </r>
  <r>
    <x v="150"/>
    <x v="142"/>
    <x v="132"/>
    <x v="1"/>
    <x v="1"/>
    <x v="5"/>
    <x v="150"/>
    <x v="138"/>
    <x v="0"/>
    <x v="1"/>
  </r>
  <r>
    <x v="151"/>
    <x v="142"/>
    <x v="132"/>
    <x v="1"/>
    <x v="1"/>
    <x v="5"/>
    <x v="151"/>
    <x v="139"/>
    <x v="0"/>
    <x v="1"/>
  </r>
  <r>
    <x v="152"/>
    <x v="143"/>
    <x v="133"/>
    <x v="1"/>
    <x v="2"/>
    <x v="3"/>
    <x v="152"/>
    <x v="140"/>
    <x v="1"/>
    <x v="0"/>
  </r>
  <r>
    <x v="153"/>
    <x v="144"/>
    <x v="134"/>
    <x v="0"/>
    <x v="1"/>
    <x v="0"/>
    <x v="153"/>
    <x v="141"/>
    <x v="0"/>
    <x v="2"/>
  </r>
  <r>
    <x v="154"/>
    <x v="145"/>
    <x v="135"/>
    <x v="0"/>
    <x v="2"/>
    <x v="0"/>
    <x v="154"/>
    <x v="142"/>
    <x v="0"/>
    <x v="0"/>
  </r>
  <r>
    <x v="155"/>
    <x v="146"/>
    <x v="136"/>
    <x v="0"/>
    <x v="2"/>
    <x v="6"/>
    <x v="155"/>
    <x v="143"/>
    <x v="1"/>
    <x v="0"/>
  </r>
  <r>
    <x v="156"/>
    <x v="107"/>
    <x v="100"/>
    <x v="1"/>
    <x v="2"/>
    <x v="0"/>
    <x v="156"/>
    <x v="144"/>
    <x v="0"/>
    <x v="1"/>
  </r>
  <r>
    <x v="157"/>
    <x v="147"/>
    <x v="137"/>
    <x v="0"/>
    <x v="2"/>
    <x v="0"/>
    <x v="157"/>
    <x v="145"/>
    <x v="2"/>
    <x v="3"/>
  </r>
  <r>
    <x v="158"/>
    <x v="148"/>
    <x v="138"/>
    <x v="1"/>
    <x v="2"/>
    <x v="0"/>
    <x v="158"/>
    <x v="146"/>
    <x v="0"/>
    <x v="1"/>
  </r>
  <r>
    <x v="159"/>
    <x v="149"/>
    <x v="139"/>
    <x v="0"/>
    <x v="1"/>
    <x v="1"/>
    <x v="159"/>
    <x v="147"/>
    <x v="0"/>
    <x v="1"/>
  </r>
  <r>
    <x v="160"/>
    <x v="150"/>
    <x v="124"/>
    <x v="0"/>
    <x v="2"/>
    <x v="6"/>
    <x v="160"/>
    <x v="148"/>
    <x v="1"/>
    <x v="1"/>
  </r>
  <r>
    <x v="161"/>
    <x v="151"/>
    <x v="140"/>
    <x v="1"/>
    <x v="2"/>
    <x v="6"/>
    <x v="161"/>
    <x v="149"/>
    <x v="0"/>
    <x v="1"/>
  </r>
  <r>
    <x v="162"/>
    <x v="152"/>
    <x v="119"/>
    <x v="0"/>
    <x v="2"/>
    <x v="4"/>
    <x v="162"/>
    <x v="150"/>
    <x v="0"/>
    <x v="0"/>
  </r>
  <r>
    <x v="163"/>
    <x v="153"/>
    <x v="55"/>
    <x v="1"/>
    <x v="2"/>
    <x v="4"/>
    <x v="163"/>
    <x v="151"/>
    <x v="0"/>
    <x v="1"/>
  </r>
  <r>
    <x v="164"/>
    <x v="37"/>
    <x v="35"/>
    <x v="0"/>
    <x v="2"/>
    <x v="2"/>
    <x v="164"/>
    <x v="152"/>
    <x v="1"/>
    <x v="1"/>
  </r>
  <r>
    <x v="165"/>
    <x v="154"/>
    <x v="141"/>
    <x v="1"/>
    <x v="2"/>
    <x v="6"/>
    <x v="165"/>
    <x v="78"/>
    <x v="0"/>
    <x v="1"/>
  </r>
  <r>
    <x v="166"/>
    <x v="155"/>
    <x v="142"/>
    <x v="0"/>
    <x v="2"/>
    <x v="3"/>
    <x v="166"/>
    <x v="153"/>
    <x v="0"/>
    <x v="2"/>
  </r>
  <r>
    <x v="167"/>
    <x v="140"/>
    <x v="130"/>
    <x v="0"/>
    <x v="1"/>
    <x v="1"/>
    <x v="167"/>
    <x v="154"/>
    <x v="1"/>
    <x v="0"/>
  </r>
  <r>
    <x v="168"/>
    <x v="156"/>
    <x v="48"/>
    <x v="0"/>
    <x v="2"/>
    <x v="0"/>
    <x v="168"/>
    <x v="155"/>
    <x v="2"/>
    <x v="3"/>
  </r>
  <r>
    <x v="169"/>
    <x v="157"/>
    <x v="40"/>
    <x v="1"/>
    <x v="1"/>
    <x v="6"/>
    <x v="169"/>
    <x v="156"/>
    <x v="1"/>
    <x v="0"/>
  </r>
  <r>
    <x v="170"/>
    <x v="158"/>
    <x v="143"/>
    <x v="1"/>
    <x v="2"/>
    <x v="3"/>
    <x v="170"/>
    <x v="157"/>
    <x v="0"/>
    <x v="0"/>
  </r>
  <r>
    <x v="171"/>
    <x v="159"/>
    <x v="17"/>
    <x v="0"/>
    <x v="0"/>
    <x v="0"/>
    <x v="171"/>
    <x v="158"/>
    <x v="0"/>
    <x v="1"/>
  </r>
  <r>
    <x v="172"/>
    <x v="116"/>
    <x v="108"/>
    <x v="1"/>
    <x v="1"/>
    <x v="0"/>
    <x v="172"/>
    <x v="159"/>
    <x v="0"/>
    <x v="1"/>
  </r>
  <r>
    <x v="173"/>
    <x v="160"/>
    <x v="144"/>
    <x v="1"/>
    <x v="2"/>
    <x v="0"/>
    <x v="173"/>
    <x v="160"/>
    <x v="0"/>
    <x v="1"/>
  </r>
  <r>
    <x v="174"/>
    <x v="161"/>
    <x v="145"/>
    <x v="0"/>
    <x v="2"/>
    <x v="0"/>
    <x v="174"/>
    <x v="161"/>
    <x v="0"/>
    <x v="0"/>
  </r>
  <r>
    <x v="175"/>
    <x v="162"/>
    <x v="146"/>
    <x v="0"/>
    <x v="2"/>
    <x v="1"/>
    <x v="175"/>
    <x v="162"/>
    <x v="0"/>
    <x v="1"/>
  </r>
  <r>
    <x v="176"/>
    <x v="163"/>
    <x v="147"/>
    <x v="1"/>
    <x v="1"/>
    <x v="6"/>
    <x v="176"/>
    <x v="163"/>
    <x v="0"/>
    <x v="1"/>
  </r>
  <r>
    <x v="177"/>
    <x v="164"/>
    <x v="148"/>
    <x v="0"/>
    <x v="2"/>
    <x v="5"/>
    <x v="177"/>
    <x v="164"/>
    <x v="0"/>
    <x v="0"/>
  </r>
  <r>
    <x v="178"/>
    <x v="165"/>
    <x v="149"/>
    <x v="1"/>
    <x v="1"/>
    <x v="1"/>
    <x v="178"/>
    <x v="165"/>
    <x v="0"/>
    <x v="2"/>
  </r>
  <r>
    <x v="179"/>
    <x v="166"/>
    <x v="150"/>
    <x v="1"/>
    <x v="1"/>
    <x v="1"/>
    <x v="179"/>
    <x v="166"/>
    <x v="0"/>
    <x v="1"/>
  </r>
  <r>
    <x v="180"/>
    <x v="167"/>
    <x v="151"/>
    <x v="1"/>
    <x v="1"/>
    <x v="5"/>
    <x v="180"/>
    <x v="167"/>
    <x v="2"/>
    <x v="3"/>
  </r>
  <r>
    <x v="181"/>
    <x v="81"/>
    <x v="77"/>
    <x v="0"/>
    <x v="2"/>
    <x v="2"/>
    <x v="181"/>
    <x v="168"/>
    <x v="1"/>
    <x v="1"/>
  </r>
  <r>
    <x v="182"/>
    <x v="168"/>
    <x v="152"/>
    <x v="1"/>
    <x v="2"/>
    <x v="1"/>
    <x v="182"/>
    <x v="169"/>
    <x v="0"/>
    <x v="0"/>
  </r>
  <r>
    <x v="183"/>
    <x v="169"/>
    <x v="153"/>
    <x v="0"/>
    <x v="1"/>
    <x v="6"/>
    <x v="183"/>
    <x v="98"/>
    <x v="0"/>
    <x v="1"/>
  </r>
  <r>
    <x v="184"/>
    <x v="170"/>
    <x v="154"/>
    <x v="1"/>
    <x v="0"/>
    <x v="5"/>
    <x v="184"/>
    <x v="170"/>
    <x v="0"/>
    <x v="0"/>
  </r>
  <r>
    <x v="185"/>
    <x v="171"/>
    <x v="155"/>
    <x v="0"/>
    <x v="1"/>
    <x v="5"/>
    <x v="185"/>
    <x v="136"/>
    <x v="2"/>
    <x v="3"/>
  </r>
  <r>
    <x v="186"/>
    <x v="172"/>
    <x v="156"/>
    <x v="0"/>
    <x v="2"/>
    <x v="4"/>
    <x v="186"/>
    <x v="171"/>
    <x v="2"/>
    <x v="3"/>
  </r>
  <r>
    <x v="187"/>
    <x v="173"/>
    <x v="157"/>
    <x v="0"/>
    <x v="1"/>
    <x v="1"/>
    <x v="187"/>
    <x v="172"/>
    <x v="1"/>
    <x v="1"/>
  </r>
  <r>
    <x v="188"/>
    <x v="174"/>
    <x v="158"/>
    <x v="1"/>
    <x v="2"/>
    <x v="1"/>
    <x v="188"/>
    <x v="173"/>
    <x v="2"/>
    <x v="3"/>
  </r>
  <r>
    <x v="189"/>
    <x v="175"/>
    <x v="103"/>
    <x v="1"/>
    <x v="1"/>
    <x v="6"/>
    <x v="189"/>
    <x v="174"/>
    <x v="2"/>
    <x v="3"/>
  </r>
  <r>
    <x v="190"/>
    <x v="176"/>
    <x v="119"/>
    <x v="0"/>
    <x v="2"/>
    <x v="0"/>
    <x v="190"/>
    <x v="175"/>
    <x v="0"/>
    <x v="0"/>
  </r>
  <r>
    <x v="191"/>
    <x v="173"/>
    <x v="157"/>
    <x v="0"/>
    <x v="1"/>
    <x v="1"/>
    <x v="191"/>
    <x v="176"/>
    <x v="1"/>
    <x v="2"/>
  </r>
  <r>
    <x v="192"/>
    <x v="134"/>
    <x v="125"/>
    <x v="1"/>
    <x v="2"/>
    <x v="4"/>
    <x v="192"/>
    <x v="177"/>
    <x v="0"/>
    <x v="2"/>
  </r>
  <r>
    <x v="193"/>
    <x v="177"/>
    <x v="159"/>
    <x v="0"/>
    <x v="2"/>
    <x v="1"/>
    <x v="193"/>
    <x v="178"/>
    <x v="0"/>
    <x v="2"/>
  </r>
  <r>
    <x v="194"/>
    <x v="178"/>
    <x v="69"/>
    <x v="1"/>
    <x v="1"/>
    <x v="6"/>
    <x v="194"/>
    <x v="179"/>
    <x v="2"/>
    <x v="3"/>
  </r>
  <r>
    <x v="195"/>
    <x v="179"/>
    <x v="160"/>
    <x v="0"/>
    <x v="2"/>
    <x v="1"/>
    <x v="195"/>
    <x v="180"/>
    <x v="1"/>
    <x v="1"/>
  </r>
  <r>
    <x v="196"/>
    <x v="180"/>
    <x v="161"/>
    <x v="1"/>
    <x v="2"/>
    <x v="2"/>
    <x v="196"/>
    <x v="181"/>
    <x v="0"/>
    <x v="1"/>
  </r>
  <r>
    <x v="197"/>
    <x v="181"/>
    <x v="162"/>
    <x v="1"/>
    <x v="2"/>
    <x v="5"/>
    <x v="197"/>
    <x v="182"/>
    <x v="0"/>
    <x v="0"/>
  </r>
  <r>
    <x v="198"/>
    <x v="182"/>
    <x v="163"/>
    <x v="0"/>
    <x v="1"/>
    <x v="2"/>
    <x v="198"/>
    <x v="183"/>
    <x v="0"/>
    <x v="1"/>
  </r>
  <r>
    <x v="199"/>
    <x v="183"/>
    <x v="164"/>
    <x v="0"/>
    <x v="2"/>
    <x v="0"/>
    <x v="199"/>
    <x v="184"/>
    <x v="0"/>
    <x v="1"/>
  </r>
  <r>
    <x v="200"/>
    <x v="184"/>
    <x v="129"/>
    <x v="1"/>
    <x v="2"/>
    <x v="5"/>
    <x v="200"/>
    <x v="185"/>
    <x v="0"/>
    <x v="0"/>
  </r>
  <r>
    <x v="201"/>
    <x v="185"/>
    <x v="165"/>
    <x v="1"/>
    <x v="2"/>
    <x v="1"/>
    <x v="201"/>
    <x v="117"/>
    <x v="0"/>
    <x v="0"/>
  </r>
  <r>
    <x v="202"/>
    <x v="136"/>
    <x v="19"/>
    <x v="1"/>
    <x v="0"/>
    <x v="1"/>
    <x v="202"/>
    <x v="186"/>
    <x v="0"/>
    <x v="0"/>
  </r>
  <r>
    <x v="203"/>
    <x v="186"/>
    <x v="166"/>
    <x v="1"/>
    <x v="2"/>
    <x v="3"/>
    <x v="203"/>
    <x v="187"/>
    <x v="0"/>
    <x v="0"/>
  </r>
  <r>
    <x v="204"/>
    <x v="187"/>
    <x v="45"/>
    <x v="1"/>
    <x v="2"/>
    <x v="2"/>
    <x v="204"/>
    <x v="188"/>
    <x v="1"/>
    <x v="1"/>
  </r>
  <r>
    <x v="205"/>
    <x v="188"/>
    <x v="130"/>
    <x v="0"/>
    <x v="1"/>
    <x v="6"/>
    <x v="205"/>
    <x v="189"/>
    <x v="2"/>
    <x v="3"/>
  </r>
  <r>
    <x v="206"/>
    <x v="41"/>
    <x v="39"/>
    <x v="1"/>
    <x v="2"/>
    <x v="6"/>
    <x v="206"/>
    <x v="190"/>
    <x v="0"/>
    <x v="2"/>
  </r>
  <r>
    <x v="207"/>
    <x v="189"/>
    <x v="167"/>
    <x v="0"/>
    <x v="0"/>
    <x v="4"/>
    <x v="207"/>
    <x v="191"/>
    <x v="1"/>
    <x v="1"/>
  </r>
  <r>
    <x v="208"/>
    <x v="190"/>
    <x v="168"/>
    <x v="0"/>
    <x v="2"/>
    <x v="6"/>
    <x v="208"/>
    <x v="192"/>
    <x v="2"/>
    <x v="3"/>
  </r>
  <r>
    <x v="209"/>
    <x v="191"/>
    <x v="169"/>
    <x v="0"/>
    <x v="1"/>
    <x v="6"/>
    <x v="209"/>
    <x v="193"/>
    <x v="0"/>
    <x v="1"/>
  </r>
  <r>
    <x v="210"/>
    <x v="192"/>
    <x v="170"/>
    <x v="1"/>
    <x v="2"/>
    <x v="5"/>
    <x v="210"/>
    <x v="194"/>
    <x v="0"/>
    <x v="1"/>
  </r>
  <r>
    <x v="211"/>
    <x v="193"/>
    <x v="171"/>
    <x v="1"/>
    <x v="1"/>
    <x v="0"/>
    <x v="211"/>
    <x v="195"/>
    <x v="0"/>
    <x v="0"/>
  </r>
  <r>
    <x v="212"/>
    <x v="194"/>
    <x v="51"/>
    <x v="0"/>
    <x v="0"/>
    <x v="3"/>
    <x v="212"/>
    <x v="196"/>
    <x v="0"/>
    <x v="2"/>
  </r>
  <r>
    <x v="213"/>
    <x v="195"/>
    <x v="172"/>
    <x v="0"/>
    <x v="2"/>
    <x v="6"/>
    <x v="213"/>
    <x v="197"/>
    <x v="0"/>
    <x v="0"/>
  </r>
  <r>
    <x v="214"/>
    <x v="196"/>
    <x v="110"/>
    <x v="1"/>
    <x v="2"/>
    <x v="5"/>
    <x v="214"/>
    <x v="198"/>
    <x v="0"/>
    <x v="1"/>
  </r>
  <r>
    <x v="215"/>
    <x v="197"/>
    <x v="173"/>
    <x v="1"/>
    <x v="2"/>
    <x v="6"/>
    <x v="215"/>
    <x v="199"/>
    <x v="0"/>
    <x v="0"/>
  </r>
  <r>
    <x v="216"/>
    <x v="198"/>
    <x v="174"/>
    <x v="1"/>
    <x v="2"/>
    <x v="0"/>
    <x v="216"/>
    <x v="128"/>
    <x v="0"/>
    <x v="0"/>
  </r>
  <r>
    <x v="217"/>
    <x v="36"/>
    <x v="34"/>
    <x v="0"/>
    <x v="2"/>
    <x v="4"/>
    <x v="217"/>
    <x v="200"/>
    <x v="1"/>
    <x v="1"/>
  </r>
  <r>
    <x v="218"/>
    <x v="122"/>
    <x v="113"/>
    <x v="0"/>
    <x v="2"/>
    <x v="6"/>
    <x v="218"/>
    <x v="201"/>
    <x v="0"/>
    <x v="1"/>
  </r>
  <r>
    <x v="219"/>
    <x v="199"/>
    <x v="175"/>
    <x v="0"/>
    <x v="2"/>
    <x v="0"/>
    <x v="219"/>
    <x v="192"/>
    <x v="0"/>
    <x v="0"/>
  </r>
  <r>
    <x v="220"/>
    <x v="200"/>
    <x v="176"/>
    <x v="1"/>
    <x v="2"/>
    <x v="1"/>
    <x v="220"/>
    <x v="202"/>
    <x v="0"/>
    <x v="1"/>
  </r>
  <r>
    <x v="221"/>
    <x v="201"/>
    <x v="177"/>
    <x v="1"/>
    <x v="0"/>
    <x v="5"/>
    <x v="221"/>
    <x v="203"/>
    <x v="1"/>
    <x v="0"/>
  </r>
  <r>
    <x v="222"/>
    <x v="202"/>
    <x v="178"/>
    <x v="0"/>
    <x v="2"/>
    <x v="0"/>
    <x v="222"/>
    <x v="204"/>
    <x v="0"/>
    <x v="1"/>
  </r>
  <r>
    <x v="223"/>
    <x v="203"/>
    <x v="79"/>
    <x v="0"/>
    <x v="2"/>
    <x v="2"/>
    <x v="223"/>
    <x v="205"/>
    <x v="2"/>
    <x v="3"/>
  </r>
  <r>
    <x v="224"/>
    <x v="204"/>
    <x v="179"/>
    <x v="1"/>
    <x v="2"/>
    <x v="4"/>
    <x v="224"/>
    <x v="206"/>
    <x v="0"/>
    <x v="2"/>
  </r>
  <r>
    <x v="225"/>
    <x v="205"/>
    <x v="180"/>
    <x v="0"/>
    <x v="0"/>
    <x v="6"/>
    <x v="225"/>
    <x v="207"/>
    <x v="2"/>
    <x v="3"/>
  </r>
  <r>
    <x v="226"/>
    <x v="206"/>
    <x v="181"/>
    <x v="0"/>
    <x v="2"/>
    <x v="6"/>
    <x v="226"/>
    <x v="208"/>
    <x v="0"/>
    <x v="1"/>
  </r>
  <r>
    <x v="227"/>
    <x v="177"/>
    <x v="159"/>
    <x v="0"/>
    <x v="2"/>
    <x v="1"/>
    <x v="227"/>
    <x v="209"/>
    <x v="0"/>
    <x v="0"/>
  </r>
  <r>
    <x v="228"/>
    <x v="162"/>
    <x v="146"/>
    <x v="0"/>
    <x v="2"/>
    <x v="1"/>
    <x v="228"/>
    <x v="210"/>
    <x v="0"/>
    <x v="1"/>
  </r>
  <r>
    <x v="229"/>
    <x v="127"/>
    <x v="118"/>
    <x v="1"/>
    <x v="0"/>
    <x v="1"/>
    <x v="229"/>
    <x v="211"/>
    <x v="0"/>
    <x v="1"/>
  </r>
  <r>
    <x v="230"/>
    <x v="207"/>
    <x v="182"/>
    <x v="0"/>
    <x v="1"/>
    <x v="3"/>
    <x v="230"/>
    <x v="212"/>
    <x v="0"/>
    <x v="2"/>
  </r>
  <r>
    <x v="231"/>
    <x v="208"/>
    <x v="183"/>
    <x v="0"/>
    <x v="2"/>
    <x v="0"/>
    <x v="231"/>
    <x v="213"/>
    <x v="2"/>
    <x v="3"/>
  </r>
  <r>
    <x v="232"/>
    <x v="209"/>
    <x v="184"/>
    <x v="1"/>
    <x v="1"/>
    <x v="3"/>
    <x v="232"/>
    <x v="214"/>
    <x v="0"/>
    <x v="1"/>
  </r>
  <r>
    <x v="233"/>
    <x v="210"/>
    <x v="8"/>
    <x v="1"/>
    <x v="1"/>
    <x v="5"/>
    <x v="233"/>
    <x v="215"/>
    <x v="0"/>
    <x v="1"/>
  </r>
  <r>
    <x v="234"/>
    <x v="211"/>
    <x v="185"/>
    <x v="1"/>
    <x v="2"/>
    <x v="5"/>
    <x v="234"/>
    <x v="216"/>
    <x v="0"/>
    <x v="1"/>
  </r>
  <r>
    <x v="235"/>
    <x v="212"/>
    <x v="186"/>
    <x v="1"/>
    <x v="0"/>
    <x v="4"/>
    <x v="235"/>
    <x v="217"/>
    <x v="1"/>
    <x v="1"/>
  </r>
  <r>
    <x v="236"/>
    <x v="213"/>
    <x v="144"/>
    <x v="1"/>
    <x v="2"/>
    <x v="2"/>
    <x v="236"/>
    <x v="218"/>
    <x v="0"/>
    <x v="0"/>
  </r>
  <r>
    <x v="237"/>
    <x v="214"/>
    <x v="37"/>
    <x v="1"/>
    <x v="1"/>
    <x v="3"/>
    <x v="237"/>
    <x v="219"/>
    <x v="0"/>
    <x v="2"/>
  </r>
  <r>
    <x v="238"/>
    <x v="215"/>
    <x v="187"/>
    <x v="0"/>
    <x v="0"/>
    <x v="0"/>
    <x v="238"/>
    <x v="220"/>
    <x v="0"/>
    <x v="1"/>
  </r>
  <r>
    <x v="239"/>
    <x v="216"/>
    <x v="175"/>
    <x v="0"/>
    <x v="2"/>
    <x v="5"/>
    <x v="239"/>
    <x v="221"/>
    <x v="0"/>
    <x v="0"/>
  </r>
  <r>
    <x v="240"/>
    <x v="217"/>
    <x v="188"/>
    <x v="1"/>
    <x v="2"/>
    <x v="3"/>
    <x v="240"/>
    <x v="222"/>
    <x v="0"/>
    <x v="1"/>
  </r>
  <r>
    <x v="241"/>
    <x v="218"/>
    <x v="189"/>
    <x v="0"/>
    <x v="1"/>
    <x v="2"/>
    <x v="241"/>
    <x v="223"/>
    <x v="0"/>
    <x v="1"/>
  </r>
  <r>
    <x v="242"/>
    <x v="219"/>
    <x v="165"/>
    <x v="1"/>
    <x v="2"/>
    <x v="2"/>
    <x v="242"/>
    <x v="224"/>
    <x v="0"/>
    <x v="2"/>
  </r>
  <r>
    <x v="243"/>
    <x v="220"/>
    <x v="182"/>
    <x v="0"/>
    <x v="1"/>
    <x v="6"/>
    <x v="243"/>
    <x v="130"/>
    <x v="0"/>
    <x v="1"/>
  </r>
  <r>
    <x v="244"/>
    <x v="221"/>
    <x v="190"/>
    <x v="0"/>
    <x v="2"/>
    <x v="5"/>
    <x v="244"/>
    <x v="225"/>
    <x v="0"/>
    <x v="1"/>
  </r>
  <r>
    <x v="245"/>
    <x v="222"/>
    <x v="191"/>
    <x v="0"/>
    <x v="2"/>
    <x v="6"/>
    <x v="245"/>
    <x v="226"/>
    <x v="0"/>
    <x v="0"/>
  </r>
  <r>
    <x v="246"/>
    <x v="223"/>
    <x v="130"/>
    <x v="0"/>
    <x v="1"/>
    <x v="2"/>
    <x v="246"/>
    <x v="227"/>
    <x v="0"/>
    <x v="2"/>
  </r>
  <r>
    <x v="247"/>
    <x v="224"/>
    <x v="192"/>
    <x v="1"/>
    <x v="1"/>
    <x v="5"/>
    <x v="247"/>
    <x v="228"/>
    <x v="1"/>
    <x v="0"/>
  </r>
  <r>
    <x v="248"/>
    <x v="225"/>
    <x v="147"/>
    <x v="1"/>
    <x v="1"/>
    <x v="3"/>
    <x v="248"/>
    <x v="229"/>
    <x v="0"/>
    <x v="0"/>
  </r>
  <r>
    <x v="249"/>
    <x v="226"/>
    <x v="193"/>
    <x v="0"/>
    <x v="2"/>
    <x v="4"/>
    <x v="249"/>
    <x v="230"/>
    <x v="0"/>
    <x v="1"/>
  </r>
  <r>
    <x v="250"/>
    <x v="21"/>
    <x v="21"/>
    <x v="0"/>
    <x v="1"/>
    <x v="5"/>
    <x v="250"/>
    <x v="231"/>
    <x v="0"/>
    <x v="1"/>
  </r>
  <r>
    <x v="251"/>
    <x v="227"/>
    <x v="0"/>
    <x v="0"/>
    <x v="0"/>
    <x v="6"/>
    <x v="251"/>
    <x v="232"/>
    <x v="1"/>
    <x v="1"/>
  </r>
  <r>
    <x v="252"/>
    <x v="228"/>
    <x v="194"/>
    <x v="0"/>
    <x v="1"/>
    <x v="3"/>
    <x v="252"/>
    <x v="233"/>
    <x v="0"/>
    <x v="1"/>
  </r>
  <r>
    <x v="253"/>
    <x v="229"/>
    <x v="195"/>
    <x v="1"/>
    <x v="2"/>
    <x v="1"/>
    <x v="253"/>
    <x v="234"/>
    <x v="0"/>
    <x v="0"/>
  </r>
  <r>
    <x v="254"/>
    <x v="230"/>
    <x v="89"/>
    <x v="1"/>
    <x v="2"/>
    <x v="1"/>
    <x v="254"/>
    <x v="235"/>
    <x v="1"/>
    <x v="2"/>
  </r>
  <r>
    <x v="255"/>
    <x v="231"/>
    <x v="163"/>
    <x v="0"/>
    <x v="1"/>
    <x v="2"/>
    <x v="255"/>
    <x v="236"/>
    <x v="0"/>
    <x v="0"/>
  </r>
  <r>
    <x v="256"/>
    <x v="232"/>
    <x v="196"/>
    <x v="1"/>
    <x v="2"/>
    <x v="0"/>
    <x v="256"/>
    <x v="123"/>
    <x v="1"/>
    <x v="2"/>
  </r>
  <r>
    <x v="257"/>
    <x v="233"/>
    <x v="197"/>
    <x v="0"/>
    <x v="1"/>
    <x v="2"/>
    <x v="257"/>
    <x v="237"/>
    <x v="0"/>
    <x v="2"/>
  </r>
  <r>
    <x v="258"/>
    <x v="74"/>
    <x v="70"/>
    <x v="0"/>
    <x v="2"/>
    <x v="0"/>
    <x v="258"/>
    <x v="238"/>
    <x v="0"/>
    <x v="1"/>
  </r>
  <r>
    <x v="259"/>
    <x v="234"/>
    <x v="47"/>
    <x v="1"/>
    <x v="2"/>
    <x v="3"/>
    <x v="259"/>
    <x v="239"/>
    <x v="1"/>
    <x v="1"/>
  </r>
  <r>
    <x v="260"/>
    <x v="235"/>
    <x v="198"/>
    <x v="1"/>
    <x v="2"/>
    <x v="6"/>
    <x v="260"/>
    <x v="240"/>
    <x v="0"/>
    <x v="0"/>
  </r>
  <r>
    <x v="261"/>
    <x v="236"/>
    <x v="84"/>
    <x v="1"/>
    <x v="2"/>
    <x v="6"/>
    <x v="261"/>
    <x v="241"/>
    <x v="2"/>
    <x v="3"/>
  </r>
  <r>
    <x v="262"/>
    <x v="237"/>
    <x v="199"/>
    <x v="1"/>
    <x v="1"/>
    <x v="5"/>
    <x v="262"/>
    <x v="242"/>
    <x v="1"/>
    <x v="0"/>
  </r>
  <r>
    <x v="263"/>
    <x v="238"/>
    <x v="200"/>
    <x v="0"/>
    <x v="0"/>
    <x v="1"/>
    <x v="263"/>
    <x v="243"/>
    <x v="0"/>
    <x v="1"/>
  </r>
  <r>
    <x v="264"/>
    <x v="239"/>
    <x v="201"/>
    <x v="0"/>
    <x v="1"/>
    <x v="2"/>
    <x v="264"/>
    <x v="244"/>
    <x v="0"/>
    <x v="0"/>
  </r>
  <r>
    <x v="265"/>
    <x v="240"/>
    <x v="195"/>
    <x v="1"/>
    <x v="2"/>
    <x v="5"/>
    <x v="265"/>
    <x v="245"/>
    <x v="1"/>
    <x v="1"/>
  </r>
  <r>
    <x v="266"/>
    <x v="221"/>
    <x v="190"/>
    <x v="0"/>
    <x v="2"/>
    <x v="5"/>
    <x v="266"/>
    <x v="246"/>
    <x v="0"/>
    <x v="0"/>
  </r>
  <r>
    <x v="267"/>
    <x v="241"/>
    <x v="166"/>
    <x v="1"/>
    <x v="2"/>
    <x v="1"/>
    <x v="267"/>
    <x v="247"/>
    <x v="0"/>
    <x v="0"/>
  </r>
  <r>
    <x v="268"/>
    <x v="50"/>
    <x v="48"/>
    <x v="0"/>
    <x v="2"/>
    <x v="6"/>
    <x v="268"/>
    <x v="248"/>
    <x v="1"/>
    <x v="0"/>
  </r>
  <r>
    <x v="269"/>
    <x v="242"/>
    <x v="202"/>
    <x v="0"/>
    <x v="2"/>
    <x v="0"/>
    <x v="269"/>
    <x v="249"/>
    <x v="1"/>
    <x v="0"/>
  </r>
  <r>
    <x v="270"/>
    <x v="243"/>
    <x v="203"/>
    <x v="0"/>
    <x v="1"/>
    <x v="1"/>
    <x v="270"/>
    <x v="250"/>
    <x v="0"/>
    <x v="2"/>
  </r>
  <r>
    <x v="271"/>
    <x v="237"/>
    <x v="199"/>
    <x v="1"/>
    <x v="1"/>
    <x v="5"/>
    <x v="271"/>
    <x v="251"/>
    <x v="0"/>
    <x v="0"/>
  </r>
  <r>
    <x v="272"/>
    <x v="31"/>
    <x v="29"/>
    <x v="0"/>
    <x v="2"/>
    <x v="6"/>
    <x v="272"/>
    <x v="142"/>
    <x v="0"/>
    <x v="0"/>
  </r>
  <r>
    <x v="273"/>
    <x v="244"/>
    <x v="204"/>
    <x v="0"/>
    <x v="2"/>
    <x v="6"/>
    <x v="273"/>
    <x v="252"/>
    <x v="0"/>
    <x v="1"/>
  </r>
  <r>
    <x v="274"/>
    <x v="228"/>
    <x v="194"/>
    <x v="0"/>
    <x v="1"/>
    <x v="3"/>
    <x v="274"/>
    <x v="253"/>
    <x v="0"/>
    <x v="2"/>
  </r>
  <r>
    <x v="275"/>
    <x v="245"/>
    <x v="205"/>
    <x v="1"/>
    <x v="0"/>
    <x v="5"/>
    <x v="275"/>
    <x v="254"/>
    <x v="0"/>
    <x v="0"/>
  </r>
  <r>
    <x v="276"/>
    <x v="246"/>
    <x v="73"/>
    <x v="1"/>
    <x v="2"/>
    <x v="5"/>
    <x v="276"/>
    <x v="255"/>
    <x v="0"/>
    <x v="0"/>
  </r>
  <r>
    <x v="277"/>
    <x v="247"/>
    <x v="206"/>
    <x v="0"/>
    <x v="0"/>
    <x v="3"/>
    <x v="277"/>
    <x v="256"/>
    <x v="0"/>
    <x v="1"/>
  </r>
  <r>
    <x v="278"/>
    <x v="248"/>
    <x v="207"/>
    <x v="0"/>
    <x v="2"/>
    <x v="6"/>
    <x v="278"/>
    <x v="257"/>
    <x v="0"/>
    <x v="2"/>
  </r>
  <r>
    <x v="279"/>
    <x v="249"/>
    <x v="208"/>
    <x v="1"/>
    <x v="2"/>
    <x v="6"/>
    <x v="279"/>
    <x v="76"/>
    <x v="0"/>
    <x v="2"/>
  </r>
  <r>
    <x v="280"/>
    <x v="205"/>
    <x v="180"/>
    <x v="0"/>
    <x v="0"/>
    <x v="6"/>
    <x v="280"/>
    <x v="258"/>
    <x v="2"/>
    <x v="3"/>
  </r>
  <r>
    <x v="281"/>
    <x v="109"/>
    <x v="102"/>
    <x v="0"/>
    <x v="1"/>
    <x v="1"/>
    <x v="281"/>
    <x v="44"/>
    <x v="1"/>
    <x v="0"/>
  </r>
  <r>
    <x v="282"/>
    <x v="250"/>
    <x v="209"/>
    <x v="0"/>
    <x v="2"/>
    <x v="3"/>
    <x v="282"/>
    <x v="259"/>
    <x v="1"/>
    <x v="0"/>
  </r>
  <r>
    <x v="283"/>
    <x v="10"/>
    <x v="10"/>
    <x v="1"/>
    <x v="2"/>
    <x v="1"/>
    <x v="283"/>
    <x v="109"/>
    <x v="0"/>
    <x v="0"/>
  </r>
  <r>
    <x v="284"/>
    <x v="183"/>
    <x v="164"/>
    <x v="0"/>
    <x v="2"/>
    <x v="0"/>
    <x v="284"/>
    <x v="260"/>
    <x v="1"/>
    <x v="2"/>
  </r>
  <r>
    <x v="285"/>
    <x v="251"/>
    <x v="210"/>
    <x v="0"/>
    <x v="1"/>
    <x v="5"/>
    <x v="285"/>
    <x v="261"/>
    <x v="0"/>
    <x v="2"/>
  </r>
  <r>
    <x v="286"/>
    <x v="252"/>
    <x v="211"/>
    <x v="0"/>
    <x v="2"/>
    <x v="2"/>
    <x v="286"/>
    <x v="20"/>
    <x v="0"/>
    <x v="1"/>
  </r>
  <r>
    <x v="287"/>
    <x v="82"/>
    <x v="78"/>
    <x v="1"/>
    <x v="2"/>
    <x v="3"/>
    <x v="287"/>
    <x v="262"/>
    <x v="0"/>
    <x v="1"/>
  </r>
  <r>
    <x v="288"/>
    <x v="253"/>
    <x v="212"/>
    <x v="0"/>
    <x v="2"/>
    <x v="0"/>
    <x v="288"/>
    <x v="263"/>
    <x v="0"/>
    <x v="0"/>
  </r>
  <r>
    <x v="289"/>
    <x v="254"/>
    <x v="213"/>
    <x v="1"/>
    <x v="1"/>
    <x v="0"/>
    <x v="289"/>
    <x v="264"/>
    <x v="1"/>
    <x v="0"/>
  </r>
  <r>
    <x v="290"/>
    <x v="255"/>
    <x v="214"/>
    <x v="0"/>
    <x v="1"/>
    <x v="4"/>
    <x v="290"/>
    <x v="265"/>
    <x v="1"/>
    <x v="0"/>
  </r>
  <r>
    <x v="291"/>
    <x v="256"/>
    <x v="215"/>
    <x v="0"/>
    <x v="1"/>
    <x v="0"/>
    <x v="291"/>
    <x v="266"/>
    <x v="0"/>
    <x v="0"/>
  </r>
  <r>
    <x v="292"/>
    <x v="17"/>
    <x v="17"/>
    <x v="0"/>
    <x v="0"/>
    <x v="5"/>
    <x v="292"/>
    <x v="267"/>
    <x v="0"/>
    <x v="2"/>
  </r>
  <r>
    <x v="293"/>
    <x v="118"/>
    <x v="109"/>
    <x v="1"/>
    <x v="1"/>
    <x v="3"/>
    <x v="293"/>
    <x v="85"/>
    <x v="0"/>
    <x v="1"/>
  </r>
  <r>
    <x v="294"/>
    <x v="240"/>
    <x v="195"/>
    <x v="1"/>
    <x v="2"/>
    <x v="5"/>
    <x v="294"/>
    <x v="268"/>
    <x v="0"/>
    <x v="0"/>
  </r>
  <r>
    <x v="295"/>
    <x v="257"/>
    <x v="216"/>
    <x v="1"/>
    <x v="2"/>
    <x v="0"/>
    <x v="295"/>
    <x v="269"/>
    <x v="0"/>
    <x v="0"/>
  </r>
  <r>
    <x v="296"/>
    <x v="258"/>
    <x v="217"/>
    <x v="0"/>
    <x v="2"/>
    <x v="5"/>
    <x v="296"/>
    <x v="270"/>
    <x v="0"/>
    <x v="1"/>
  </r>
  <r>
    <x v="297"/>
    <x v="259"/>
    <x v="218"/>
    <x v="1"/>
    <x v="2"/>
    <x v="1"/>
    <x v="297"/>
    <x v="271"/>
    <x v="0"/>
    <x v="2"/>
  </r>
  <r>
    <x v="298"/>
    <x v="260"/>
    <x v="219"/>
    <x v="1"/>
    <x v="2"/>
    <x v="6"/>
    <x v="298"/>
    <x v="272"/>
    <x v="0"/>
    <x v="1"/>
  </r>
  <r>
    <x v="299"/>
    <x v="261"/>
    <x v="108"/>
    <x v="1"/>
    <x v="1"/>
    <x v="1"/>
    <x v="299"/>
    <x v="273"/>
    <x v="0"/>
    <x v="2"/>
  </r>
  <r>
    <x v="300"/>
    <x v="262"/>
    <x v="220"/>
    <x v="1"/>
    <x v="2"/>
    <x v="6"/>
    <x v="300"/>
    <x v="47"/>
    <x v="0"/>
    <x v="1"/>
  </r>
  <r>
    <x v="301"/>
    <x v="181"/>
    <x v="162"/>
    <x v="1"/>
    <x v="2"/>
    <x v="5"/>
    <x v="301"/>
    <x v="274"/>
    <x v="1"/>
    <x v="1"/>
  </r>
  <r>
    <x v="302"/>
    <x v="83"/>
    <x v="72"/>
    <x v="0"/>
    <x v="2"/>
    <x v="3"/>
    <x v="302"/>
    <x v="275"/>
    <x v="0"/>
    <x v="2"/>
  </r>
  <r>
    <x v="303"/>
    <x v="263"/>
    <x v="221"/>
    <x v="0"/>
    <x v="2"/>
    <x v="1"/>
    <x v="303"/>
    <x v="276"/>
    <x v="0"/>
    <x v="1"/>
  </r>
  <r>
    <x v="304"/>
    <x v="185"/>
    <x v="165"/>
    <x v="1"/>
    <x v="2"/>
    <x v="1"/>
    <x v="304"/>
    <x v="250"/>
    <x v="0"/>
    <x v="2"/>
  </r>
  <r>
    <x v="305"/>
    <x v="264"/>
    <x v="148"/>
    <x v="0"/>
    <x v="2"/>
    <x v="3"/>
    <x v="305"/>
    <x v="277"/>
    <x v="0"/>
    <x v="1"/>
  </r>
  <r>
    <x v="306"/>
    <x v="265"/>
    <x v="0"/>
    <x v="0"/>
    <x v="0"/>
    <x v="2"/>
    <x v="306"/>
    <x v="278"/>
    <x v="1"/>
    <x v="0"/>
  </r>
  <r>
    <x v="307"/>
    <x v="266"/>
    <x v="176"/>
    <x v="1"/>
    <x v="2"/>
    <x v="5"/>
    <x v="307"/>
    <x v="257"/>
    <x v="0"/>
    <x v="2"/>
  </r>
  <r>
    <x v="308"/>
    <x v="267"/>
    <x v="222"/>
    <x v="0"/>
    <x v="1"/>
    <x v="0"/>
    <x v="308"/>
    <x v="279"/>
    <x v="0"/>
    <x v="0"/>
  </r>
  <r>
    <x v="309"/>
    <x v="268"/>
    <x v="76"/>
    <x v="0"/>
    <x v="1"/>
    <x v="2"/>
    <x v="309"/>
    <x v="280"/>
    <x v="1"/>
    <x v="0"/>
  </r>
  <r>
    <x v="310"/>
    <x v="1"/>
    <x v="1"/>
    <x v="0"/>
    <x v="1"/>
    <x v="1"/>
    <x v="310"/>
    <x v="281"/>
    <x v="0"/>
    <x v="2"/>
  </r>
  <r>
    <x v="311"/>
    <x v="263"/>
    <x v="221"/>
    <x v="0"/>
    <x v="2"/>
    <x v="1"/>
    <x v="311"/>
    <x v="282"/>
    <x v="0"/>
    <x v="1"/>
  </r>
  <r>
    <x v="312"/>
    <x v="67"/>
    <x v="64"/>
    <x v="1"/>
    <x v="0"/>
    <x v="6"/>
    <x v="312"/>
    <x v="283"/>
    <x v="0"/>
    <x v="2"/>
  </r>
  <r>
    <x v="313"/>
    <x v="269"/>
    <x v="100"/>
    <x v="1"/>
    <x v="2"/>
    <x v="1"/>
    <x v="313"/>
    <x v="284"/>
    <x v="0"/>
    <x v="1"/>
  </r>
  <r>
    <x v="314"/>
    <x v="270"/>
    <x v="15"/>
    <x v="1"/>
    <x v="0"/>
    <x v="4"/>
    <x v="314"/>
    <x v="285"/>
    <x v="1"/>
    <x v="1"/>
  </r>
  <r>
    <x v="315"/>
    <x v="271"/>
    <x v="223"/>
    <x v="0"/>
    <x v="2"/>
    <x v="6"/>
    <x v="315"/>
    <x v="286"/>
    <x v="2"/>
    <x v="3"/>
  </r>
  <r>
    <x v="316"/>
    <x v="272"/>
    <x v="224"/>
    <x v="0"/>
    <x v="2"/>
    <x v="6"/>
    <x v="316"/>
    <x v="287"/>
    <x v="0"/>
    <x v="2"/>
  </r>
  <r>
    <x v="317"/>
    <x v="273"/>
    <x v="225"/>
    <x v="0"/>
    <x v="2"/>
    <x v="3"/>
    <x v="317"/>
    <x v="288"/>
    <x v="0"/>
    <x v="1"/>
  </r>
  <r>
    <x v="318"/>
    <x v="274"/>
    <x v="226"/>
    <x v="0"/>
    <x v="0"/>
    <x v="4"/>
    <x v="318"/>
    <x v="289"/>
    <x v="2"/>
    <x v="3"/>
  </r>
  <r>
    <x v="319"/>
    <x v="275"/>
    <x v="227"/>
    <x v="0"/>
    <x v="2"/>
    <x v="2"/>
    <x v="319"/>
    <x v="290"/>
    <x v="0"/>
    <x v="2"/>
  </r>
  <r>
    <x v="320"/>
    <x v="186"/>
    <x v="166"/>
    <x v="1"/>
    <x v="2"/>
    <x v="3"/>
    <x v="320"/>
    <x v="291"/>
    <x v="0"/>
    <x v="0"/>
  </r>
  <r>
    <x v="321"/>
    <x v="276"/>
    <x v="228"/>
    <x v="1"/>
    <x v="1"/>
    <x v="3"/>
    <x v="321"/>
    <x v="71"/>
    <x v="1"/>
    <x v="1"/>
  </r>
  <r>
    <x v="322"/>
    <x v="81"/>
    <x v="77"/>
    <x v="0"/>
    <x v="2"/>
    <x v="2"/>
    <x v="322"/>
    <x v="292"/>
    <x v="2"/>
    <x v="3"/>
  </r>
  <r>
    <x v="323"/>
    <x v="277"/>
    <x v="204"/>
    <x v="0"/>
    <x v="2"/>
    <x v="0"/>
    <x v="323"/>
    <x v="293"/>
    <x v="0"/>
    <x v="1"/>
  </r>
  <r>
    <x v="324"/>
    <x v="278"/>
    <x v="229"/>
    <x v="1"/>
    <x v="0"/>
    <x v="3"/>
    <x v="324"/>
    <x v="294"/>
    <x v="1"/>
    <x v="2"/>
  </r>
  <r>
    <x v="325"/>
    <x v="52"/>
    <x v="50"/>
    <x v="0"/>
    <x v="2"/>
    <x v="0"/>
    <x v="325"/>
    <x v="295"/>
    <x v="0"/>
    <x v="1"/>
  </r>
  <r>
    <x v="326"/>
    <x v="279"/>
    <x v="29"/>
    <x v="0"/>
    <x v="2"/>
    <x v="5"/>
    <x v="326"/>
    <x v="296"/>
    <x v="0"/>
    <x v="1"/>
  </r>
  <r>
    <x v="327"/>
    <x v="119"/>
    <x v="110"/>
    <x v="1"/>
    <x v="2"/>
    <x v="1"/>
    <x v="327"/>
    <x v="297"/>
    <x v="0"/>
    <x v="2"/>
  </r>
  <r>
    <x v="328"/>
    <x v="280"/>
    <x v="230"/>
    <x v="1"/>
    <x v="2"/>
    <x v="5"/>
    <x v="328"/>
    <x v="157"/>
    <x v="1"/>
    <x v="0"/>
  </r>
  <r>
    <x v="329"/>
    <x v="232"/>
    <x v="196"/>
    <x v="1"/>
    <x v="2"/>
    <x v="0"/>
    <x v="329"/>
    <x v="298"/>
    <x v="0"/>
    <x v="0"/>
  </r>
  <r>
    <x v="330"/>
    <x v="279"/>
    <x v="29"/>
    <x v="0"/>
    <x v="2"/>
    <x v="5"/>
    <x v="330"/>
    <x v="299"/>
    <x v="1"/>
    <x v="1"/>
  </r>
  <r>
    <x v="331"/>
    <x v="281"/>
    <x v="122"/>
    <x v="1"/>
    <x v="2"/>
    <x v="0"/>
    <x v="331"/>
    <x v="300"/>
    <x v="2"/>
    <x v="3"/>
  </r>
  <r>
    <x v="332"/>
    <x v="282"/>
    <x v="100"/>
    <x v="1"/>
    <x v="2"/>
    <x v="6"/>
    <x v="332"/>
    <x v="301"/>
    <x v="0"/>
    <x v="0"/>
  </r>
  <r>
    <x v="333"/>
    <x v="283"/>
    <x v="181"/>
    <x v="0"/>
    <x v="2"/>
    <x v="2"/>
    <x v="333"/>
    <x v="302"/>
    <x v="2"/>
    <x v="3"/>
  </r>
  <r>
    <x v="334"/>
    <x v="88"/>
    <x v="82"/>
    <x v="0"/>
    <x v="2"/>
    <x v="2"/>
    <x v="334"/>
    <x v="303"/>
    <x v="1"/>
    <x v="2"/>
  </r>
  <r>
    <x v="335"/>
    <x v="284"/>
    <x v="231"/>
    <x v="1"/>
    <x v="1"/>
    <x v="5"/>
    <x v="335"/>
    <x v="304"/>
    <x v="0"/>
    <x v="2"/>
  </r>
  <r>
    <x v="336"/>
    <x v="285"/>
    <x v="217"/>
    <x v="0"/>
    <x v="2"/>
    <x v="4"/>
    <x v="336"/>
    <x v="138"/>
    <x v="0"/>
    <x v="1"/>
  </r>
  <r>
    <x v="337"/>
    <x v="129"/>
    <x v="120"/>
    <x v="0"/>
    <x v="2"/>
    <x v="0"/>
    <x v="337"/>
    <x v="305"/>
    <x v="1"/>
    <x v="1"/>
  </r>
  <r>
    <x v="338"/>
    <x v="286"/>
    <x v="232"/>
    <x v="0"/>
    <x v="1"/>
    <x v="0"/>
    <x v="338"/>
    <x v="59"/>
    <x v="1"/>
    <x v="2"/>
  </r>
  <r>
    <x v="339"/>
    <x v="287"/>
    <x v="171"/>
    <x v="1"/>
    <x v="1"/>
    <x v="2"/>
    <x v="339"/>
    <x v="0"/>
    <x v="0"/>
    <x v="0"/>
  </r>
  <r>
    <x v="340"/>
    <x v="288"/>
    <x v="99"/>
    <x v="0"/>
    <x v="0"/>
    <x v="5"/>
    <x v="340"/>
    <x v="306"/>
    <x v="0"/>
    <x v="0"/>
  </r>
  <r>
    <x v="341"/>
    <x v="289"/>
    <x v="233"/>
    <x v="1"/>
    <x v="2"/>
    <x v="2"/>
    <x v="341"/>
    <x v="307"/>
    <x v="0"/>
    <x v="1"/>
  </r>
  <r>
    <x v="342"/>
    <x v="290"/>
    <x v="234"/>
    <x v="1"/>
    <x v="2"/>
    <x v="4"/>
    <x v="342"/>
    <x v="308"/>
    <x v="0"/>
    <x v="0"/>
  </r>
  <r>
    <x v="343"/>
    <x v="291"/>
    <x v="235"/>
    <x v="1"/>
    <x v="2"/>
    <x v="3"/>
    <x v="343"/>
    <x v="309"/>
    <x v="0"/>
    <x v="2"/>
  </r>
  <r>
    <x v="344"/>
    <x v="292"/>
    <x v="236"/>
    <x v="0"/>
    <x v="1"/>
    <x v="0"/>
    <x v="344"/>
    <x v="310"/>
    <x v="0"/>
    <x v="1"/>
  </r>
  <r>
    <x v="345"/>
    <x v="293"/>
    <x v="237"/>
    <x v="0"/>
    <x v="1"/>
    <x v="3"/>
    <x v="345"/>
    <x v="311"/>
    <x v="2"/>
    <x v="3"/>
  </r>
  <r>
    <x v="346"/>
    <x v="74"/>
    <x v="70"/>
    <x v="0"/>
    <x v="2"/>
    <x v="0"/>
    <x v="346"/>
    <x v="312"/>
    <x v="0"/>
    <x v="1"/>
  </r>
  <r>
    <x v="347"/>
    <x v="294"/>
    <x v="238"/>
    <x v="1"/>
    <x v="1"/>
    <x v="1"/>
    <x v="347"/>
    <x v="224"/>
    <x v="2"/>
    <x v="3"/>
  </r>
  <r>
    <x v="348"/>
    <x v="295"/>
    <x v="239"/>
    <x v="1"/>
    <x v="0"/>
    <x v="5"/>
    <x v="348"/>
    <x v="113"/>
    <x v="0"/>
    <x v="1"/>
  </r>
  <r>
    <x v="349"/>
    <x v="296"/>
    <x v="240"/>
    <x v="0"/>
    <x v="2"/>
    <x v="5"/>
    <x v="349"/>
    <x v="313"/>
    <x v="1"/>
    <x v="1"/>
  </r>
  <r>
    <x v="350"/>
    <x v="297"/>
    <x v="241"/>
    <x v="0"/>
    <x v="2"/>
    <x v="6"/>
    <x v="350"/>
    <x v="314"/>
    <x v="2"/>
    <x v="3"/>
  </r>
  <r>
    <x v="351"/>
    <x v="298"/>
    <x v="242"/>
    <x v="0"/>
    <x v="2"/>
    <x v="0"/>
    <x v="351"/>
    <x v="315"/>
    <x v="0"/>
    <x v="1"/>
  </r>
  <r>
    <x v="352"/>
    <x v="299"/>
    <x v="243"/>
    <x v="1"/>
    <x v="1"/>
    <x v="4"/>
    <x v="352"/>
    <x v="316"/>
    <x v="0"/>
    <x v="0"/>
  </r>
  <r>
    <x v="353"/>
    <x v="300"/>
    <x v="244"/>
    <x v="0"/>
    <x v="2"/>
    <x v="3"/>
    <x v="353"/>
    <x v="317"/>
    <x v="2"/>
    <x v="3"/>
  </r>
  <r>
    <x v="354"/>
    <x v="250"/>
    <x v="209"/>
    <x v="0"/>
    <x v="2"/>
    <x v="3"/>
    <x v="354"/>
    <x v="293"/>
    <x v="0"/>
    <x v="1"/>
  </r>
  <r>
    <x v="355"/>
    <x v="301"/>
    <x v="78"/>
    <x v="1"/>
    <x v="2"/>
    <x v="3"/>
    <x v="355"/>
    <x v="318"/>
    <x v="0"/>
    <x v="1"/>
  </r>
  <r>
    <x v="356"/>
    <x v="222"/>
    <x v="191"/>
    <x v="0"/>
    <x v="2"/>
    <x v="6"/>
    <x v="356"/>
    <x v="319"/>
    <x v="0"/>
    <x v="1"/>
  </r>
  <r>
    <x v="357"/>
    <x v="302"/>
    <x v="213"/>
    <x v="1"/>
    <x v="1"/>
    <x v="1"/>
    <x v="357"/>
    <x v="320"/>
    <x v="0"/>
    <x v="2"/>
  </r>
  <r>
    <x v="358"/>
    <x v="303"/>
    <x v="245"/>
    <x v="0"/>
    <x v="0"/>
    <x v="1"/>
    <x v="358"/>
    <x v="13"/>
    <x v="0"/>
    <x v="0"/>
  </r>
  <r>
    <x v="359"/>
    <x v="304"/>
    <x v="246"/>
    <x v="0"/>
    <x v="0"/>
    <x v="5"/>
    <x v="359"/>
    <x v="321"/>
    <x v="0"/>
    <x v="0"/>
  </r>
  <r>
    <x v="360"/>
    <x v="198"/>
    <x v="174"/>
    <x v="1"/>
    <x v="2"/>
    <x v="0"/>
    <x v="360"/>
    <x v="322"/>
    <x v="0"/>
    <x v="0"/>
  </r>
  <r>
    <x v="361"/>
    <x v="305"/>
    <x v="3"/>
    <x v="1"/>
    <x v="0"/>
    <x v="2"/>
    <x v="361"/>
    <x v="323"/>
    <x v="1"/>
    <x v="1"/>
  </r>
  <r>
    <x v="362"/>
    <x v="72"/>
    <x v="68"/>
    <x v="1"/>
    <x v="0"/>
    <x v="5"/>
    <x v="362"/>
    <x v="204"/>
    <x v="1"/>
    <x v="1"/>
  </r>
  <r>
    <x v="363"/>
    <x v="58"/>
    <x v="56"/>
    <x v="1"/>
    <x v="2"/>
    <x v="2"/>
    <x v="363"/>
    <x v="324"/>
    <x v="0"/>
    <x v="1"/>
  </r>
  <r>
    <x v="364"/>
    <x v="306"/>
    <x v="247"/>
    <x v="0"/>
    <x v="1"/>
    <x v="1"/>
    <x v="364"/>
    <x v="132"/>
    <x v="0"/>
    <x v="1"/>
  </r>
  <r>
    <x v="365"/>
    <x v="307"/>
    <x v="45"/>
    <x v="1"/>
    <x v="2"/>
    <x v="0"/>
    <x v="365"/>
    <x v="325"/>
    <x v="0"/>
    <x v="0"/>
  </r>
  <r>
    <x v="366"/>
    <x v="308"/>
    <x v="248"/>
    <x v="0"/>
    <x v="2"/>
    <x v="3"/>
    <x v="366"/>
    <x v="326"/>
    <x v="0"/>
    <x v="2"/>
  </r>
  <r>
    <x v="367"/>
    <x v="242"/>
    <x v="202"/>
    <x v="0"/>
    <x v="2"/>
    <x v="0"/>
    <x v="367"/>
    <x v="327"/>
    <x v="0"/>
    <x v="2"/>
  </r>
  <r>
    <x v="368"/>
    <x v="309"/>
    <x v="249"/>
    <x v="1"/>
    <x v="1"/>
    <x v="1"/>
    <x v="368"/>
    <x v="328"/>
    <x v="0"/>
    <x v="1"/>
  </r>
  <r>
    <x v="369"/>
    <x v="310"/>
    <x v="250"/>
    <x v="0"/>
    <x v="2"/>
    <x v="1"/>
    <x v="369"/>
    <x v="329"/>
    <x v="1"/>
    <x v="2"/>
  </r>
  <r>
    <x v="370"/>
    <x v="311"/>
    <x v="251"/>
    <x v="0"/>
    <x v="2"/>
    <x v="0"/>
    <x v="370"/>
    <x v="330"/>
    <x v="1"/>
    <x v="1"/>
  </r>
  <r>
    <x v="371"/>
    <x v="260"/>
    <x v="219"/>
    <x v="1"/>
    <x v="2"/>
    <x v="6"/>
    <x v="371"/>
    <x v="331"/>
    <x v="1"/>
    <x v="1"/>
  </r>
  <r>
    <x v="372"/>
    <x v="166"/>
    <x v="150"/>
    <x v="1"/>
    <x v="1"/>
    <x v="1"/>
    <x v="372"/>
    <x v="332"/>
    <x v="0"/>
    <x v="0"/>
  </r>
  <r>
    <x v="373"/>
    <x v="312"/>
    <x v="202"/>
    <x v="0"/>
    <x v="2"/>
    <x v="1"/>
    <x v="373"/>
    <x v="333"/>
    <x v="0"/>
    <x v="2"/>
  </r>
  <r>
    <x v="374"/>
    <x v="313"/>
    <x v="252"/>
    <x v="1"/>
    <x v="1"/>
    <x v="4"/>
    <x v="374"/>
    <x v="334"/>
    <x v="0"/>
    <x v="2"/>
  </r>
  <r>
    <x v="375"/>
    <x v="314"/>
    <x v="253"/>
    <x v="1"/>
    <x v="2"/>
    <x v="1"/>
    <x v="375"/>
    <x v="335"/>
    <x v="1"/>
    <x v="0"/>
  </r>
  <r>
    <x v="376"/>
    <x v="315"/>
    <x v="254"/>
    <x v="1"/>
    <x v="2"/>
    <x v="0"/>
    <x v="376"/>
    <x v="336"/>
    <x v="0"/>
    <x v="1"/>
  </r>
  <r>
    <x v="377"/>
    <x v="316"/>
    <x v="255"/>
    <x v="0"/>
    <x v="1"/>
    <x v="3"/>
    <x v="377"/>
    <x v="337"/>
    <x v="0"/>
    <x v="1"/>
  </r>
  <r>
    <x v="378"/>
    <x v="317"/>
    <x v="256"/>
    <x v="1"/>
    <x v="1"/>
    <x v="2"/>
    <x v="378"/>
    <x v="338"/>
    <x v="1"/>
    <x v="0"/>
  </r>
  <r>
    <x v="379"/>
    <x v="318"/>
    <x v="257"/>
    <x v="0"/>
    <x v="2"/>
    <x v="4"/>
    <x v="379"/>
    <x v="339"/>
    <x v="0"/>
    <x v="0"/>
  </r>
  <r>
    <x v="380"/>
    <x v="319"/>
    <x v="143"/>
    <x v="1"/>
    <x v="2"/>
    <x v="3"/>
    <x v="380"/>
    <x v="340"/>
    <x v="0"/>
    <x v="0"/>
  </r>
  <r>
    <x v="381"/>
    <x v="161"/>
    <x v="145"/>
    <x v="0"/>
    <x v="2"/>
    <x v="0"/>
    <x v="381"/>
    <x v="341"/>
    <x v="0"/>
    <x v="0"/>
  </r>
  <r>
    <x v="382"/>
    <x v="70"/>
    <x v="66"/>
    <x v="1"/>
    <x v="0"/>
    <x v="5"/>
    <x v="382"/>
    <x v="342"/>
    <x v="1"/>
    <x v="1"/>
  </r>
  <r>
    <x v="383"/>
    <x v="320"/>
    <x v="258"/>
    <x v="1"/>
    <x v="0"/>
    <x v="5"/>
    <x v="383"/>
    <x v="343"/>
    <x v="0"/>
    <x v="0"/>
  </r>
  <r>
    <x v="384"/>
    <x v="27"/>
    <x v="26"/>
    <x v="1"/>
    <x v="2"/>
    <x v="4"/>
    <x v="384"/>
    <x v="344"/>
    <x v="0"/>
    <x v="2"/>
  </r>
  <r>
    <x v="385"/>
    <x v="277"/>
    <x v="204"/>
    <x v="0"/>
    <x v="2"/>
    <x v="0"/>
    <x v="385"/>
    <x v="72"/>
    <x v="0"/>
    <x v="0"/>
  </r>
  <r>
    <x v="386"/>
    <x v="321"/>
    <x v="259"/>
    <x v="1"/>
    <x v="2"/>
    <x v="5"/>
    <x v="386"/>
    <x v="91"/>
    <x v="0"/>
    <x v="2"/>
  </r>
  <r>
    <x v="387"/>
    <x v="322"/>
    <x v="260"/>
    <x v="0"/>
    <x v="2"/>
    <x v="0"/>
    <x v="387"/>
    <x v="345"/>
    <x v="1"/>
    <x v="1"/>
  </r>
  <r>
    <x v="388"/>
    <x v="323"/>
    <x v="261"/>
    <x v="1"/>
    <x v="2"/>
    <x v="0"/>
    <x v="388"/>
    <x v="346"/>
    <x v="0"/>
    <x v="1"/>
  </r>
  <r>
    <x v="389"/>
    <x v="23"/>
    <x v="23"/>
    <x v="0"/>
    <x v="2"/>
    <x v="5"/>
    <x v="389"/>
    <x v="347"/>
    <x v="0"/>
    <x v="1"/>
  </r>
  <r>
    <x v="390"/>
    <x v="324"/>
    <x v="262"/>
    <x v="1"/>
    <x v="2"/>
    <x v="0"/>
    <x v="390"/>
    <x v="348"/>
    <x v="0"/>
    <x v="1"/>
  </r>
  <r>
    <x v="391"/>
    <x v="325"/>
    <x v="146"/>
    <x v="0"/>
    <x v="2"/>
    <x v="2"/>
    <x v="391"/>
    <x v="349"/>
    <x v="0"/>
    <x v="1"/>
  </r>
  <r>
    <x v="392"/>
    <x v="88"/>
    <x v="82"/>
    <x v="0"/>
    <x v="2"/>
    <x v="2"/>
    <x v="392"/>
    <x v="350"/>
    <x v="1"/>
    <x v="2"/>
  </r>
  <r>
    <x v="393"/>
    <x v="326"/>
    <x v="263"/>
    <x v="1"/>
    <x v="2"/>
    <x v="0"/>
    <x v="393"/>
    <x v="351"/>
    <x v="2"/>
    <x v="3"/>
  </r>
  <r>
    <x v="394"/>
    <x v="327"/>
    <x v="264"/>
    <x v="1"/>
    <x v="0"/>
    <x v="4"/>
    <x v="394"/>
    <x v="352"/>
    <x v="0"/>
    <x v="2"/>
  </r>
  <r>
    <x v="395"/>
    <x v="328"/>
    <x v="150"/>
    <x v="1"/>
    <x v="1"/>
    <x v="4"/>
    <x v="395"/>
    <x v="217"/>
    <x v="0"/>
    <x v="1"/>
  </r>
  <r>
    <x v="396"/>
    <x v="329"/>
    <x v="221"/>
    <x v="0"/>
    <x v="2"/>
    <x v="2"/>
    <x v="396"/>
    <x v="353"/>
    <x v="0"/>
    <x v="2"/>
  </r>
  <r>
    <x v="397"/>
    <x v="330"/>
    <x v="137"/>
    <x v="0"/>
    <x v="2"/>
    <x v="6"/>
    <x v="397"/>
    <x v="354"/>
    <x v="0"/>
    <x v="1"/>
  </r>
  <r>
    <x v="398"/>
    <x v="331"/>
    <x v="225"/>
    <x v="0"/>
    <x v="2"/>
    <x v="5"/>
    <x v="398"/>
    <x v="107"/>
    <x v="0"/>
    <x v="0"/>
  </r>
  <r>
    <x v="399"/>
    <x v="270"/>
    <x v="15"/>
    <x v="1"/>
    <x v="0"/>
    <x v="4"/>
    <x v="399"/>
    <x v="355"/>
    <x v="0"/>
    <x v="1"/>
  </r>
  <r>
    <x v="400"/>
    <x v="75"/>
    <x v="71"/>
    <x v="1"/>
    <x v="1"/>
    <x v="5"/>
    <x v="400"/>
    <x v="141"/>
    <x v="0"/>
    <x v="2"/>
  </r>
  <r>
    <x v="401"/>
    <x v="332"/>
    <x v="265"/>
    <x v="1"/>
    <x v="0"/>
    <x v="3"/>
    <x v="401"/>
    <x v="356"/>
    <x v="0"/>
    <x v="2"/>
  </r>
  <r>
    <x v="402"/>
    <x v="333"/>
    <x v="266"/>
    <x v="1"/>
    <x v="1"/>
    <x v="1"/>
    <x v="402"/>
    <x v="357"/>
    <x v="0"/>
    <x v="2"/>
  </r>
  <r>
    <x v="403"/>
    <x v="20"/>
    <x v="20"/>
    <x v="0"/>
    <x v="2"/>
    <x v="6"/>
    <x v="403"/>
    <x v="358"/>
    <x v="2"/>
    <x v="3"/>
  </r>
  <r>
    <x v="404"/>
    <x v="334"/>
    <x v="267"/>
    <x v="1"/>
    <x v="2"/>
    <x v="5"/>
    <x v="404"/>
    <x v="359"/>
    <x v="1"/>
    <x v="0"/>
  </r>
  <r>
    <x v="405"/>
    <x v="335"/>
    <x v="188"/>
    <x v="1"/>
    <x v="2"/>
    <x v="3"/>
    <x v="405"/>
    <x v="360"/>
    <x v="2"/>
    <x v="3"/>
  </r>
  <r>
    <x v="406"/>
    <x v="336"/>
    <x v="238"/>
    <x v="1"/>
    <x v="1"/>
    <x v="1"/>
    <x v="406"/>
    <x v="361"/>
    <x v="0"/>
    <x v="1"/>
  </r>
  <r>
    <x v="407"/>
    <x v="67"/>
    <x v="64"/>
    <x v="1"/>
    <x v="0"/>
    <x v="6"/>
    <x v="407"/>
    <x v="362"/>
    <x v="0"/>
    <x v="2"/>
  </r>
  <r>
    <x v="408"/>
    <x v="337"/>
    <x v="129"/>
    <x v="1"/>
    <x v="2"/>
    <x v="2"/>
    <x v="408"/>
    <x v="66"/>
    <x v="1"/>
    <x v="1"/>
  </r>
  <r>
    <x v="409"/>
    <x v="145"/>
    <x v="135"/>
    <x v="0"/>
    <x v="2"/>
    <x v="0"/>
    <x v="409"/>
    <x v="363"/>
    <x v="0"/>
    <x v="0"/>
  </r>
  <r>
    <x v="410"/>
    <x v="338"/>
    <x v="268"/>
    <x v="0"/>
    <x v="1"/>
    <x v="3"/>
    <x v="410"/>
    <x v="364"/>
    <x v="0"/>
    <x v="0"/>
  </r>
  <r>
    <x v="411"/>
    <x v="339"/>
    <x v="250"/>
    <x v="0"/>
    <x v="2"/>
    <x v="2"/>
    <x v="411"/>
    <x v="365"/>
    <x v="0"/>
    <x v="0"/>
  </r>
  <r>
    <x v="412"/>
    <x v="340"/>
    <x v="269"/>
    <x v="0"/>
    <x v="1"/>
    <x v="3"/>
    <x v="412"/>
    <x v="366"/>
    <x v="1"/>
    <x v="1"/>
  </r>
  <r>
    <x v="413"/>
    <x v="341"/>
    <x v="239"/>
    <x v="1"/>
    <x v="0"/>
    <x v="6"/>
    <x v="413"/>
    <x v="367"/>
    <x v="1"/>
    <x v="1"/>
  </r>
  <r>
    <x v="414"/>
    <x v="60"/>
    <x v="58"/>
    <x v="1"/>
    <x v="1"/>
    <x v="1"/>
    <x v="414"/>
    <x v="368"/>
    <x v="0"/>
    <x v="0"/>
  </r>
  <r>
    <x v="415"/>
    <x v="207"/>
    <x v="182"/>
    <x v="0"/>
    <x v="1"/>
    <x v="3"/>
    <x v="415"/>
    <x v="369"/>
    <x v="1"/>
    <x v="0"/>
  </r>
  <r>
    <x v="416"/>
    <x v="342"/>
    <x v="270"/>
    <x v="0"/>
    <x v="2"/>
    <x v="5"/>
    <x v="416"/>
    <x v="370"/>
    <x v="0"/>
    <x v="1"/>
  </r>
  <r>
    <x v="417"/>
    <x v="343"/>
    <x v="205"/>
    <x v="1"/>
    <x v="0"/>
    <x v="0"/>
    <x v="417"/>
    <x v="371"/>
    <x v="1"/>
    <x v="2"/>
  </r>
  <r>
    <x v="418"/>
    <x v="11"/>
    <x v="11"/>
    <x v="0"/>
    <x v="1"/>
    <x v="4"/>
    <x v="418"/>
    <x v="372"/>
    <x v="0"/>
    <x v="0"/>
  </r>
  <r>
    <x v="419"/>
    <x v="98"/>
    <x v="91"/>
    <x v="0"/>
    <x v="2"/>
    <x v="5"/>
    <x v="419"/>
    <x v="373"/>
    <x v="0"/>
    <x v="1"/>
  </r>
  <r>
    <x v="420"/>
    <x v="323"/>
    <x v="261"/>
    <x v="1"/>
    <x v="2"/>
    <x v="0"/>
    <x v="420"/>
    <x v="374"/>
    <x v="1"/>
    <x v="1"/>
  </r>
  <r>
    <x v="421"/>
    <x v="344"/>
    <x v="271"/>
    <x v="0"/>
    <x v="2"/>
    <x v="4"/>
    <x v="421"/>
    <x v="375"/>
    <x v="1"/>
    <x v="2"/>
  </r>
  <r>
    <x v="422"/>
    <x v="345"/>
    <x v="272"/>
    <x v="0"/>
    <x v="2"/>
    <x v="1"/>
    <x v="422"/>
    <x v="376"/>
    <x v="0"/>
    <x v="2"/>
  </r>
  <r>
    <x v="423"/>
    <x v="346"/>
    <x v="273"/>
    <x v="1"/>
    <x v="0"/>
    <x v="2"/>
    <x v="423"/>
    <x v="218"/>
    <x v="0"/>
    <x v="0"/>
  </r>
  <r>
    <x v="424"/>
    <x v="307"/>
    <x v="45"/>
    <x v="1"/>
    <x v="2"/>
    <x v="0"/>
    <x v="424"/>
    <x v="377"/>
    <x v="1"/>
    <x v="1"/>
  </r>
  <r>
    <x v="425"/>
    <x v="347"/>
    <x v="274"/>
    <x v="1"/>
    <x v="2"/>
    <x v="3"/>
    <x v="425"/>
    <x v="378"/>
    <x v="1"/>
    <x v="2"/>
  </r>
  <r>
    <x v="426"/>
    <x v="348"/>
    <x v="142"/>
    <x v="0"/>
    <x v="2"/>
    <x v="3"/>
    <x v="426"/>
    <x v="379"/>
    <x v="0"/>
    <x v="2"/>
  </r>
  <r>
    <x v="427"/>
    <x v="274"/>
    <x v="226"/>
    <x v="0"/>
    <x v="0"/>
    <x v="4"/>
    <x v="427"/>
    <x v="380"/>
    <x v="0"/>
    <x v="1"/>
  </r>
  <r>
    <x v="428"/>
    <x v="349"/>
    <x v="88"/>
    <x v="1"/>
    <x v="2"/>
    <x v="6"/>
    <x v="428"/>
    <x v="381"/>
    <x v="0"/>
    <x v="2"/>
  </r>
  <r>
    <x v="429"/>
    <x v="184"/>
    <x v="129"/>
    <x v="1"/>
    <x v="2"/>
    <x v="5"/>
    <x v="429"/>
    <x v="382"/>
    <x v="0"/>
    <x v="2"/>
  </r>
  <r>
    <x v="430"/>
    <x v="350"/>
    <x v="275"/>
    <x v="1"/>
    <x v="1"/>
    <x v="4"/>
    <x v="430"/>
    <x v="383"/>
    <x v="0"/>
    <x v="1"/>
  </r>
  <r>
    <x v="431"/>
    <x v="351"/>
    <x v="276"/>
    <x v="0"/>
    <x v="1"/>
    <x v="2"/>
    <x v="431"/>
    <x v="384"/>
    <x v="1"/>
    <x v="0"/>
  </r>
  <r>
    <x v="432"/>
    <x v="352"/>
    <x v="277"/>
    <x v="0"/>
    <x v="1"/>
    <x v="4"/>
    <x v="432"/>
    <x v="385"/>
    <x v="0"/>
    <x v="1"/>
  </r>
  <r>
    <x v="433"/>
    <x v="32"/>
    <x v="30"/>
    <x v="0"/>
    <x v="2"/>
    <x v="0"/>
    <x v="433"/>
    <x v="53"/>
    <x v="0"/>
    <x v="0"/>
  </r>
  <r>
    <x v="434"/>
    <x v="353"/>
    <x v="278"/>
    <x v="1"/>
    <x v="2"/>
    <x v="5"/>
    <x v="434"/>
    <x v="149"/>
    <x v="0"/>
    <x v="1"/>
  </r>
  <r>
    <x v="435"/>
    <x v="354"/>
    <x v="93"/>
    <x v="1"/>
    <x v="0"/>
    <x v="6"/>
    <x v="435"/>
    <x v="386"/>
    <x v="0"/>
    <x v="1"/>
  </r>
  <r>
    <x v="436"/>
    <x v="355"/>
    <x v="279"/>
    <x v="1"/>
    <x v="2"/>
    <x v="1"/>
    <x v="436"/>
    <x v="387"/>
    <x v="0"/>
    <x v="0"/>
  </r>
  <r>
    <x v="437"/>
    <x v="356"/>
    <x v="280"/>
    <x v="1"/>
    <x v="2"/>
    <x v="5"/>
    <x v="437"/>
    <x v="388"/>
    <x v="0"/>
    <x v="0"/>
  </r>
  <r>
    <x v="438"/>
    <x v="163"/>
    <x v="147"/>
    <x v="1"/>
    <x v="1"/>
    <x v="6"/>
    <x v="438"/>
    <x v="389"/>
    <x v="0"/>
    <x v="2"/>
  </r>
  <r>
    <x v="439"/>
    <x v="52"/>
    <x v="50"/>
    <x v="0"/>
    <x v="2"/>
    <x v="0"/>
    <x v="439"/>
    <x v="390"/>
    <x v="0"/>
    <x v="1"/>
  </r>
  <r>
    <x v="440"/>
    <x v="357"/>
    <x v="177"/>
    <x v="1"/>
    <x v="0"/>
    <x v="2"/>
    <x v="440"/>
    <x v="391"/>
    <x v="2"/>
    <x v="3"/>
  </r>
  <r>
    <x v="441"/>
    <x v="358"/>
    <x v="281"/>
    <x v="1"/>
    <x v="2"/>
    <x v="2"/>
    <x v="441"/>
    <x v="354"/>
    <x v="1"/>
    <x v="1"/>
  </r>
  <r>
    <x v="442"/>
    <x v="229"/>
    <x v="195"/>
    <x v="1"/>
    <x v="2"/>
    <x v="1"/>
    <x v="442"/>
    <x v="392"/>
    <x v="1"/>
    <x v="1"/>
  </r>
  <r>
    <x v="443"/>
    <x v="359"/>
    <x v="82"/>
    <x v="0"/>
    <x v="2"/>
    <x v="2"/>
    <x v="443"/>
    <x v="393"/>
    <x v="2"/>
    <x v="3"/>
  </r>
  <r>
    <x v="444"/>
    <x v="360"/>
    <x v="282"/>
    <x v="1"/>
    <x v="1"/>
    <x v="6"/>
    <x v="444"/>
    <x v="335"/>
    <x v="0"/>
    <x v="0"/>
  </r>
  <r>
    <x v="445"/>
    <x v="361"/>
    <x v="283"/>
    <x v="0"/>
    <x v="1"/>
    <x v="3"/>
    <x v="445"/>
    <x v="394"/>
    <x v="0"/>
    <x v="1"/>
  </r>
  <r>
    <x v="446"/>
    <x v="362"/>
    <x v="284"/>
    <x v="0"/>
    <x v="2"/>
    <x v="1"/>
    <x v="446"/>
    <x v="395"/>
    <x v="0"/>
    <x v="1"/>
  </r>
  <r>
    <x v="447"/>
    <x v="126"/>
    <x v="117"/>
    <x v="0"/>
    <x v="2"/>
    <x v="5"/>
    <x v="447"/>
    <x v="185"/>
    <x v="0"/>
    <x v="0"/>
  </r>
  <r>
    <x v="448"/>
    <x v="363"/>
    <x v="244"/>
    <x v="0"/>
    <x v="2"/>
    <x v="5"/>
    <x v="448"/>
    <x v="396"/>
    <x v="0"/>
    <x v="1"/>
  </r>
  <r>
    <x v="449"/>
    <x v="282"/>
    <x v="100"/>
    <x v="1"/>
    <x v="2"/>
    <x v="6"/>
    <x v="449"/>
    <x v="57"/>
    <x v="1"/>
    <x v="2"/>
  </r>
  <r>
    <x v="450"/>
    <x v="92"/>
    <x v="86"/>
    <x v="0"/>
    <x v="2"/>
    <x v="4"/>
    <x v="450"/>
    <x v="397"/>
    <x v="0"/>
    <x v="0"/>
  </r>
  <r>
    <x v="451"/>
    <x v="126"/>
    <x v="117"/>
    <x v="0"/>
    <x v="2"/>
    <x v="5"/>
    <x v="451"/>
    <x v="151"/>
    <x v="0"/>
    <x v="1"/>
  </r>
  <r>
    <x v="452"/>
    <x v="288"/>
    <x v="99"/>
    <x v="0"/>
    <x v="0"/>
    <x v="5"/>
    <x v="452"/>
    <x v="398"/>
    <x v="0"/>
    <x v="1"/>
  </r>
  <r>
    <x v="453"/>
    <x v="364"/>
    <x v="285"/>
    <x v="0"/>
    <x v="1"/>
    <x v="4"/>
    <x v="453"/>
    <x v="399"/>
    <x v="0"/>
    <x v="0"/>
  </r>
  <r>
    <x v="454"/>
    <x v="365"/>
    <x v="286"/>
    <x v="0"/>
    <x v="2"/>
    <x v="4"/>
    <x v="454"/>
    <x v="400"/>
    <x v="0"/>
    <x v="0"/>
  </r>
  <r>
    <x v="455"/>
    <x v="189"/>
    <x v="167"/>
    <x v="0"/>
    <x v="0"/>
    <x v="4"/>
    <x v="455"/>
    <x v="315"/>
    <x v="0"/>
    <x v="1"/>
  </r>
  <r>
    <x v="456"/>
    <x v="366"/>
    <x v="287"/>
    <x v="0"/>
    <x v="2"/>
    <x v="6"/>
    <x v="456"/>
    <x v="401"/>
    <x v="0"/>
    <x v="0"/>
  </r>
  <r>
    <x v="457"/>
    <x v="150"/>
    <x v="124"/>
    <x v="0"/>
    <x v="2"/>
    <x v="6"/>
    <x v="457"/>
    <x v="291"/>
    <x v="0"/>
    <x v="0"/>
  </r>
  <r>
    <x v="458"/>
    <x v="50"/>
    <x v="48"/>
    <x v="0"/>
    <x v="2"/>
    <x v="6"/>
    <x v="458"/>
    <x v="402"/>
    <x v="1"/>
    <x v="1"/>
  </r>
  <r>
    <x v="459"/>
    <x v="367"/>
    <x v="92"/>
    <x v="0"/>
    <x v="2"/>
    <x v="0"/>
    <x v="459"/>
    <x v="403"/>
    <x v="0"/>
    <x v="2"/>
  </r>
  <r>
    <x v="460"/>
    <x v="368"/>
    <x v="288"/>
    <x v="0"/>
    <x v="2"/>
    <x v="0"/>
    <x v="460"/>
    <x v="404"/>
    <x v="0"/>
    <x v="0"/>
  </r>
  <r>
    <x v="461"/>
    <x v="85"/>
    <x v="79"/>
    <x v="0"/>
    <x v="2"/>
    <x v="5"/>
    <x v="461"/>
    <x v="405"/>
    <x v="1"/>
    <x v="1"/>
  </r>
  <r>
    <x v="462"/>
    <x v="147"/>
    <x v="137"/>
    <x v="0"/>
    <x v="2"/>
    <x v="0"/>
    <x v="462"/>
    <x v="406"/>
    <x v="2"/>
    <x v="3"/>
  </r>
  <r>
    <x v="463"/>
    <x v="369"/>
    <x v="289"/>
    <x v="0"/>
    <x v="2"/>
    <x v="4"/>
    <x v="463"/>
    <x v="407"/>
    <x v="0"/>
    <x v="0"/>
  </r>
  <r>
    <x v="464"/>
    <x v="370"/>
    <x v="290"/>
    <x v="1"/>
    <x v="0"/>
    <x v="0"/>
    <x v="464"/>
    <x v="408"/>
    <x v="0"/>
    <x v="0"/>
  </r>
  <r>
    <x v="465"/>
    <x v="371"/>
    <x v="291"/>
    <x v="1"/>
    <x v="0"/>
    <x v="5"/>
    <x v="465"/>
    <x v="10"/>
    <x v="1"/>
    <x v="1"/>
  </r>
  <r>
    <x v="466"/>
    <x v="372"/>
    <x v="292"/>
    <x v="1"/>
    <x v="0"/>
    <x v="3"/>
    <x v="466"/>
    <x v="165"/>
    <x v="0"/>
    <x v="2"/>
  </r>
  <r>
    <x v="467"/>
    <x v="279"/>
    <x v="29"/>
    <x v="0"/>
    <x v="2"/>
    <x v="5"/>
    <x v="467"/>
    <x v="409"/>
    <x v="0"/>
    <x v="1"/>
  </r>
  <r>
    <x v="468"/>
    <x v="373"/>
    <x v="293"/>
    <x v="1"/>
    <x v="2"/>
    <x v="5"/>
    <x v="468"/>
    <x v="82"/>
    <x v="0"/>
    <x v="0"/>
  </r>
  <r>
    <x v="469"/>
    <x v="374"/>
    <x v="74"/>
    <x v="0"/>
    <x v="2"/>
    <x v="4"/>
    <x v="469"/>
    <x v="410"/>
    <x v="1"/>
    <x v="1"/>
  </r>
  <r>
    <x v="470"/>
    <x v="199"/>
    <x v="175"/>
    <x v="0"/>
    <x v="2"/>
    <x v="0"/>
    <x v="470"/>
    <x v="411"/>
    <x v="1"/>
    <x v="0"/>
  </r>
  <r>
    <x v="471"/>
    <x v="375"/>
    <x v="24"/>
    <x v="0"/>
    <x v="1"/>
    <x v="3"/>
    <x v="471"/>
    <x v="412"/>
    <x v="0"/>
    <x v="1"/>
  </r>
  <r>
    <x v="472"/>
    <x v="376"/>
    <x v="294"/>
    <x v="1"/>
    <x v="0"/>
    <x v="5"/>
    <x v="472"/>
    <x v="413"/>
    <x v="0"/>
    <x v="1"/>
  </r>
  <r>
    <x v="473"/>
    <x v="377"/>
    <x v="128"/>
    <x v="0"/>
    <x v="1"/>
    <x v="3"/>
    <x v="473"/>
    <x v="198"/>
    <x v="0"/>
    <x v="1"/>
  </r>
  <r>
    <x v="474"/>
    <x v="378"/>
    <x v="295"/>
    <x v="1"/>
    <x v="1"/>
    <x v="2"/>
    <x v="474"/>
    <x v="414"/>
    <x v="0"/>
    <x v="1"/>
  </r>
  <r>
    <x v="475"/>
    <x v="58"/>
    <x v="56"/>
    <x v="1"/>
    <x v="2"/>
    <x v="2"/>
    <x v="475"/>
    <x v="415"/>
    <x v="0"/>
    <x v="0"/>
  </r>
  <r>
    <x v="476"/>
    <x v="58"/>
    <x v="56"/>
    <x v="1"/>
    <x v="2"/>
    <x v="2"/>
    <x v="476"/>
    <x v="186"/>
    <x v="0"/>
    <x v="0"/>
  </r>
  <r>
    <x v="477"/>
    <x v="379"/>
    <x v="296"/>
    <x v="0"/>
    <x v="0"/>
    <x v="2"/>
    <x v="477"/>
    <x v="416"/>
    <x v="0"/>
    <x v="0"/>
  </r>
  <r>
    <x v="478"/>
    <x v="380"/>
    <x v="297"/>
    <x v="0"/>
    <x v="2"/>
    <x v="1"/>
    <x v="478"/>
    <x v="417"/>
    <x v="0"/>
    <x v="2"/>
  </r>
  <r>
    <x v="479"/>
    <x v="227"/>
    <x v="0"/>
    <x v="0"/>
    <x v="0"/>
    <x v="6"/>
    <x v="479"/>
    <x v="418"/>
    <x v="0"/>
    <x v="0"/>
  </r>
  <r>
    <x v="480"/>
    <x v="381"/>
    <x v="223"/>
    <x v="0"/>
    <x v="2"/>
    <x v="0"/>
    <x v="480"/>
    <x v="419"/>
    <x v="1"/>
    <x v="0"/>
  </r>
  <r>
    <x v="481"/>
    <x v="382"/>
    <x v="298"/>
    <x v="0"/>
    <x v="0"/>
    <x v="0"/>
    <x v="481"/>
    <x v="420"/>
    <x v="1"/>
    <x v="1"/>
  </r>
  <r>
    <x v="482"/>
    <x v="46"/>
    <x v="44"/>
    <x v="0"/>
    <x v="2"/>
    <x v="5"/>
    <x v="482"/>
    <x v="421"/>
    <x v="0"/>
    <x v="1"/>
  </r>
  <r>
    <x v="483"/>
    <x v="140"/>
    <x v="130"/>
    <x v="0"/>
    <x v="1"/>
    <x v="1"/>
    <x v="483"/>
    <x v="422"/>
    <x v="0"/>
    <x v="2"/>
  </r>
  <r>
    <x v="484"/>
    <x v="5"/>
    <x v="5"/>
    <x v="1"/>
    <x v="2"/>
    <x v="1"/>
    <x v="484"/>
    <x v="423"/>
    <x v="0"/>
    <x v="2"/>
  </r>
  <r>
    <x v="485"/>
    <x v="383"/>
    <x v="299"/>
    <x v="1"/>
    <x v="2"/>
    <x v="1"/>
    <x v="485"/>
    <x v="218"/>
    <x v="1"/>
    <x v="0"/>
  </r>
  <r>
    <x v="486"/>
    <x v="384"/>
    <x v="193"/>
    <x v="0"/>
    <x v="2"/>
    <x v="6"/>
    <x v="486"/>
    <x v="424"/>
    <x v="1"/>
    <x v="1"/>
  </r>
  <r>
    <x v="487"/>
    <x v="385"/>
    <x v="300"/>
    <x v="1"/>
    <x v="0"/>
    <x v="2"/>
    <x v="487"/>
    <x v="425"/>
    <x v="1"/>
    <x v="1"/>
  </r>
  <r>
    <x v="488"/>
    <x v="386"/>
    <x v="301"/>
    <x v="0"/>
    <x v="2"/>
    <x v="1"/>
    <x v="488"/>
    <x v="351"/>
    <x v="0"/>
    <x v="0"/>
  </r>
  <r>
    <x v="489"/>
    <x v="158"/>
    <x v="143"/>
    <x v="1"/>
    <x v="2"/>
    <x v="3"/>
    <x v="489"/>
    <x v="426"/>
    <x v="2"/>
    <x v="3"/>
  </r>
  <r>
    <x v="490"/>
    <x v="387"/>
    <x v="302"/>
    <x v="0"/>
    <x v="2"/>
    <x v="6"/>
    <x v="490"/>
    <x v="427"/>
    <x v="1"/>
    <x v="2"/>
  </r>
  <r>
    <x v="491"/>
    <x v="363"/>
    <x v="244"/>
    <x v="0"/>
    <x v="2"/>
    <x v="5"/>
    <x v="491"/>
    <x v="383"/>
    <x v="0"/>
    <x v="1"/>
  </r>
  <r>
    <x v="492"/>
    <x v="388"/>
    <x v="51"/>
    <x v="0"/>
    <x v="0"/>
    <x v="2"/>
    <x v="492"/>
    <x v="428"/>
    <x v="1"/>
    <x v="1"/>
  </r>
  <r>
    <x v="493"/>
    <x v="389"/>
    <x v="215"/>
    <x v="0"/>
    <x v="1"/>
    <x v="0"/>
    <x v="493"/>
    <x v="429"/>
    <x v="0"/>
    <x v="0"/>
  </r>
  <r>
    <x v="494"/>
    <x v="390"/>
    <x v="120"/>
    <x v="0"/>
    <x v="2"/>
    <x v="6"/>
    <x v="494"/>
    <x v="317"/>
    <x v="0"/>
    <x v="0"/>
  </r>
  <r>
    <x v="495"/>
    <x v="334"/>
    <x v="267"/>
    <x v="1"/>
    <x v="2"/>
    <x v="5"/>
    <x v="495"/>
    <x v="430"/>
    <x v="1"/>
    <x v="2"/>
  </r>
  <r>
    <x v="496"/>
    <x v="391"/>
    <x v="277"/>
    <x v="0"/>
    <x v="1"/>
    <x v="3"/>
    <x v="496"/>
    <x v="431"/>
    <x v="0"/>
    <x v="1"/>
  </r>
  <r>
    <x v="497"/>
    <x v="318"/>
    <x v="257"/>
    <x v="0"/>
    <x v="2"/>
    <x v="4"/>
    <x v="497"/>
    <x v="432"/>
    <x v="1"/>
    <x v="0"/>
  </r>
  <r>
    <x v="498"/>
    <x v="392"/>
    <x v="303"/>
    <x v="1"/>
    <x v="2"/>
    <x v="5"/>
    <x v="498"/>
    <x v="433"/>
    <x v="0"/>
    <x v="0"/>
  </r>
  <r>
    <x v="499"/>
    <x v="144"/>
    <x v="134"/>
    <x v="0"/>
    <x v="1"/>
    <x v="0"/>
    <x v="499"/>
    <x v="434"/>
    <x v="2"/>
    <x v="3"/>
  </r>
  <r>
    <x v="500"/>
    <x v="393"/>
    <x v="304"/>
    <x v="1"/>
    <x v="2"/>
    <x v="0"/>
    <x v="500"/>
    <x v="435"/>
    <x v="0"/>
    <x v="1"/>
  </r>
  <r>
    <x v="501"/>
    <x v="394"/>
    <x v="28"/>
    <x v="1"/>
    <x v="2"/>
    <x v="5"/>
    <x v="501"/>
    <x v="436"/>
    <x v="0"/>
    <x v="1"/>
  </r>
  <r>
    <x v="502"/>
    <x v="395"/>
    <x v="285"/>
    <x v="0"/>
    <x v="1"/>
    <x v="2"/>
    <x v="502"/>
    <x v="437"/>
    <x v="1"/>
    <x v="2"/>
  </r>
  <r>
    <x v="503"/>
    <x v="396"/>
    <x v="94"/>
    <x v="0"/>
    <x v="2"/>
    <x v="2"/>
    <x v="503"/>
    <x v="438"/>
    <x v="0"/>
    <x v="0"/>
  </r>
  <r>
    <x v="504"/>
    <x v="397"/>
    <x v="252"/>
    <x v="1"/>
    <x v="1"/>
    <x v="2"/>
    <x v="504"/>
    <x v="439"/>
    <x v="0"/>
    <x v="0"/>
  </r>
  <r>
    <x v="505"/>
    <x v="398"/>
    <x v="26"/>
    <x v="1"/>
    <x v="2"/>
    <x v="5"/>
    <x v="505"/>
    <x v="440"/>
    <x v="0"/>
    <x v="1"/>
  </r>
  <r>
    <x v="506"/>
    <x v="124"/>
    <x v="115"/>
    <x v="0"/>
    <x v="1"/>
    <x v="0"/>
    <x v="506"/>
    <x v="441"/>
    <x v="0"/>
    <x v="0"/>
  </r>
  <r>
    <x v="507"/>
    <x v="365"/>
    <x v="286"/>
    <x v="0"/>
    <x v="2"/>
    <x v="4"/>
    <x v="507"/>
    <x v="329"/>
    <x v="2"/>
    <x v="3"/>
  </r>
  <r>
    <x v="508"/>
    <x v="399"/>
    <x v="177"/>
    <x v="1"/>
    <x v="0"/>
    <x v="4"/>
    <x v="508"/>
    <x v="338"/>
    <x v="0"/>
    <x v="0"/>
  </r>
  <r>
    <x v="509"/>
    <x v="400"/>
    <x v="305"/>
    <x v="1"/>
    <x v="1"/>
    <x v="5"/>
    <x v="509"/>
    <x v="442"/>
    <x v="1"/>
    <x v="0"/>
  </r>
  <r>
    <x v="510"/>
    <x v="401"/>
    <x v="306"/>
    <x v="1"/>
    <x v="1"/>
    <x v="4"/>
    <x v="510"/>
    <x v="58"/>
    <x v="0"/>
    <x v="1"/>
  </r>
  <r>
    <x v="511"/>
    <x v="338"/>
    <x v="268"/>
    <x v="0"/>
    <x v="1"/>
    <x v="3"/>
    <x v="511"/>
    <x v="443"/>
    <x v="0"/>
    <x v="1"/>
  </r>
  <r>
    <x v="512"/>
    <x v="402"/>
    <x v="19"/>
    <x v="1"/>
    <x v="0"/>
    <x v="1"/>
    <x v="512"/>
    <x v="444"/>
    <x v="0"/>
    <x v="0"/>
  </r>
  <r>
    <x v="513"/>
    <x v="403"/>
    <x v="307"/>
    <x v="0"/>
    <x v="1"/>
    <x v="3"/>
    <x v="513"/>
    <x v="445"/>
    <x v="0"/>
    <x v="1"/>
  </r>
  <r>
    <x v="514"/>
    <x v="404"/>
    <x v="48"/>
    <x v="0"/>
    <x v="2"/>
    <x v="4"/>
    <x v="514"/>
    <x v="446"/>
    <x v="0"/>
    <x v="1"/>
  </r>
  <r>
    <x v="515"/>
    <x v="405"/>
    <x v="210"/>
    <x v="0"/>
    <x v="1"/>
    <x v="0"/>
    <x v="515"/>
    <x v="272"/>
    <x v="0"/>
    <x v="1"/>
  </r>
  <r>
    <x v="516"/>
    <x v="406"/>
    <x v="308"/>
    <x v="0"/>
    <x v="2"/>
    <x v="3"/>
    <x v="516"/>
    <x v="447"/>
    <x v="1"/>
    <x v="2"/>
  </r>
  <r>
    <x v="517"/>
    <x v="407"/>
    <x v="309"/>
    <x v="0"/>
    <x v="1"/>
    <x v="4"/>
    <x v="517"/>
    <x v="448"/>
    <x v="0"/>
    <x v="1"/>
  </r>
  <r>
    <x v="518"/>
    <x v="408"/>
    <x v="310"/>
    <x v="0"/>
    <x v="2"/>
    <x v="0"/>
    <x v="518"/>
    <x v="449"/>
    <x v="2"/>
    <x v="3"/>
  </r>
  <r>
    <x v="519"/>
    <x v="145"/>
    <x v="135"/>
    <x v="0"/>
    <x v="2"/>
    <x v="0"/>
    <x v="519"/>
    <x v="214"/>
    <x v="0"/>
    <x v="1"/>
  </r>
  <r>
    <x v="520"/>
    <x v="85"/>
    <x v="79"/>
    <x v="0"/>
    <x v="2"/>
    <x v="5"/>
    <x v="520"/>
    <x v="59"/>
    <x v="0"/>
    <x v="2"/>
  </r>
  <r>
    <x v="521"/>
    <x v="409"/>
    <x v="311"/>
    <x v="1"/>
    <x v="2"/>
    <x v="5"/>
    <x v="521"/>
    <x v="450"/>
    <x v="0"/>
    <x v="1"/>
  </r>
  <r>
    <x v="522"/>
    <x v="410"/>
    <x v="44"/>
    <x v="0"/>
    <x v="2"/>
    <x v="3"/>
    <x v="522"/>
    <x v="286"/>
    <x v="0"/>
    <x v="2"/>
  </r>
  <r>
    <x v="523"/>
    <x v="411"/>
    <x v="312"/>
    <x v="0"/>
    <x v="0"/>
    <x v="6"/>
    <x v="523"/>
    <x v="451"/>
    <x v="0"/>
    <x v="2"/>
  </r>
  <r>
    <x v="524"/>
    <x v="412"/>
    <x v="76"/>
    <x v="0"/>
    <x v="1"/>
    <x v="5"/>
    <x v="524"/>
    <x v="452"/>
    <x v="1"/>
    <x v="0"/>
  </r>
  <r>
    <x v="525"/>
    <x v="115"/>
    <x v="107"/>
    <x v="1"/>
    <x v="2"/>
    <x v="1"/>
    <x v="525"/>
    <x v="453"/>
    <x v="0"/>
    <x v="1"/>
  </r>
  <r>
    <x v="526"/>
    <x v="413"/>
    <x v="313"/>
    <x v="0"/>
    <x v="2"/>
    <x v="4"/>
    <x v="526"/>
    <x v="297"/>
    <x v="0"/>
    <x v="2"/>
  </r>
  <r>
    <x v="527"/>
    <x v="383"/>
    <x v="299"/>
    <x v="1"/>
    <x v="2"/>
    <x v="1"/>
    <x v="527"/>
    <x v="454"/>
    <x v="0"/>
    <x v="0"/>
  </r>
  <r>
    <x v="528"/>
    <x v="414"/>
    <x v="314"/>
    <x v="0"/>
    <x v="2"/>
    <x v="1"/>
    <x v="528"/>
    <x v="455"/>
    <x v="0"/>
    <x v="0"/>
  </r>
  <r>
    <x v="529"/>
    <x v="124"/>
    <x v="115"/>
    <x v="0"/>
    <x v="1"/>
    <x v="0"/>
    <x v="529"/>
    <x v="456"/>
    <x v="2"/>
    <x v="3"/>
  </r>
  <r>
    <x v="530"/>
    <x v="415"/>
    <x v="177"/>
    <x v="1"/>
    <x v="0"/>
    <x v="2"/>
    <x v="530"/>
    <x v="47"/>
    <x v="0"/>
    <x v="1"/>
  </r>
  <r>
    <x v="531"/>
    <x v="416"/>
    <x v="315"/>
    <x v="1"/>
    <x v="1"/>
    <x v="4"/>
    <x v="531"/>
    <x v="457"/>
    <x v="0"/>
    <x v="0"/>
  </r>
  <r>
    <x v="532"/>
    <x v="417"/>
    <x v="104"/>
    <x v="0"/>
    <x v="0"/>
    <x v="0"/>
    <x v="532"/>
    <x v="250"/>
    <x v="0"/>
    <x v="2"/>
  </r>
  <r>
    <x v="533"/>
    <x v="319"/>
    <x v="143"/>
    <x v="1"/>
    <x v="2"/>
    <x v="3"/>
    <x v="533"/>
    <x v="213"/>
    <x v="0"/>
    <x v="1"/>
  </r>
  <r>
    <x v="534"/>
    <x v="233"/>
    <x v="197"/>
    <x v="0"/>
    <x v="1"/>
    <x v="2"/>
    <x v="534"/>
    <x v="458"/>
    <x v="1"/>
    <x v="1"/>
  </r>
  <r>
    <x v="535"/>
    <x v="418"/>
    <x v="316"/>
    <x v="0"/>
    <x v="2"/>
    <x v="6"/>
    <x v="535"/>
    <x v="75"/>
    <x v="0"/>
    <x v="1"/>
  </r>
  <r>
    <x v="536"/>
    <x v="419"/>
    <x v="317"/>
    <x v="0"/>
    <x v="2"/>
    <x v="3"/>
    <x v="536"/>
    <x v="459"/>
    <x v="1"/>
    <x v="0"/>
  </r>
  <r>
    <x v="537"/>
    <x v="420"/>
    <x v="318"/>
    <x v="1"/>
    <x v="2"/>
    <x v="0"/>
    <x v="537"/>
    <x v="460"/>
    <x v="0"/>
    <x v="0"/>
  </r>
  <r>
    <x v="538"/>
    <x v="421"/>
    <x v="180"/>
    <x v="0"/>
    <x v="0"/>
    <x v="5"/>
    <x v="538"/>
    <x v="388"/>
    <x v="1"/>
    <x v="0"/>
  </r>
  <r>
    <x v="539"/>
    <x v="170"/>
    <x v="154"/>
    <x v="1"/>
    <x v="0"/>
    <x v="5"/>
    <x v="539"/>
    <x v="461"/>
    <x v="0"/>
    <x v="1"/>
  </r>
  <r>
    <x v="540"/>
    <x v="283"/>
    <x v="181"/>
    <x v="0"/>
    <x v="2"/>
    <x v="2"/>
    <x v="540"/>
    <x v="421"/>
    <x v="0"/>
    <x v="1"/>
  </r>
  <r>
    <x v="541"/>
    <x v="115"/>
    <x v="107"/>
    <x v="1"/>
    <x v="2"/>
    <x v="1"/>
    <x v="541"/>
    <x v="181"/>
    <x v="0"/>
    <x v="1"/>
  </r>
  <r>
    <x v="542"/>
    <x v="422"/>
    <x v="257"/>
    <x v="0"/>
    <x v="2"/>
    <x v="5"/>
    <x v="542"/>
    <x v="375"/>
    <x v="0"/>
    <x v="2"/>
  </r>
  <r>
    <x v="543"/>
    <x v="423"/>
    <x v="204"/>
    <x v="0"/>
    <x v="2"/>
    <x v="1"/>
    <x v="543"/>
    <x v="356"/>
    <x v="1"/>
    <x v="2"/>
  </r>
  <r>
    <x v="544"/>
    <x v="424"/>
    <x v="319"/>
    <x v="1"/>
    <x v="2"/>
    <x v="4"/>
    <x v="544"/>
    <x v="462"/>
    <x v="1"/>
    <x v="1"/>
  </r>
  <r>
    <x v="545"/>
    <x v="392"/>
    <x v="303"/>
    <x v="1"/>
    <x v="2"/>
    <x v="5"/>
    <x v="545"/>
    <x v="463"/>
    <x v="0"/>
    <x v="0"/>
  </r>
  <r>
    <x v="546"/>
    <x v="425"/>
    <x v="320"/>
    <x v="1"/>
    <x v="1"/>
    <x v="0"/>
    <x v="546"/>
    <x v="464"/>
    <x v="0"/>
    <x v="2"/>
  </r>
  <r>
    <x v="547"/>
    <x v="426"/>
    <x v="37"/>
    <x v="1"/>
    <x v="1"/>
    <x v="3"/>
    <x v="547"/>
    <x v="281"/>
    <x v="0"/>
    <x v="2"/>
  </r>
  <r>
    <x v="548"/>
    <x v="242"/>
    <x v="202"/>
    <x v="0"/>
    <x v="2"/>
    <x v="0"/>
    <x v="548"/>
    <x v="465"/>
    <x v="0"/>
    <x v="0"/>
  </r>
  <r>
    <x v="549"/>
    <x v="427"/>
    <x v="226"/>
    <x v="0"/>
    <x v="0"/>
    <x v="6"/>
    <x v="549"/>
    <x v="270"/>
    <x v="0"/>
    <x v="1"/>
  </r>
  <r>
    <x v="550"/>
    <x v="428"/>
    <x v="58"/>
    <x v="1"/>
    <x v="1"/>
    <x v="2"/>
    <x v="550"/>
    <x v="466"/>
    <x v="0"/>
    <x v="1"/>
  </r>
  <r>
    <x v="551"/>
    <x v="169"/>
    <x v="153"/>
    <x v="0"/>
    <x v="1"/>
    <x v="6"/>
    <x v="551"/>
    <x v="467"/>
    <x v="2"/>
    <x v="3"/>
  </r>
  <r>
    <x v="552"/>
    <x v="181"/>
    <x v="162"/>
    <x v="1"/>
    <x v="2"/>
    <x v="5"/>
    <x v="552"/>
    <x v="380"/>
    <x v="1"/>
    <x v="1"/>
  </r>
  <r>
    <x v="553"/>
    <x v="187"/>
    <x v="45"/>
    <x v="1"/>
    <x v="2"/>
    <x v="2"/>
    <x v="553"/>
    <x v="468"/>
    <x v="1"/>
    <x v="1"/>
  </r>
  <r>
    <x v="554"/>
    <x v="429"/>
    <x v="321"/>
    <x v="0"/>
    <x v="2"/>
    <x v="6"/>
    <x v="554"/>
    <x v="469"/>
    <x v="0"/>
    <x v="1"/>
  </r>
  <r>
    <x v="555"/>
    <x v="430"/>
    <x v="322"/>
    <x v="1"/>
    <x v="1"/>
    <x v="1"/>
    <x v="555"/>
    <x v="470"/>
    <x v="0"/>
    <x v="1"/>
  </r>
  <r>
    <x v="556"/>
    <x v="431"/>
    <x v="323"/>
    <x v="0"/>
    <x v="2"/>
    <x v="5"/>
    <x v="556"/>
    <x v="471"/>
    <x v="0"/>
    <x v="1"/>
  </r>
  <r>
    <x v="557"/>
    <x v="432"/>
    <x v="324"/>
    <x v="1"/>
    <x v="0"/>
    <x v="6"/>
    <x v="557"/>
    <x v="472"/>
    <x v="2"/>
    <x v="3"/>
  </r>
  <r>
    <x v="558"/>
    <x v="165"/>
    <x v="149"/>
    <x v="1"/>
    <x v="1"/>
    <x v="1"/>
    <x v="558"/>
    <x v="473"/>
    <x v="0"/>
    <x v="1"/>
  </r>
  <r>
    <x v="559"/>
    <x v="433"/>
    <x v="325"/>
    <x v="0"/>
    <x v="0"/>
    <x v="1"/>
    <x v="559"/>
    <x v="474"/>
    <x v="0"/>
    <x v="1"/>
  </r>
  <r>
    <x v="560"/>
    <x v="434"/>
    <x v="326"/>
    <x v="0"/>
    <x v="2"/>
    <x v="0"/>
    <x v="560"/>
    <x v="257"/>
    <x v="0"/>
    <x v="2"/>
  </r>
  <r>
    <x v="561"/>
    <x v="429"/>
    <x v="321"/>
    <x v="0"/>
    <x v="2"/>
    <x v="6"/>
    <x v="561"/>
    <x v="475"/>
    <x v="1"/>
    <x v="1"/>
  </r>
  <r>
    <x v="562"/>
    <x v="435"/>
    <x v="289"/>
    <x v="0"/>
    <x v="2"/>
    <x v="3"/>
    <x v="562"/>
    <x v="476"/>
    <x v="0"/>
    <x v="1"/>
  </r>
  <r>
    <x v="563"/>
    <x v="112"/>
    <x v="104"/>
    <x v="0"/>
    <x v="0"/>
    <x v="1"/>
    <x v="563"/>
    <x v="477"/>
    <x v="1"/>
    <x v="0"/>
  </r>
  <r>
    <x v="564"/>
    <x v="358"/>
    <x v="281"/>
    <x v="1"/>
    <x v="2"/>
    <x v="2"/>
    <x v="564"/>
    <x v="478"/>
    <x v="0"/>
    <x v="1"/>
  </r>
  <r>
    <x v="565"/>
    <x v="436"/>
    <x v="327"/>
    <x v="0"/>
    <x v="2"/>
    <x v="5"/>
    <x v="565"/>
    <x v="479"/>
    <x v="2"/>
    <x v="3"/>
  </r>
  <r>
    <x v="566"/>
    <x v="207"/>
    <x v="182"/>
    <x v="0"/>
    <x v="1"/>
    <x v="3"/>
    <x v="566"/>
    <x v="480"/>
    <x v="1"/>
    <x v="0"/>
  </r>
  <r>
    <x v="567"/>
    <x v="406"/>
    <x v="308"/>
    <x v="0"/>
    <x v="2"/>
    <x v="3"/>
    <x v="567"/>
    <x v="481"/>
    <x v="2"/>
    <x v="3"/>
  </r>
  <r>
    <x v="568"/>
    <x v="437"/>
    <x v="38"/>
    <x v="1"/>
    <x v="2"/>
    <x v="3"/>
    <x v="568"/>
    <x v="482"/>
    <x v="0"/>
    <x v="2"/>
  </r>
  <r>
    <x v="569"/>
    <x v="438"/>
    <x v="96"/>
    <x v="1"/>
    <x v="2"/>
    <x v="0"/>
    <x v="569"/>
    <x v="483"/>
    <x v="0"/>
    <x v="0"/>
  </r>
  <r>
    <x v="570"/>
    <x v="439"/>
    <x v="328"/>
    <x v="1"/>
    <x v="2"/>
    <x v="3"/>
    <x v="570"/>
    <x v="484"/>
    <x v="1"/>
    <x v="1"/>
  </r>
  <r>
    <x v="571"/>
    <x v="440"/>
    <x v="329"/>
    <x v="1"/>
    <x v="1"/>
    <x v="1"/>
    <x v="571"/>
    <x v="419"/>
    <x v="0"/>
    <x v="0"/>
  </r>
  <r>
    <x v="572"/>
    <x v="296"/>
    <x v="240"/>
    <x v="0"/>
    <x v="2"/>
    <x v="5"/>
    <x v="572"/>
    <x v="485"/>
    <x v="0"/>
    <x v="2"/>
  </r>
  <r>
    <x v="573"/>
    <x v="441"/>
    <x v="38"/>
    <x v="1"/>
    <x v="2"/>
    <x v="6"/>
    <x v="573"/>
    <x v="201"/>
    <x v="0"/>
    <x v="1"/>
  </r>
  <r>
    <x v="574"/>
    <x v="106"/>
    <x v="99"/>
    <x v="0"/>
    <x v="0"/>
    <x v="2"/>
    <x v="574"/>
    <x v="153"/>
    <x v="0"/>
    <x v="2"/>
  </r>
  <r>
    <x v="575"/>
    <x v="339"/>
    <x v="250"/>
    <x v="0"/>
    <x v="2"/>
    <x v="2"/>
    <x v="575"/>
    <x v="486"/>
    <x v="0"/>
    <x v="0"/>
  </r>
  <r>
    <x v="576"/>
    <x v="442"/>
    <x v="7"/>
    <x v="1"/>
    <x v="2"/>
    <x v="0"/>
    <x v="576"/>
    <x v="487"/>
    <x v="0"/>
    <x v="0"/>
  </r>
  <r>
    <x v="577"/>
    <x v="182"/>
    <x v="163"/>
    <x v="0"/>
    <x v="1"/>
    <x v="2"/>
    <x v="577"/>
    <x v="488"/>
    <x v="0"/>
    <x v="2"/>
  </r>
  <r>
    <x v="578"/>
    <x v="443"/>
    <x v="107"/>
    <x v="1"/>
    <x v="2"/>
    <x v="6"/>
    <x v="578"/>
    <x v="489"/>
    <x v="0"/>
    <x v="1"/>
  </r>
  <r>
    <x v="579"/>
    <x v="122"/>
    <x v="113"/>
    <x v="0"/>
    <x v="2"/>
    <x v="6"/>
    <x v="579"/>
    <x v="490"/>
    <x v="1"/>
    <x v="2"/>
  </r>
  <r>
    <x v="580"/>
    <x v="444"/>
    <x v="49"/>
    <x v="0"/>
    <x v="0"/>
    <x v="6"/>
    <x v="580"/>
    <x v="404"/>
    <x v="2"/>
    <x v="3"/>
  </r>
  <r>
    <x v="581"/>
    <x v="445"/>
    <x v="330"/>
    <x v="1"/>
    <x v="2"/>
    <x v="2"/>
    <x v="581"/>
    <x v="114"/>
    <x v="0"/>
    <x v="0"/>
  </r>
  <r>
    <x v="582"/>
    <x v="446"/>
    <x v="331"/>
    <x v="1"/>
    <x v="2"/>
    <x v="6"/>
    <x v="582"/>
    <x v="491"/>
    <x v="1"/>
    <x v="2"/>
  </r>
  <r>
    <x v="583"/>
    <x v="330"/>
    <x v="137"/>
    <x v="0"/>
    <x v="2"/>
    <x v="6"/>
    <x v="583"/>
    <x v="492"/>
    <x v="0"/>
    <x v="2"/>
  </r>
  <r>
    <x v="584"/>
    <x v="447"/>
    <x v="268"/>
    <x v="0"/>
    <x v="1"/>
    <x v="0"/>
    <x v="584"/>
    <x v="493"/>
    <x v="0"/>
    <x v="2"/>
  </r>
  <r>
    <x v="585"/>
    <x v="39"/>
    <x v="37"/>
    <x v="1"/>
    <x v="1"/>
    <x v="0"/>
    <x v="585"/>
    <x v="494"/>
    <x v="0"/>
    <x v="1"/>
  </r>
  <r>
    <x v="586"/>
    <x v="78"/>
    <x v="74"/>
    <x v="0"/>
    <x v="2"/>
    <x v="0"/>
    <x v="586"/>
    <x v="82"/>
    <x v="0"/>
    <x v="0"/>
  </r>
  <r>
    <x v="587"/>
    <x v="448"/>
    <x v="154"/>
    <x v="1"/>
    <x v="0"/>
    <x v="1"/>
    <x v="587"/>
    <x v="326"/>
    <x v="0"/>
    <x v="2"/>
  </r>
  <r>
    <x v="588"/>
    <x v="449"/>
    <x v="332"/>
    <x v="1"/>
    <x v="1"/>
    <x v="4"/>
    <x v="588"/>
    <x v="269"/>
    <x v="0"/>
    <x v="0"/>
  </r>
  <r>
    <x v="589"/>
    <x v="450"/>
    <x v="118"/>
    <x v="1"/>
    <x v="0"/>
    <x v="4"/>
    <x v="589"/>
    <x v="278"/>
    <x v="0"/>
    <x v="0"/>
  </r>
  <r>
    <x v="590"/>
    <x v="402"/>
    <x v="19"/>
    <x v="1"/>
    <x v="0"/>
    <x v="1"/>
    <x v="590"/>
    <x v="495"/>
    <x v="0"/>
    <x v="1"/>
  </r>
  <r>
    <x v="591"/>
    <x v="451"/>
    <x v="254"/>
    <x v="1"/>
    <x v="2"/>
    <x v="5"/>
    <x v="591"/>
    <x v="17"/>
    <x v="0"/>
    <x v="1"/>
  </r>
  <r>
    <x v="592"/>
    <x v="452"/>
    <x v="333"/>
    <x v="1"/>
    <x v="2"/>
    <x v="2"/>
    <x v="592"/>
    <x v="496"/>
    <x v="2"/>
    <x v="3"/>
  </r>
  <r>
    <x v="593"/>
    <x v="453"/>
    <x v="334"/>
    <x v="0"/>
    <x v="2"/>
    <x v="5"/>
    <x v="593"/>
    <x v="497"/>
    <x v="0"/>
    <x v="0"/>
  </r>
  <r>
    <x v="594"/>
    <x v="428"/>
    <x v="58"/>
    <x v="1"/>
    <x v="1"/>
    <x v="2"/>
    <x v="594"/>
    <x v="498"/>
    <x v="0"/>
    <x v="0"/>
  </r>
  <r>
    <x v="595"/>
    <x v="454"/>
    <x v="67"/>
    <x v="1"/>
    <x v="1"/>
    <x v="6"/>
    <x v="595"/>
    <x v="499"/>
    <x v="0"/>
    <x v="2"/>
  </r>
  <r>
    <x v="596"/>
    <x v="396"/>
    <x v="94"/>
    <x v="0"/>
    <x v="2"/>
    <x v="2"/>
    <x v="596"/>
    <x v="318"/>
    <x v="0"/>
    <x v="1"/>
  </r>
  <r>
    <x v="597"/>
    <x v="438"/>
    <x v="96"/>
    <x v="1"/>
    <x v="2"/>
    <x v="0"/>
    <x v="597"/>
    <x v="500"/>
    <x v="1"/>
    <x v="2"/>
  </r>
  <r>
    <x v="598"/>
    <x v="455"/>
    <x v="12"/>
    <x v="0"/>
    <x v="1"/>
    <x v="3"/>
    <x v="598"/>
    <x v="501"/>
    <x v="0"/>
    <x v="1"/>
  </r>
  <r>
    <x v="599"/>
    <x v="456"/>
    <x v="335"/>
    <x v="0"/>
    <x v="1"/>
    <x v="3"/>
    <x v="599"/>
    <x v="2"/>
    <x v="2"/>
    <x v="3"/>
  </r>
  <r>
    <x v="600"/>
    <x v="99"/>
    <x v="92"/>
    <x v="0"/>
    <x v="2"/>
    <x v="6"/>
    <x v="600"/>
    <x v="134"/>
    <x v="2"/>
    <x v="3"/>
  </r>
  <r>
    <x v="601"/>
    <x v="209"/>
    <x v="184"/>
    <x v="1"/>
    <x v="1"/>
    <x v="3"/>
    <x v="601"/>
    <x v="502"/>
    <x v="0"/>
    <x v="2"/>
  </r>
  <r>
    <x v="602"/>
    <x v="55"/>
    <x v="53"/>
    <x v="1"/>
    <x v="1"/>
    <x v="6"/>
    <x v="602"/>
    <x v="503"/>
    <x v="0"/>
    <x v="0"/>
  </r>
  <r>
    <x v="603"/>
    <x v="52"/>
    <x v="50"/>
    <x v="0"/>
    <x v="2"/>
    <x v="0"/>
    <x v="603"/>
    <x v="504"/>
    <x v="0"/>
    <x v="1"/>
  </r>
  <r>
    <x v="604"/>
    <x v="212"/>
    <x v="186"/>
    <x v="1"/>
    <x v="0"/>
    <x v="4"/>
    <x v="604"/>
    <x v="505"/>
    <x v="2"/>
    <x v="3"/>
  </r>
  <r>
    <x v="605"/>
    <x v="457"/>
    <x v="336"/>
    <x v="0"/>
    <x v="0"/>
    <x v="4"/>
    <x v="605"/>
    <x v="415"/>
    <x v="1"/>
    <x v="0"/>
  </r>
  <r>
    <x v="606"/>
    <x v="458"/>
    <x v="337"/>
    <x v="1"/>
    <x v="2"/>
    <x v="6"/>
    <x v="606"/>
    <x v="410"/>
    <x v="0"/>
    <x v="1"/>
  </r>
  <r>
    <x v="607"/>
    <x v="459"/>
    <x v="56"/>
    <x v="1"/>
    <x v="2"/>
    <x v="0"/>
    <x v="607"/>
    <x v="506"/>
    <x v="0"/>
    <x v="1"/>
  </r>
  <r>
    <x v="608"/>
    <x v="174"/>
    <x v="158"/>
    <x v="1"/>
    <x v="2"/>
    <x v="1"/>
    <x v="608"/>
    <x v="10"/>
    <x v="0"/>
    <x v="1"/>
  </r>
  <r>
    <x v="609"/>
    <x v="423"/>
    <x v="204"/>
    <x v="0"/>
    <x v="2"/>
    <x v="1"/>
    <x v="609"/>
    <x v="507"/>
    <x v="1"/>
    <x v="0"/>
  </r>
  <r>
    <x v="610"/>
    <x v="33"/>
    <x v="31"/>
    <x v="0"/>
    <x v="1"/>
    <x v="4"/>
    <x v="610"/>
    <x v="508"/>
    <x v="0"/>
    <x v="0"/>
  </r>
  <r>
    <x v="611"/>
    <x v="460"/>
    <x v="338"/>
    <x v="1"/>
    <x v="2"/>
    <x v="1"/>
    <x v="611"/>
    <x v="392"/>
    <x v="0"/>
    <x v="1"/>
  </r>
  <r>
    <x v="612"/>
    <x v="461"/>
    <x v="339"/>
    <x v="1"/>
    <x v="1"/>
    <x v="4"/>
    <x v="612"/>
    <x v="509"/>
    <x v="1"/>
    <x v="0"/>
  </r>
  <r>
    <x v="613"/>
    <x v="462"/>
    <x v="340"/>
    <x v="1"/>
    <x v="2"/>
    <x v="4"/>
    <x v="613"/>
    <x v="510"/>
    <x v="1"/>
    <x v="0"/>
  </r>
  <r>
    <x v="614"/>
    <x v="436"/>
    <x v="327"/>
    <x v="0"/>
    <x v="2"/>
    <x v="5"/>
    <x v="614"/>
    <x v="511"/>
    <x v="0"/>
    <x v="2"/>
  </r>
  <r>
    <x v="615"/>
    <x v="212"/>
    <x v="186"/>
    <x v="1"/>
    <x v="0"/>
    <x v="4"/>
    <x v="615"/>
    <x v="208"/>
    <x v="2"/>
    <x v="3"/>
  </r>
  <r>
    <x v="616"/>
    <x v="178"/>
    <x v="69"/>
    <x v="1"/>
    <x v="1"/>
    <x v="6"/>
    <x v="616"/>
    <x v="512"/>
    <x v="0"/>
    <x v="1"/>
  </r>
  <r>
    <x v="617"/>
    <x v="110"/>
    <x v="37"/>
    <x v="1"/>
    <x v="1"/>
    <x v="1"/>
    <x v="617"/>
    <x v="513"/>
    <x v="0"/>
    <x v="1"/>
  </r>
  <r>
    <x v="618"/>
    <x v="117"/>
    <x v="2"/>
    <x v="1"/>
    <x v="2"/>
    <x v="0"/>
    <x v="618"/>
    <x v="130"/>
    <x v="0"/>
    <x v="1"/>
  </r>
  <r>
    <x v="619"/>
    <x v="463"/>
    <x v="341"/>
    <x v="0"/>
    <x v="0"/>
    <x v="4"/>
    <x v="619"/>
    <x v="514"/>
    <x v="1"/>
    <x v="0"/>
  </r>
  <r>
    <x v="620"/>
    <x v="464"/>
    <x v="342"/>
    <x v="0"/>
    <x v="2"/>
    <x v="6"/>
    <x v="620"/>
    <x v="115"/>
    <x v="1"/>
    <x v="1"/>
  </r>
  <r>
    <x v="621"/>
    <x v="62"/>
    <x v="59"/>
    <x v="0"/>
    <x v="2"/>
    <x v="1"/>
    <x v="621"/>
    <x v="251"/>
    <x v="0"/>
    <x v="0"/>
  </r>
  <r>
    <x v="622"/>
    <x v="433"/>
    <x v="325"/>
    <x v="0"/>
    <x v="0"/>
    <x v="1"/>
    <x v="622"/>
    <x v="515"/>
    <x v="0"/>
    <x v="0"/>
  </r>
  <r>
    <x v="623"/>
    <x v="362"/>
    <x v="284"/>
    <x v="0"/>
    <x v="2"/>
    <x v="1"/>
    <x v="623"/>
    <x v="224"/>
    <x v="2"/>
    <x v="3"/>
  </r>
  <r>
    <x v="624"/>
    <x v="465"/>
    <x v="343"/>
    <x v="1"/>
    <x v="1"/>
    <x v="4"/>
    <x v="624"/>
    <x v="516"/>
    <x v="1"/>
    <x v="1"/>
  </r>
  <r>
    <x v="625"/>
    <x v="466"/>
    <x v="344"/>
    <x v="0"/>
    <x v="2"/>
    <x v="4"/>
    <x v="625"/>
    <x v="517"/>
    <x v="1"/>
    <x v="2"/>
  </r>
  <r>
    <x v="626"/>
    <x v="467"/>
    <x v="345"/>
    <x v="1"/>
    <x v="2"/>
    <x v="1"/>
    <x v="626"/>
    <x v="518"/>
    <x v="1"/>
    <x v="1"/>
  </r>
  <r>
    <x v="627"/>
    <x v="10"/>
    <x v="10"/>
    <x v="1"/>
    <x v="2"/>
    <x v="1"/>
    <x v="627"/>
    <x v="455"/>
    <x v="0"/>
    <x v="0"/>
  </r>
  <r>
    <x v="628"/>
    <x v="110"/>
    <x v="37"/>
    <x v="1"/>
    <x v="1"/>
    <x v="1"/>
    <x v="628"/>
    <x v="340"/>
    <x v="0"/>
    <x v="0"/>
  </r>
  <r>
    <x v="629"/>
    <x v="273"/>
    <x v="225"/>
    <x v="0"/>
    <x v="2"/>
    <x v="3"/>
    <x v="629"/>
    <x v="313"/>
    <x v="0"/>
    <x v="1"/>
  </r>
  <r>
    <x v="630"/>
    <x v="468"/>
    <x v="259"/>
    <x v="1"/>
    <x v="2"/>
    <x v="0"/>
    <x v="630"/>
    <x v="270"/>
    <x v="1"/>
    <x v="1"/>
  </r>
  <r>
    <x v="631"/>
    <x v="469"/>
    <x v="133"/>
    <x v="1"/>
    <x v="2"/>
    <x v="5"/>
    <x v="631"/>
    <x v="79"/>
    <x v="0"/>
    <x v="1"/>
  </r>
  <r>
    <x v="632"/>
    <x v="470"/>
    <x v="346"/>
    <x v="0"/>
    <x v="1"/>
    <x v="2"/>
    <x v="632"/>
    <x v="519"/>
    <x v="0"/>
    <x v="0"/>
  </r>
  <r>
    <x v="633"/>
    <x v="5"/>
    <x v="5"/>
    <x v="1"/>
    <x v="2"/>
    <x v="1"/>
    <x v="633"/>
    <x v="520"/>
    <x v="0"/>
    <x v="0"/>
  </r>
  <r>
    <x v="634"/>
    <x v="2"/>
    <x v="2"/>
    <x v="1"/>
    <x v="2"/>
    <x v="2"/>
    <x v="634"/>
    <x v="123"/>
    <x v="0"/>
    <x v="2"/>
  </r>
  <r>
    <x v="635"/>
    <x v="112"/>
    <x v="104"/>
    <x v="0"/>
    <x v="0"/>
    <x v="1"/>
    <x v="635"/>
    <x v="353"/>
    <x v="0"/>
    <x v="2"/>
  </r>
  <r>
    <x v="636"/>
    <x v="471"/>
    <x v="347"/>
    <x v="1"/>
    <x v="1"/>
    <x v="5"/>
    <x v="636"/>
    <x v="521"/>
    <x v="0"/>
    <x v="0"/>
  </r>
  <r>
    <x v="637"/>
    <x v="472"/>
    <x v="348"/>
    <x v="1"/>
    <x v="1"/>
    <x v="1"/>
    <x v="637"/>
    <x v="522"/>
    <x v="0"/>
    <x v="1"/>
  </r>
  <r>
    <x v="638"/>
    <x v="467"/>
    <x v="345"/>
    <x v="1"/>
    <x v="2"/>
    <x v="1"/>
    <x v="638"/>
    <x v="523"/>
    <x v="0"/>
    <x v="1"/>
  </r>
  <r>
    <x v="639"/>
    <x v="473"/>
    <x v="349"/>
    <x v="0"/>
    <x v="2"/>
    <x v="2"/>
    <x v="639"/>
    <x v="524"/>
    <x v="0"/>
    <x v="1"/>
  </r>
  <r>
    <x v="640"/>
    <x v="282"/>
    <x v="100"/>
    <x v="1"/>
    <x v="2"/>
    <x v="6"/>
    <x v="640"/>
    <x v="525"/>
    <x v="1"/>
    <x v="0"/>
  </r>
  <r>
    <x v="641"/>
    <x v="474"/>
    <x v="350"/>
    <x v="1"/>
    <x v="2"/>
    <x v="5"/>
    <x v="641"/>
    <x v="526"/>
    <x v="0"/>
    <x v="1"/>
  </r>
  <r>
    <x v="642"/>
    <x v="475"/>
    <x v="351"/>
    <x v="0"/>
    <x v="1"/>
    <x v="1"/>
    <x v="642"/>
    <x v="120"/>
    <x v="0"/>
    <x v="1"/>
  </r>
  <r>
    <x v="643"/>
    <x v="42"/>
    <x v="40"/>
    <x v="1"/>
    <x v="1"/>
    <x v="6"/>
    <x v="643"/>
    <x v="527"/>
    <x v="2"/>
    <x v="3"/>
  </r>
  <r>
    <x v="644"/>
    <x v="389"/>
    <x v="215"/>
    <x v="0"/>
    <x v="1"/>
    <x v="0"/>
    <x v="644"/>
    <x v="509"/>
    <x v="0"/>
    <x v="0"/>
  </r>
  <r>
    <x v="645"/>
    <x v="476"/>
    <x v="352"/>
    <x v="0"/>
    <x v="1"/>
    <x v="4"/>
    <x v="645"/>
    <x v="528"/>
    <x v="2"/>
    <x v="3"/>
  </r>
  <r>
    <x v="646"/>
    <x v="106"/>
    <x v="99"/>
    <x v="0"/>
    <x v="0"/>
    <x v="2"/>
    <x v="646"/>
    <x v="529"/>
    <x v="0"/>
    <x v="0"/>
  </r>
  <r>
    <x v="647"/>
    <x v="425"/>
    <x v="320"/>
    <x v="1"/>
    <x v="1"/>
    <x v="0"/>
    <x v="647"/>
    <x v="530"/>
    <x v="0"/>
    <x v="0"/>
  </r>
  <r>
    <x v="648"/>
    <x v="186"/>
    <x v="166"/>
    <x v="1"/>
    <x v="2"/>
    <x v="3"/>
    <x v="648"/>
    <x v="415"/>
    <x v="0"/>
    <x v="0"/>
  </r>
  <r>
    <x v="649"/>
    <x v="222"/>
    <x v="191"/>
    <x v="0"/>
    <x v="2"/>
    <x v="6"/>
    <x v="649"/>
    <x v="402"/>
    <x v="0"/>
    <x v="1"/>
  </r>
  <r>
    <x v="650"/>
    <x v="477"/>
    <x v="353"/>
    <x v="0"/>
    <x v="2"/>
    <x v="0"/>
    <x v="650"/>
    <x v="53"/>
    <x v="0"/>
    <x v="0"/>
  </r>
  <r>
    <x v="651"/>
    <x v="478"/>
    <x v="241"/>
    <x v="0"/>
    <x v="2"/>
    <x v="2"/>
    <x v="651"/>
    <x v="389"/>
    <x v="1"/>
    <x v="2"/>
  </r>
  <r>
    <x v="652"/>
    <x v="479"/>
    <x v="354"/>
    <x v="1"/>
    <x v="2"/>
    <x v="3"/>
    <x v="652"/>
    <x v="212"/>
    <x v="0"/>
    <x v="2"/>
  </r>
  <r>
    <x v="653"/>
    <x v="480"/>
    <x v="355"/>
    <x v="0"/>
    <x v="2"/>
    <x v="0"/>
    <x v="653"/>
    <x v="531"/>
    <x v="0"/>
    <x v="1"/>
  </r>
  <r>
    <x v="654"/>
    <x v="481"/>
    <x v="62"/>
    <x v="0"/>
    <x v="2"/>
    <x v="6"/>
    <x v="654"/>
    <x v="241"/>
    <x v="0"/>
    <x v="1"/>
  </r>
  <r>
    <x v="655"/>
    <x v="127"/>
    <x v="118"/>
    <x v="1"/>
    <x v="0"/>
    <x v="1"/>
    <x v="655"/>
    <x v="30"/>
    <x v="0"/>
    <x v="0"/>
  </r>
  <r>
    <x v="656"/>
    <x v="38"/>
    <x v="36"/>
    <x v="0"/>
    <x v="1"/>
    <x v="0"/>
    <x v="656"/>
    <x v="532"/>
    <x v="0"/>
    <x v="1"/>
  </r>
  <r>
    <x v="657"/>
    <x v="40"/>
    <x v="38"/>
    <x v="1"/>
    <x v="2"/>
    <x v="3"/>
    <x v="657"/>
    <x v="275"/>
    <x v="0"/>
    <x v="2"/>
  </r>
  <r>
    <x v="658"/>
    <x v="482"/>
    <x v="60"/>
    <x v="1"/>
    <x v="1"/>
    <x v="0"/>
    <x v="658"/>
    <x v="533"/>
    <x v="0"/>
    <x v="2"/>
  </r>
  <r>
    <x v="659"/>
    <x v="483"/>
    <x v="126"/>
    <x v="0"/>
    <x v="0"/>
    <x v="6"/>
    <x v="659"/>
    <x v="534"/>
    <x v="0"/>
    <x v="0"/>
  </r>
  <r>
    <x v="660"/>
    <x v="484"/>
    <x v="356"/>
    <x v="0"/>
    <x v="2"/>
    <x v="0"/>
    <x v="660"/>
    <x v="535"/>
    <x v="0"/>
    <x v="0"/>
  </r>
  <r>
    <x v="661"/>
    <x v="485"/>
    <x v="357"/>
    <x v="1"/>
    <x v="1"/>
    <x v="0"/>
    <x v="661"/>
    <x v="536"/>
    <x v="0"/>
    <x v="0"/>
  </r>
  <r>
    <x v="662"/>
    <x v="486"/>
    <x v="358"/>
    <x v="0"/>
    <x v="2"/>
    <x v="0"/>
    <x v="662"/>
    <x v="537"/>
    <x v="1"/>
    <x v="2"/>
  </r>
  <r>
    <x v="663"/>
    <x v="487"/>
    <x v="31"/>
    <x v="0"/>
    <x v="1"/>
    <x v="3"/>
    <x v="663"/>
    <x v="453"/>
    <x v="0"/>
    <x v="1"/>
  </r>
  <r>
    <x v="664"/>
    <x v="488"/>
    <x v="359"/>
    <x v="0"/>
    <x v="2"/>
    <x v="4"/>
    <x v="664"/>
    <x v="538"/>
    <x v="0"/>
    <x v="1"/>
  </r>
  <r>
    <x v="665"/>
    <x v="489"/>
    <x v="141"/>
    <x v="1"/>
    <x v="2"/>
    <x v="1"/>
    <x v="665"/>
    <x v="125"/>
    <x v="1"/>
    <x v="1"/>
  </r>
  <r>
    <x v="666"/>
    <x v="490"/>
    <x v="181"/>
    <x v="0"/>
    <x v="2"/>
    <x v="0"/>
    <x v="666"/>
    <x v="10"/>
    <x v="1"/>
    <x v="1"/>
  </r>
  <r>
    <x v="667"/>
    <x v="491"/>
    <x v="360"/>
    <x v="1"/>
    <x v="2"/>
    <x v="6"/>
    <x v="667"/>
    <x v="539"/>
    <x v="0"/>
    <x v="0"/>
  </r>
  <r>
    <x v="668"/>
    <x v="492"/>
    <x v="173"/>
    <x v="1"/>
    <x v="2"/>
    <x v="0"/>
    <x v="668"/>
    <x v="540"/>
    <x v="0"/>
    <x v="1"/>
  </r>
  <r>
    <x v="669"/>
    <x v="409"/>
    <x v="311"/>
    <x v="1"/>
    <x v="2"/>
    <x v="5"/>
    <x v="669"/>
    <x v="541"/>
    <x v="0"/>
    <x v="2"/>
  </r>
  <r>
    <x v="670"/>
    <x v="493"/>
    <x v="292"/>
    <x v="1"/>
    <x v="0"/>
    <x v="4"/>
    <x v="670"/>
    <x v="542"/>
    <x v="0"/>
    <x v="2"/>
  </r>
  <r>
    <x v="671"/>
    <x v="494"/>
    <x v="361"/>
    <x v="0"/>
    <x v="0"/>
    <x v="5"/>
    <x v="671"/>
    <x v="543"/>
    <x v="0"/>
    <x v="0"/>
  </r>
  <r>
    <x v="672"/>
    <x v="333"/>
    <x v="266"/>
    <x v="1"/>
    <x v="1"/>
    <x v="1"/>
    <x v="672"/>
    <x v="398"/>
    <x v="2"/>
    <x v="3"/>
  </r>
  <r>
    <x v="673"/>
    <x v="495"/>
    <x v="82"/>
    <x v="0"/>
    <x v="2"/>
    <x v="3"/>
    <x v="673"/>
    <x v="544"/>
    <x v="2"/>
    <x v="3"/>
  </r>
  <r>
    <x v="674"/>
    <x v="496"/>
    <x v="12"/>
    <x v="0"/>
    <x v="1"/>
    <x v="5"/>
    <x v="674"/>
    <x v="545"/>
    <x v="0"/>
    <x v="0"/>
  </r>
  <r>
    <x v="675"/>
    <x v="497"/>
    <x v="362"/>
    <x v="1"/>
    <x v="2"/>
    <x v="3"/>
    <x v="675"/>
    <x v="546"/>
    <x v="0"/>
    <x v="1"/>
  </r>
  <r>
    <x v="676"/>
    <x v="498"/>
    <x v="363"/>
    <x v="1"/>
    <x v="2"/>
    <x v="1"/>
    <x v="676"/>
    <x v="547"/>
    <x v="0"/>
    <x v="0"/>
  </r>
  <r>
    <x v="677"/>
    <x v="265"/>
    <x v="0"/>
    <x v="0"/>
    <x v="0"/>
    <x v="2"/>
    <x v="677"/>
    <x v="217"/>
    <x v="0"/>
    <x v="1"/>
  </r>
  <r>
    <x v="678"/>
    <x v="303"/>
    <x v="245"/>
    <x v="0"/>
    <x v="0"/>
    <x v="1"/>
    <x v="678"/>
    <x v="548"/>
    <x v="0"/>
    <x v="1"/>
  </r>
  <r>
    <x v="679"/>
    <x v="499"/>
    <x v="39"/>
    <x v="1"/>
    <x v="2"/>
    <x v="0"/>
    <x v="679"/>
    <x v="549"/>
    <x v="0"/>
    <x v="1"/>
  </r>
  <r>
    <x v="680"/>
    <x v="155"/>
    <x v="142"/>
    <x v="0"/>
    <x v="2"/>
    <x v="3"/>
    <x v="680"/>
    <x v="550"/>
    <x v="0"/>
    <x v="2"/>
  </r>
  <r>
    <x v="681"/>
    <x v="500"/>
    <x v="364"/>
    <x v="1"/>
    <x v="1"/>
    <x v="2"/>
    <x v="681"/>
    <x v="551"/>
    <x v="0"/>
    <x v="0"/>
  </r>
  <r>
    <x v="682"/>
    <x v="121"/>
    <x v="112"/>
    <x v="1"/>
    <x v="1"/>
    <x v="6"/>
    <x v="682"/>
    <x v="65"/>
    <x v="0"/>
    <x v="2"/>
  </r>
  <r>
    <x v="683"/>
    <x v="501"/>
    <x v="179"/>
    <x v="1"/>
    <x v="2"/>
    <x v="1"/>
    <x v="683"/>
    <x v="552"/>
    <x v="0"/>
    <x v="0"/>
  </r>
  <r>
    <x v="684"/>
    <x v="502"/>
    <x v="153"/>
    <x v="0"/>
    <x v="1"/>
    <x v="2"/>
    <x v="684"/>
    <x v="68"/>
    <x v="0"/>
    <x v="0"/>
  </r>
  <r>
    <x v="685"/>
    <x v="503"/>
    <x v="365"/>
    <x v="0"/>
    <x v="0"/>
    <x v="1"/>
    <x v="685"/>
    <x v="553"/>
    <x v="0"/>
    <x v="2"/>
  </r>
  <r>
    <x v="686"/>
    <x v="504"/>
    <x v="264"/>
    <x v="1"/>
    <x v="0"/>
    <x v="3"/>
    <x v="686"/>
    <x v="115"/>
    <x v="0"/>
    <x v="1"/>
  </r>
  <r>
    <x v="687"/>
    <x v="505"/>
    <x v="141"/>
    <x v="1"/>
    <x v="2"/>
    <x v="6"/>
    <x v="687"/>
    <x v="470"/>
    <x v="0"/>
    <x v="1"/>
  </r>
  <r>
    <x v="688"/>
    <x v="506"/>
    <x v="295"/>
    <x v="1"/>
    <x v="1"/>
    <x v="1"/>
    <x v="688"/>
    <x v="554"/>
    <x v="0"/>
    <x v="1"/>
  </r>
  <r>
    <x v="689"/>
    <x v="386"/>
    <x v="301"/>
    <x v="0"/>
    <x v="2"/>
    <x v="1"/>
    <x v="689"/>
    <x v="555"/>
    <x v="0"/>
    <x v="0"/>
  </r>
  <r>
    <x v="690"/>
    <x v="507"/>
    <x v="328"/>
    <x v="1"/>
    <x v="2"/>
    <x v="6"/>
    <x v="690"/>
    <x v="556"/>
    <x v="0"/>
    <x v="1"/>
  </r>
  <r>
    <x v="691"/>
    <x v="378"/>
    <x v="295"/>
    <x v="1"/>
    <x v="1"/>
    <x v="2"/>
    <x v="691"/>
    <x v="557"/>
    <x v="0"/>
    <x v="1"/>
  </r>
  <r>
    <x v="692"/>
    <x v="340"/>
    <x v="269"/>
    <x v="0"/>
    <x v="1"/>
    <x v="3"/>
    <x v="692"/>
    <x v="558"/>
    <x v="0"/>
    <x v="1"/>
  </r>
  <r>
    <x v="693"/>
    <x v="112"/>
    <x v="104"/>
    <x v="0"/>
    <x v="0"/>
    <x v="1"/>
    <x v="693"/>
    <x v="108"/>
    <x v="1"/>
    <x v="0"/>
  </r>
  <r>
    <x v="694"/>
    <x v="508"/>
    <x v="366"/>
    <x v="0"/>
    <x v="0"/>
    <x v="0"/>
    <x v="694"/>
    <x v="559"/>
    <x v="0"/>
    <x v="0"/>
  </r>
  <r>
    <x v="695"/>
    <x v="355"/>
    <x v="279"/>
    <x v="1"/>
    <x v="2"/>
    <x v="1"/>
    <x v="695"/>
    <x v="560"/>
    <x v="0"/>
    <x v="1"/>
  </r>
  <r>
    <x v="696"/>
    <x v="466"/>
    <x v="344"/>
    <x v="0"/>
    <x v="2"/>
    <x v="4"/>
    <x v="696"/>
    <x v="561"/>
    <x v="0"/>
    <x v="0"/>
  </r>
  <r>
    <x v="697"/>
    <x v="509"/>
    <x v="367"/>
    <x v="0"/>
    <x v="1"/>
    <x v="0"/>
    <x v="697"/>
    <x v="562"/>
    <x v="1"/>
    <x v="1"/>
  </r>
  <r>
    <x v="698"/>
    <x v="301"/>
    <x v="78"/>
    <x v="1"/>
    <x v="2"/>
    <x v="3"/>
    <x v="698"/>
    <x v="71"/>
    <x v="0"/>
    <x v="1"/>
  </r>
  <r>
    <x v="699"/>
    <x v="94"/>
    <x v="88"/>
    <x v="1"/>
    <x v="2"/>
    <x v="1"/>
    <x v="699"/>
    <x v="488"/>
    <x v="0"/>
    <x v="2"/>
  </r>
  <r>
    <x v="700"/>
    <x v="510"/>
    <x v="368"/>
    <x v="1"/>
    <x v="1"/>
    <x v="2"/>
    <x v="700"/>
    <x v="187"/>
    <x v="0"/>
    <x v="0"/>
  </r>
  <r>
    <x v="701"/>
    <x v="136"/>
    <x v="19"/>
    <x v="1"/>
    <x v="0"/>
    <x v="1"/>
    <x v="701"/>
    <x v="563"/>
    <x v="0"/>
    <x v="2"/>
  </r>
  <r>
    <x v="702"/>
    <x v="296"/>
    <x v="240"/>
    <x v="0"/>
    <x v="2"/>
    <x v="5"/>
    <x v="702"/>
    <x v="564"/>
    <x v="1"/>
    <x v="1"/>
  </r>
  <r>
    <x v="703"/>
    <x v="511"/>
    <x v="74"/>
    <x v="0"/>
    <x v="2"/>
    <x v="5"/>
    <x v="703"/>
    <x v="565"/>
    <x v="0"/>
    <x v="2"/>
  </r>
  <r>
    <x v="704"/>
    <x v="238"/>
    <x v="200"/>
    <x v="0"/>
    <x v="0"/>
    <x v="1"/>
    <x v="704"/>
    <x v="566"/>
    <x v="0"/>
    <x v="1"/>
  </r>
  <r>
    <x v="705"/>
    <x v="464"/>
    <x v="342"/>
    <x v="0"/>
    <x v="2"/>
    <x v="6"/>
    <x v="705"/>
    <x v="379"/>
    <x v="0"/>
    <x v="2"/>
  </r>
  <r>
    <x v="706"/>
    <x v="512"/>
    <x v="260"/>
    <x v="0"/>
    <x v="2"/>
    <x v="1"/>
    <x v="706"/>
    <x v="567"/>
    <x v="2"/>
    <x v="3"/>
  </r>
  <r>
    <x v="707"/>
    <x v="513"/>
    <x v="369"/>
    <x v="0"/>
    <x v="1"/>
    <x v="0"/>
    <x v="707"/>
    <x v="27"/>
    <x v="0"/>
    <x v="0"/>
  </r>
  <r>
    <x v="708"/>
    <x v="125"/>
    <x v="116"/>
    <x v="0"/>
    <x v="2"/>
    <x v="3"/>
    <x v="708"/>
    <x v="568"/>
    <x v="0"/>
    <x v="1"/>
  </r>
  <r>
    <x v="709"/>
    <x v="122"/>
    <x v="113"/>
    <x v="0"/>
    <x v="2"/>
    <x v="6"/>
    <x v="709"/>
    <x v="569"/>
    <x v="1"/>
    <x v="1"/>
  </r>
  <r>
    <x v="710"/>
    <x v="373"/>
    <x v="293"/>
    <x v="1"/>
    <x v="2"/>
    <x v="5"/>
    <x v="710"/>
    <x v="570"/>
    <x v="0"/>
    <x v="1"/>
  </r>
  <r>
    <x v="711"/>
    <x v="514"/>
    <x v="370"/>
    <x v="0"/>
    <x v="2"/>
    <x v="4"/>
    <x v="711"/>
    <x v="571"/>
    <x v="0"/>
    <x v="2"/>
  </r>
  <r>
    <x v="712"/>
    <x v="515"/>
    <x v="371"/>
    <x v="0"/>
    <x v="2"/>
    <x v="0"/>
    <x v="712"/>
    <x v="379"/>
    <x v="0"/>
    <x v="2"/>
  </r>
  <r>
    <x v="713"/>
    <x v="516"/>
    <x v="372"/>
    <x v="0"/>
    <x v="0"/>
    <x v="5"/>
    <x v="713"/>
    <x v="572"/>
    <x v="1"/>
    <x v="0"/>
  </r>
  <r>
    <x v="714"/>
    <x v="517"/>
    <x v="373"/>
    <x v="1"/>
    <x v="1"/>
    <x v="3"/>
    <x v="714"/>
    <x v="573"/>
    <x v="2"/>
    <x v="3"/>
  </r>
  <r>
    <x v="715"/>
    <x v="123"/>
    <x v="114"/>
    <x v="1"/>
    <x v="1"/>
    <x v="5"/>
    <x v="715"/>
    <x v="43"/>
    <x v="0"/>
    <x v="1"/>
  </r>
  <r>
    <x v="716"/>
    <x v="149"/>
    <x v="139"/>
    <x v="0"/>
    <x v="1"/>
    <x v="1"/>
    <x v="716"/>
    <x v="574"/>
    <x v="1"/>
    <x v="2"/>
  </r>
  <r>
    <x v="717"/>
    <x v="232"/>
    <x v="196"/>
    <x v="1"/>
    <x v="2"/>
    <x v="0"/>
    <x v="717"/>
    <x v="128"/>
    <x v="0"/>
    <x v="0"/>
  </r>
  <r>
    <x v="718"/>
    <x v="394"/>
    <x v="28"/>
    <x v="1"/>
    <x v="2"/>
    <x v="5"/>
    <x v="718"/>
    <x v="232"/>
    <x v="0"/>
    <x v="1"/>
  </r>
  <r>
    <x v="719"/>
    <x v="518"/>
    <x v="279"/>
    <x v="1"/>
    <x v="2"/>
    <x v="2"/>
    <x v="719"/>
    <x v="575"/>
    <x v="0"/>
    <x v="2"/>
  </r>
  <r>
    <x v="720"/>
    <x v="293"/>
    <x v="237"/>
    <x v="0"/>
    <x v="1"/>
    <x v="3"/>
    <x v="720"/>
    <x v="31"/>
    <x v="0"/>
    <x v="2"/>
  </r>
  <r>
    <x v="721"/>
    <x v="393"/>
    <x v="304"/>
    <x v="1"/>
    <x v="2"/>
    <x v="0"/>
    <x v="721"/>
    <x v="576"/>
    <x v="0"/>
    <x v="0"/>
  </r>
  <r>
    <x v="722"/>
    <x v="217"/>
    <x v="188"/>
    <x v="1"/>
    <x v="2"/>
    <x v="3"/>
    <x v="722"/>
    <x v="491"/>
    <x v="0"/>
    <x v="2"/>
  </r>
  <r>
    <x v="723"/>
    <x v="519"/>
    <x v="8"/>
    <x v="1"/>
    <x v="1"/>
    <x v="2"/>
    <x v="723"/>
    <x v="577"/>
    <x v="0"/>
    <x v="1"/>
  </r>
  <r>
    <x v="724"/>
    <x v="75"/>
    <x v="71"/>
    <x v="1"/>
    <x v="1"/>
    <x v="5"/>
    <x v="724"/>
    <x v="578"/>
    <x v="1"/>
    <x v="1"/>
  </r>
  <r>
    <x v="725"/>
    <x v="381"/>
    <x v="223"/>
    <x v="0"/>
    <x v="2"/>
    <x v="0"/>
    <x v="725"/>
    <x v="579"/>
    <x v="0"/>
    <x v="2"/>
  </r>
  <r>
    <x v="726"/>
    <x v="18"/>
    <x v="18"/>
    <x v="1"/>
    <x v="2"/>
    <x v="4"/>
    <x v="726"/>
    <x v="580"/>
    <x v="1"/>
    <x v="1"/>
  </r>
  <r>
    <x v="727"/>
    <x v="520"/>
    <x v="374"/>
    <x v="0"/>
    <x v="1"/>
    <x v="2"/>
    <x v="727"/>
    <x v="28"/>
    <x v="0"/>
    <x v="2"/>
  </r>
  <r>
    <x v="728"/>
    <x v="521"/>
    <x v="175"/>
    <x v="0"/>
    <x v="2"/>
    <x v="1"/>
    <x v="728"/>
    <x v="11"/>
    <x v="0"/>
    <x v="1"/>
  </r>
  <r>
    <x v="729"/>
    <x v="402"/>
    <x v="19"/>
    <x v="1"/>
    <x v="0"/>
    <x v="1"/>
    <x v="729"/>
    <x v="581"/>
    <x v="0"/>
    <x v="2"/>
  </r>
  <r>
    <x v="730"/>
    <x v="71"/>
    <x v="67"/>
    <x v="1"/>
    <x v="1"/>
    <x v="2"/>
    <x v="730"/>
    <x v="582"/>
    <x v="2"/>
    <x v="3"/>
  </r>
  <r>
    <x v="731"/>
    <x v="221"/>
    <x v="190"/>
    <x v="0"/>
    <x v="2"/>
    <x v="5"/>
    <x v="731"/>
    <x v="583"/>
    <x v="0"/>
    <x v="2"/>
  </r>
  <r>
    <x v="732"/>
    <x v="70"/>
    <x v="66"/>
    <x v="1"/>
    <x v="0"/>
    <x v="5"/>
    <x v="732"/>
    <x v="208"/>
    <x v="1"/>
    <x v="1"/>
  </r>
  <r>
    <x v="733"/>
    <x v="145"/>
    <x v="135"/>
    <x v="0"/>
    <x v="2"/>
    <x v="0"/>
    <x v="733"/>
    <x v="584"/>
    <x v="0"/>
    <x v="2"/>
  </r>
  <r>
    <x v="734"/>
    <x v="482"/>
    <x v="60"/>
    <x v="1"/>
    <x v="1"/>
    <x v="0"/>
    <x v="734"/>
    <x v="311"/>
    <x v="0"/>
    <x v="1"/>
  </r>
  <r>
    <x v="735"/>
    <x v="303"/>
    <x v="245"/>
    <x v="0"/>
    <x v="0"/>
    <x v="1"/>
    <x v="735"/>
    <x v="85"/>
    <x v="0"/>
    <x v="1"/>
  </r>
  <r>
    <x v="736"/>
    <x v="255"/>
    <x v="214"/>
    <x v="0"/>
    <x v="1"/>
    <x v="4"/>
    <x v="736"/>
    <x v="162"/>
    <x v="0"/>
    <x v="1"/>
  </r>
  <r>
    <x v="737"/>
    <x v="488"/>
    <x v="359"/>
    <x v="0"/>
    <x v="2"/>
    <x v="4"/>
    <x v="737"/>
    <x v="571"/>
    <x v="0"/>
    <x v="2"/>
  </r>
  <r>
    <x v="738"/>
    <x v="522"/>
    <x v="375"/>
    <x v="1"/>
    <x v="2"/>
    <x v="6"/>
    <x v="738"/>
    <x v="585"/>
    <x v="0"/>
    <x v="1"/>
  </r>
  <r>
    <x v="739"/>
    <x v="523"/>
    <x v="183"/>
    <x v="0"/>
    <x v="2"/>
    <x v="3"/>
    <x v="739"/>
    <x v="586"/>
    <x v="0"/>
    <x v="1"/>
  </r>
  <r>
    <x v="740"/>
    <x v="524"/>
    <x v="376"/>
    <x v="1"/>
    <x v="0"/>
    <x v="6"/>
    <x v="740"/>
    <x v="213"/>
    <x v="1"/>
    <x v="1"/>
  </r>
  <r>
    <x v="741"/>
    <x v="100"/>
    <x v="93"/>
    <x v="1"/>
    <x v="0"/>
    <x v="2"/>
    <x v="741"/>
    <x v="587"/>
    <x v="0"/>
    <x v="1"/>
  </r>
  <r>
    <x v="742"/>
    <x v="525"/>
    <x v="377"/>
    <x v="1"/>
    <x v="2"/>
    <x v="1"/>
    <x v="742"/>
    <x v="264"/>
    <x v="1"/>
    <x v="0"/>
  </r>
  <r>
    <x v="743"/>
    <x v="526"/>
    <x v="378"/>
    <x v="1"/>
    <x v="1"/>
    <x v="0"/>
    <x v="743"/>
    <x v="588"/>
    <x v="0"/>
    <x v="0"/>
  </r>
  <r>
    <x v="744"/>
    <x v="527"/>
    <x v="30"/>
    <x v="0"/>
    <x v="2"/>
    <x v="2"/>
    <x v="744"/>
    <x v="589"/>
    <x v="0"/>
    <x v="0"/>
  </r>
  <r>
    <x v="745"/>
    <x v="528"/>
    <x v="379"/>
    <x v="1"/>
    <x v="2"/>
    <x v="1"/>
    <x v="745"/>
    <x v="590"/>
    <x v="0"/>
    <x v="2"/>
  </r>
  <r>
    <x v="746"/>
    <x v="529"/>
    <x v="380"/>
    <x v="1"/>
    <x v="2"/>
    <x v="3"/>
    <x v="746"/>
    <x v="47"/>
    <x v="0"/>
    <x v="1"/>
  </r>
  <r>
    <x v="747"/>
    <x v="530"/>
    <x v="381"/>
    <x v="0"/>
    <x v="2"/>
    <x v="0"/>
    <x v="747"/>
    <x v="591"/>
    <x v="0"/>
    <x v="1"/>
  </r>
  <r>
    <x v="748"/>
    <x v="531"/>
    <x v="382"/>
    <x v="0"/>
    <x v="2"/>
    <x v="6"/>
    <x v="748"/>
    <x v="592"/>
    <x v="0"/>
    <x v="1"/>
  </r>
  <r>
    <x v="749"/>
    <x v="532"/>
    <x v="383"/>
    <x v="1"/>
    <x v="2"/>
    <x v="1"/>
    <x v="749"/>
    <x v="593"/>
    <x v="0"/>
    <x v="0"/>
  </r>
  <r>
    <x v="750"/>
    <x v="112"/>
    <x v="104"/>
    <x v="0"/>
    <x v="0"/>
    <x v="1"/>
    <x v="750"/>
    <x v="594"/>
    <x v="0"/>
    <x v="2"/>
  </r>
  <r>
    <x v="751"/>
    <x v="243"/>
    <x v="203"/>
    <x v="0"/>
    <x v="1"/>
    <x v="1"/>
    <x v="751"/>
    <x v="595"/>
    <x v="0"/>
    <x v="0"/>
  </r>
  <r>
    <x v="752"/>
    <x v="533"/>
    <x v="384"/>
    <x v="1"/>
    <x v="2"/>
    <x v="3"/>
    <x v="752"/>
    <x v="596"/>
    <x v="0"/>
    <x v="0"/>
  </r>
  <r>
    <x v="753"/>
    <x v="534"/>
    <x v="385"/>
    <x v="1"/>
    <x v="2"/>
    <x v="6"/>
    <x v="753"/>
    <x v="597"/>
    <x v="2"/>
    <x v="3"/>
  </r>
  <r>
    <x v="754"/>
    <x v="535"/>
    <x v="342"/>
    <x v="0"/>
    <x v="2"/>
    <x v="4"/>
    <x v="754"/>
    <x v="588"/>
    <x v="1"/>
    <x v="0"/>
  </r>
  <r>
    <x v="755"/>
    <x v="536"/>
    <x v="386"/>
    <x v="1"/>
    <x v="1"/>
    <x v="0"/>
    <x v="755"/>
    <x v="598"/>
    <x v="0"/>
    <x v="2"/>
  </r>
  <r>
    <x v="756"/>
    <x v="521"/>
    <x v="175"/>
    <x v="0"/>
    <x v="2"/>
    <x v="1"/>
    <x v="756"/>
    <x v="205"/>
    <x v="0"/>
    <x v="0"/>
  </r>
  <r>
    <x v="757"/>
    <x v="416"/>
    <x v="315"/>
    <x v="1"/>
    <x v="1"/>
    <x v="4"/>
    <x v="757"/>
    <x v="349"/>
    <x v="0"/>
    <x v="1"/>
  </r>
  <r>
    <x v="758"/>
    <x v="537"/>
    <x v="387"/>
    <x v="0"/>
    <x v="0"/>
    <x v="2"/>
    <x v="758"/>
    <x v="244"/>
    <x v="1"/>
    <x v="0"/>
  </r>
  <r>
    <x v="759"/>
    <x v="537"/>
    <x v="387"/>
    <x v="0"/>
    <x v="0"/>
    <x v="2"/>
    <x v="759"/>
    <x v="599"/>
    <x v="0"/>
    <x v="2"/>
  </r>
  <r>
    <x v="760"/>
    <x v="538"/>
    <x v="388"/>
    <x v="0"/>
    <x v="2"/>
    <x v="3"/>
    <x v="760"/>
    <x v="109"/>
    <x v="0"/>
    <x v="0"/>
  </r>
  <r>
    <x v="761"/>
    <x v="539"/>
    <x v="389"/>
    <x v="0"/>
    <x v="0"/>
    <x v="3"/>
    <x v="761"/>
    <x v="350"/>
    <x v="0"/>
    <x v="2"/>
  </r>
  <r>
    <x v="762"/>
    <x v="265"/>
    <x v="0"/>
    <x v="0"/>
    <x v="0"/>
    <x v="2"/>
    <x v="762"/>
    <x v="296"/>
    <x v="2"/>
    <x v="3"/>
  </r>
  <r>
    <x v="763"/>
    <x v="540"/>
    <x v="126"/>
    <x v="0"/>
    <x v="0"/>
    <x v="6"/>
    <x v="763"/>
    <x v="600"/>
    <x v="2"/>
    <x v="3"/>
  </r>
  <r>
    <x v="764"/>
    <x v="85"/>
    <x v="79"/>
    <x v="0"/>
    <x v="2"/>
    <x v="5"/>
    <x v="764"/>
    <x v="277"/>
    <x v="0"/>
    <x v="1"/>
  </r>
  <r>
    <x v="765"/>
    <x v="456"/>
    <x v="335"/>
    <x v="0"/>
    <x v="1"/>
    <x v="3"/>
    <x v="765"/>
    <x v="601"/>
    <x v="0"/>
    <x v="1"/>
  </r>
  <r>
    <x v="766"/>
    <x v="278"/>
    <x v="229"/>
    <x v="1"/>
    <x v="0"/>
    <x v="3"/>
    <x v="766"/>
    <x v="602"/>
    <x v="0"/>
    <x v="0"/>
  </r>
  <r>
    <x v="767"/>
    <x v="533"/>
    <x v="384"/>
    <x v="1"/>
    <x v="2"/>
    <x v="3"/>
    <x v="767"/>
    <x v="603"/>
    <x v="0"/>
    <x v="1"/>
  </r>
  <r>
    <x v="768"/>
    <x v="442"/>
    <x v="7"/>
    <x v="1"/>
    <x v="2"/>
    <x v="0"/>
    <x v="768"/>
    <x v="117"/>
    <x v="0"/>
    <x v="0"/>
  </r>
  <r>
    <x v="769"/>
    <x v="541"/>
    <x v="390"/>
    <x v="0"/>
    <x v="2"/>
    <x v="6"/>
    <x v="769"/>
    <x v="604"/>
    <x v="0"/>
    <x v="1"/>
  </r>
  <r>
    <x v="770"/>
    <x v="20"/>
    <x v="20"/>
    <x v="0"/>
    <x v="2"/>
    <x v="6"/>
    <x v="770"/>
    <x v="605"/>
    <x v="1"/>
    <x v="1"/>
  </r>
  <r>
    <x v="771"/>
    <x v="501"/>
    <x v="179"/>
    <x v="1"/>
    <x v="2"/>
    <x v="1"/>
    <x v="771"/>
    <x v="606"/>
    <x v="0"/>
    <x v="0"/>
  </r>
  <r>
    <x v="772"/>
    <x v="542"/>
    <x v="391"/>
    <x v="0"/>
    <x v="2"/>
    <x v="3"/>
    <x v="772"/>
    <x v="607"/>
    <x v="0"/>
    <x v="2"/>
  </r>
  <r>
    <x v="773"/>
    <x v="90"/>
    <x v="84"/>
    <x v="1"/>
    <x v="2"/>
    <x v="6"/>
    <x v="773"/>
    <x v="156"/>
    <x v="0"/>
    <x v="0"/>
  </r>
  <r>
    <x v="774"/>
    <x v="74"/>
    <x v="70"/>
    <x v="0"/>
    <x v="2"/>
    <x v="0"/>
    <x v="774"/>
    <x v="608"/>
    <x v="0"/>
    <x v="2"/>
  </r>
  <r>
    <x v="775"/>
    <x v="516"/>
    <x v="372"/>
    <x v="0"/>
    <x v="0"/>
    <x v="5"/>
    <x v="775"/>
    <x v="478"/>
    <x v="1"/>
    <x v="1"/>
  </r>
  <r>
    <x v="776"/>
    <x v="287"/>
    <x v="171"/>
    <x v="1"/>
    <x v="1"/>
    <x v="2"/>
    <x v="776"/>
    <x v="56"/>
    <x v="0"/>
    <x v="1"/>
  </r>
  <r>
    <x v="777"/>
    <x v="543"/>
    <x v="392"/>
    <x v="1"/>
    <x v="2"/>
    <x v="6"/>
    <x v="777"/>
    <x v="609"/>
    <x v="1"/>
    <x v="1"/>
  </r>
  <r>
    <x v="778"/>
    <x v="405"/>
    <x v="210"/>
    <x v="0"/>
    <x v="1"/>
    <x v="0"/>
    <x v="778"/>
    <x v="610"/>
    <x v="0"/>
    <x v="2"/>
  </r>
  <r>
    <x v="779"/>
    <x v="544"/>
    <x v="259"/>
    <x v="1"/>
    <x v="2"/>
    <x v="5"/>
    <x v="779"/>
    <x v="611"/>
    <x v="1"/>
    <x v="2"/>
  </r>
  <r>
    <x v="780"/>
    <x v="545"/>
    <x v="106"/>
    <x v="0"/>
    <x v="1"/>
    <x v="4"/>
    <x v="780"/>
    <x v="151"/>
    <x v="1"/>
    <x v="1"/>
  </r>
  <r>
    <x v="781"/>
    <x v="419"/>
    <x v="317"/>
    <x v="0"/>
    <x v="2"/>
    <x v="3"/>
    <x v="781"/>
    <x v="119"/>
    <x v="0"/>
    <x v="2"/>
  </r>
  <r>
    <x v="782"/>
    <x v="219"/>
    <x v="165"/>
    <x v="1"/>
    <x v="2"/>
    <x v="2"/>
    <x v="782"/>
    <x v="353"/>
    <x v="0"/>
    <x v="2"/>
  </r>
  <r>
    <x v="783"/>
    <x v="507"/>
    <x v="328"/>
    <x v="1"/>
    <x v="2"/>
    <x v="6"/>
    <x v="783"/>
    <x v="612"/>
    <x v="0"/>
    <x v="0"/>
  </r>
  <r>
    <x v="784"/>
    <x v="546"/>
    <x v="393"/>
    <x v="0"/>
    <x v="2"/>
    <x v="4"/>
    <x v="784"/>
    <x v="613"/>
    <x v="0"/>
    <x v="2"/>
  </r>
  <r>
    <x v="785"/>
    <x v="547"/>
    <x v="170"/>
    <x v="1"/>
    <x v="2"/>
    <x v="0"/>
    <x v="785"/>
    <x v="530"/>
    <x v="0"/>
    <x v="0"/>
  </r>
  <r>
    <x v="786"/>
    <x v="548"/>
    <x v="394"/>
    <x v="1"/>
    <x v="1"/>
    <x v="6"/>
    <x v="786"/>
    <x v="563"/>
    <x v="0"/>
    <x v="2"/>
  </r>
  <r>
    <x v="787"/>
    <x v="549"/>
    <x v="85"/>
    <x v="1"/>
    <x v="1"/>
    <x v="5"/>
    <x v="787"/>
    <x v="614"/>
    <x v="0"/>
    <x v="0"/>
  </r>
  <r>
    <x v="788"/>
    <x v="550"/>
    <x v="80"/>
    <x v="0"/>
    <x v="2"/>
    <x v="4"/>
    <x v="788"/>
    <x v="492"/>
    <x v="1"/>
    <x v="2"/>
  </r>
  <r>
    <x v="789"/>
    <x v="551"/>
    <x v="395"/>
    <x v="0"/>
    <x v="1"/>
    <x v="4"/>
    <x v="789"/>
    <x v="248"/>
    <x v="0"/>
    <x v="0"/>
  </r>
  <r>
    <x v="790"/>
    <x v="312"/>
    <x v="202"/>
    <x v="0"/>
    <x v="2"/>
    <x v="1"/>
    <x v="790"/>
    <x v="246"/>
    <x v="0"/>
    <x v="0"/>
  </r>
  <r>
    <x v="791"/>
    <x v="552"/>
    <x v="396"/>
    <x v="1"/>
    <x v="1"/>
    <x v="3"/>
    <x v="791"/>
    <x v="615"/>
    <x v="0"/>
    <x v="1"/>
  </r>
  <r>
    <x v="792"/>
    <x v="33"/>
    <x v="31"/>
    <x v="0"/>
    <x v="1"/>
    <x v="4"/>
    <x v="792"/>
    <x v="616"/>
    <x v="0"/>
    <x v="0"/>
  </r>
  <r>
    <x v="793"/>
    <x v="308"/>
    <x v="248"/>
    <x v="0"/>
    <x v="2"/>
    <x v="3"/>
    <x v="793"/>
    <x v="617"/>
    <x v="0"/>
    <x v="0"/>
  </r>
  <r>
    <x v="794"/>
    <x v="157"/>
    <x v="40"/>
    <x v="1"/>
    <x v="1"/>
    <x v="6"/>
    <x v="794"/>
    <x v="618"/>
    <x v="0"/>
    <x v="1"/>
  </r>
  <r>
    <x v="795"/>
    <x v="541"/>
    <x v="390"/>
    <x v="0"/>
    <x v="2"/>
    <x v="6"/>
    <x v="795"/>
    <x v="619"/>
    <x v="0"/>
    <x v="2"/>
  </r>
  <r>
    <x v="796"/>
    <x v="30"/>
    <x v="28"/>
    <x v="1"/>
    <x v="2"/>
    <x v="5"/>
    <x v="796"/>
    <x v="516"/>
    <x v="0"/>
    <x v="1"/>
  </r>
  <r>
    <x v="797"/>
    <x v="22"/>
    <x v="22"/>
    <x v="0"/>
    <x v="2"/>
    <x v="2"/>
    <x v="797"/>
    <x v="620"/>
    <x v="0"/>
    <x v="1"/>
  </r>
  <r>
    <x v="798"/>
    <x v="553"/>
    <x v="397"/>
    <x v="1"/>
    <x v="2"/>
    <x v="1"/>
    <x v="798"/>
    <x v="82"/>
    <x v="1"/>
    <x v="0"/>
  </r>
  <r>
    <x v="799"/>
    <x v="504"/>
    <x v="264"/>
    <x v="1"/>
    <x v="0"/>
    <x v="3"/>
    <x v="799"/>
    <x v="621"/>
    <x v="2"/>
    <x v="3"/>
  </r>
  <r>
    <x v="800"/>
    <x v="193"/>
    <x v="171"/>
    <x v="1"/>
    <x v="1"/>
    <x v="0"/>
    <x v="800"/>
    <x v="622"/>
    <x v="0"/>
    <x v="0"/>
  </r>
  <r>
    <x v="801"/>
    <x v="41"/>
    <x v="39"/>
    <x v="1"/>
    <x v="2"/>
    <x v="6"/>
    <x v="801"/>
    <x v="245"/>
    <x v="0"/>
    <x v="1"/>
  </r>
  <r>
    <x v="802"/>
    <x v="554"/>
    <x v="338"/>
    <x v="1"/>
    <x v="2"/>
    <x v="4"/>
    <x v="802"/>
    <x v="623"/>
    <x v="0"/>
    <x v="1"/>
  </r>
  <r>
    <x v="803"/>
    <x v="71"/>
    <x v="67"/>
    <x v="1"/>
    <x v="1"/>
    <x v="2"/>
    <x v="803"/>
    <x v="624"/>
    <x v="0"/>
    <x v="0"/>
  </r>
  <r>
    <x v="804"/>
    <x v="555"/>
    <x v="398"/>
    <x v="1"/>
    <x v="0"/>
    <x v="2"/>
    <x v="804"/>
    <x v="625"/>
    <x v="0"/>
    <x v="2"/>
  </r>
  <r>
    <x v="805"/>
    <x v="556"/>
    <x v="373"/>
    <x v="1"/>
    <x v="1"/>
    <x v="3"/>
    <x v="805"/>
    <x v="622"/>
    <x v="2"/>
    <x v="3"/>
  </r>
  <r>
    <x v="806"/>
    <x v="557"/>
    <x v="399"/>
    <x v="1"/>
    <x v="2"/>
    <x v="3"/>
    <x v="806"/>
    <x v="626"/>
    <x v="0"/>
    <x v="1"/>
  </r>
  <r>
    <x v="807"/>
    <x v="558"/>
    <x v="203"/>
    <x v="0"/>
    <x v="1"/>
    <x v="6"/>
    <x v="807"/>
    <x v="67"/>
    <x v="0"/>
    <x v="1"/>
  </r>
  <r>
    <x v="808"/>
    <x v="140"/>
    <x v="130"/>
    <x v="0"/>
    <x v="1"/>
    <x v="1"/>
    <x v="808"/>
    <x v="627"/>
    <x v="1"/>
    <x v="1"/>
  </r>
  <r>
    <x v="809"/>
    <x v="559"/>
    <x v="400"/>
    <x v="0"/>
    <x v="2"/>
    <x v="0"/>
    <x v="809"/>
    <x v="352"/>
    <x v="0"/>
    <x v="2"/>
  </r>
  <r>
    <x v="810"/>
    <x v="504"/>
    <x v="264"/>
    <x v="1"/>
    <x v="0"/>
    <x v="3"/>
    <x v="810"/>
    <x v="628"/>
    <x v="0"/>
    <x v="2"/>
  </r>
  <r>
    <x v="811"/>
    <x v="325"/>
    <x v="146"/>
    <x v="0"/>
    <x v="2"/>
    <x v="2"/>
    <x v="811"/>
    <x v="629"/>
    <x v="2"/>
    <x v="3"/>
  </r>
  <r>
    <x v="812"/>
    <x v="216"/>
    <x v="175"/>
    <x v="0"/>
    <x v="2"/>
    <x v="5"/>
    <x v="812"/>
    <x v="630"/>
    <x v="1"/>
    <x v="1"/>
  </r>
  <r>
    <x v="813"/>
    <x v="560"/>
    <x v="188"/>
    <x v="1"/>
    <x v="2"/>
    <x v="0"/>
    <x v="813"/>
    <x v="631"/>
    <x v="0"/>
    <x v="1"/>
  </r>
  <r>
    <x v="814"/>
    <x v="561"/>
    <x v="200"/>
    <x v="0"/>
    <x v="0"/>
    <x v="5"/>
    <x v="814"/>
    <x v="564"/>
    <x v="0"/>
    <x v="1"/>
  </r>
  <r>
    <x v="815"/>
    <x v="562"/>
    <x v="159"/>
    <x v="0"/>
    <x v="2"/>
    <x v="4"/>
    <x v="815"/>
    <x v="632"/>
    <x v="0"/>
    <x v="2"/>
  </r>
  <r>
    <x v="816"/>
    <x v="288"/>
    <x v="99"/>
    <x v="0"/>
    <x v="0"/>
    <x v="5"/>
    <x v="816"/>
    <x v="633"/>
    <x v="0"/>
    <x v="2"/>
  </r>
  <r>
    <x v="817"/>
    <x v="563"/>
    <x v="401"/>
    <x v="1"/>
    <x v="0"/>
    <x v="5"/>
    <x v="817"/>
    <x v="634"/>
    <x v="2"/>
    <x v="3"/>
  </r>
  <r>
    <x v="818"/>
    <x v="85"/>
    <x v="79"/>
    <x v="0"/>
    <x v="2"/>
    <x v="5"/>
    <x v="818"/>
    <x v="635"/>
    <x v="0"/>
    <x v="1"/>
  </r>
  <r>
    <x v="819"/>
    <x v="458"/>
    <x v="337"/>
    <x v="1"/>
    <x v="2"/>
    <x v="6"/>
    <x v="819"/>
    <x v="636"/>
    <x v="0"/>
    <x v="0"/>
  </r>
  <r>
    <x v="820"/>
    <x v="564"/>
    <x v="148"/>
    <x v="0"/>
    <x v="2"/>
    <x v="5"/>
    <x v="820"/>
    <x v="295"/>
    <x v="0"/>
    <x v="1"/>
  </r>
  <r>
    <x v="821"/>
    <x v="565"/>
    <x v="167"/>
    <x v="0"/>
    <x v="0"/>
    <x v="1"/>
    <x v="821"/>
    <x v="637"/>
    <x v="0"/>
    <x v="0"/>
  </r>
  <r>
    <x v="822"/>
    <x v="566"/>
    <x v="402"/>
    <x v="1"/>
    <x v="2"/>
    <x v="2"/>
    <x v="822"/>
    <x v="137"/>
    <x v="0"/>
    <x v="0"/>
  </r>
  <r>
    <x v="823"/>
    <x v="567"/>
    <x v="403"/>
    <x v="1"/>
    <x v="2"/>
    <x v="6"/>
    <x v="823"/>
    <x v="638"/>
    <x v="2"/>
    <x v="3"/>
  </r>
  <r>
    <x v="824"/>
    <x v="140"/>
    <x v="130"/>
    <x v="0"/>
    <x v="1"/>
    <x v="1"/>
    <x v="824"/>
    <x v="639"/>
    <x v="1"/>
    <x v="1"/>
  </r>
  <r>
    <x v="825"/>
    <x v="450"/>
    <x v="118"/>
    <x v="1"/>
    <x v="0"/>
    <x v="4"/>
    <x v="825"/>
    <x v="97"/>
    <x v="0"/>
    <x v="0"/>
  </r>
  <r>
    <x v="826"/>
    <x v="311"/>
    <x v="251"/>
    <x v="0"/>
    <x v="2"/>
    <x v="0"/>
    <x v="826"/>
    <x v="158"/>
    <x v="0"/>
    <x v="1"/>
  </r>
  <r>
    <x v="827"/>
    <x v="222"/>
    <x v="191"/>
    <x v="0"/>
    <x v="2"/>
    <x v="6"/>
    <x v="827"/>
    <x v="474"/>
    <x v="0"/>
    <x v="1"/>
  </r>
  <r>
    <x v="828"/>
    <x v="525"/>
    <x v="377"/>
    <x v="1"/>
    <x v="2"/>
    <x v="1"/>
    <x v="828"/>
    <x v="640"/>
    <x v="1"/>
    <x v="0"/>
  </r>
  <r>
    <x v="829"/>
    <x v="234"/>
    <x v="47"/>
    <x v="1"/>
    <x v="2"/>
    <x v="3"/>
    <x v="829"/>
    <x v="641"/>
    <x v="2"/>
    <x v="3"/>
  </r>
  <r>
    <x v="830"/>
    <x v="374"/>
    <x v="74"/>
    <x v="0"/>
    <x v="2"/>
    <x v="4"/>
    <x v="830"/>
    <x v="459"/>
    <x v="0"/>
    <x v="0"/>
  </r>
  <r>
    <x v="831"/>
    <x v="25"/>
    <x v="24"/>
    <x v="0"/>
    <x v="1"/>
    <x v="3"/>
    <x v="831"/>
    <x v="642"/>
    <x v="0"/>
    <x v="1"/>
  </r>
  <r>
    <x v="832"/>
    <x v="201"/>
    <x v="177"/>
    <x v="1"/>
    <x v="0"/>
    <x v="5"/>
    <x v="832"/>
    <x v="643"/>
    <x v="0"/>
    <x v="2"/>
  </r>
  <r>
    <x v="833"/>
    <x v="568"/>
    <x v="404"/>
    <x v="0"/>
    <x v="2"/>
    <x v="5"/>
    <x v="833"/>
    <x v="644"/>
    <x v="2"/>
    <x v="3"/>
  </r>
  <r>
    <x v="834"/>
    <x v="569"/>
    <x v="217"/>
    <x v="0"/>
    <x v="2"/>
    <x v="6"/>
    <x v="834"/>
    <x v="645"/>
    <x v="0"/>
    <x v="1"/>
  </r>
  <r>
    <x v="835"/>
    <x v="570"/>
    <x v="405"/>
    <x v="1"/>
    <x v="0"/>
    <x v="3"/>
    <x v="835"/>
    <x v="491"/>
    <x v="0"/>
    <x v="2"/>
  </r>
  <r>
    <x v="836"/>
    <x v="571"/>
    <x v="3"/>
    <x v="1"/>
    <x v="0"/>
    <x v="2"/>
    <x v="836"/>
    <x v="646"/>
    <x v="0"/>
    <x v="2"/>
  </r>
  <r>
    <x v="837"/>
    <x v="413"/>
    <x v="313"/>
    <x v="0"/>
    <x v="2"/>
    <x v="4"/>
    <x v="837"/>
    <x v="647"/>
    <x v="0"/>
    <x v="2"/>
  </r>
  <r>
    <x v="838"/>
    <x v="369"/>
    <x v="289"/>
    <x v="0"/>
    <x v="2"/>
    <x v="4"/>
    <x v="838"/>
    <x v="648"/>
    <x v="2"/>
    <x v="3"/>
  </r>
  <r>
    <x v="839"/>
    <x v="425"/>
    <x v="320"/>
    <x v="1"/>
    <x v="1"/>
    <x v="0"/>
    <x v="839"/>
    <x v="506"/>
    <x v="0"/>
    <x v="1"/>
  </r>
  <r>
    <x v="840"/>
    <x v="572"/>
    <x v="406"/>
    <x v="1"/>
    <x v="0"/>
    <x v="3"/>
    <x v="840"/>
    <x v="326"/>
    <x v="0"/>
    <x v="2"/>
  </r>
  <r>
    <x v="841"/>
    <x v="364"/>
    <x v="285"/>
    <x v="0"/>
    <x v="1"/>
    <x v="4"/>
    <x v="841"/>
    <x v="649"/>
    <x v="1"/>
    <x v="1"/>
  </r>
  <r>
    <x v="842"/>
    <x v="404"/>
    <x v="48"/>
    <x v="0"/>
    <x v="2"/>
    <x v="4"/>
    <x v="842"/>
    <x v="650"/>
    <x v="1"/>
    <x v="2"/>
  </r>
  <r>
    <x v="843"/>
    <x v="90"/>
    <x v="84"/>
    <x v="1"/>
    <x v="2"/>
    <x v="6"/>
    <x v="843"/>
    <x v="457"/>
    <x v="1"/>
    <x v="0"/>
  </r>
  <r>
    <x v="844"/>
    <x v="194"/>
    <x v="51"/>
    <x v="0"/>
    <x v="0"/>
    <x v="3"/>
    <x v="844"/>
    <x v="252"/>
    <x v="0"/>
    <x v="1"/>
  </r>
  <r>
    <x v="845"/>
    <x v="573"/>
    <x v="407"/>
    <x v="0"/>
    <x v="2"/>
    <x v="3"/>
    <x v="845"/>
    <x v="651"/>
    <x v="0"/>
    <x v="1"/>
  </r>
  <r>
    <x v="846"/>
    <x v="574"/>
    <x v="213"/>
    <x v="1"/>
    <x v="1"/>
    <x v="3"/>
    <x v="846"/>
    <x v="303"/>
    <x v="2"/>
    <x v="3"/>
  </r>
  <r>
    <x v="847"/>
    <x v="575"/>
    <x v="408"/>
    <x v="1"/>
    <x v="2"/>
    <x v="4"/>
    <x v="847"/>
    <x v="652"/>
    <x v="0"/>
    <x v="1"/>
  </r>
  <r>
    <x v="848"/>
    <x v="546"/>
    <x v="393"/>
    <x v="0"/>
    <x v="2"/>
    <x v="4"/>
    <x v="848"/>
    <x v="653"/>
    <x v="1"/>
    <x v="0"/>
  </r>
  <r>
    <x v="849"/>
    <x v="214"/>
    <x v="37"/>
    <x v="1"/>
    <x v="1"/>
    <x v="3"/>
    <x v="849"/>
    <x v="654"/>
    <x v="0"/>
    <x v="1"/>
  </r>
  <r>
    <x v="850"/>
    <x v="265"/>
    <x v="0"/>
    <x v="0"/>
    <x v="0"/>
    <x v="2"/>
    <x v="850"/>
    <x v="150"/>
    <x v="0"/>
    <x v="0"/>
  </r>
  <r>
    <x v="851"/>
    <x v="576"/>
    <x v="409"/>
    <x v="1"/>
    <x v="0"/>
    <x v="6"/>
    <x v="851"/>
    <x v="655"/>
    <x v="0"/>
    <x v="1"/>
  </r>
  <r>
    <x v="852"/>
    <x v="497"/>
    <x v="362"/>
    <x v="1"/>
    <x v="2"/>
    <x v="3"/>
    <x v="852"/>
    <x v="343"/>
    <x v="1"/>
    <x v="0"/>
  </r>
  <r>
    <x v="853"/>
    <x v="417"/>
    <x v="104"/>
    <x v="0"/>
    <x v="0"/>
    <x v="0"/>
    <x v="853"/>
    <x v="463"/>
    <x v="2"/>
    <x v="3"/>
  </r>
  <r>
    <x v="854"/>
    <x v="577"/>
    <x v="278"/>
    <x v="1"/>
    <x v="2"/>
    <x v="1"/>
    <x v="854"/>
    <x v="268"/>
    <x v="1"/>
    <x v="0"/>
  </r>
  <r>
    <x v="855"/>
    <x v="298"/>
    <x v="242"/>
    <x v="0"/>
    <x v="2"/>
    <x v="0"/>
    <x v="855"/>
    <x v="187"/>
    <x v="0"/>
    <x v="0"/>
  </r>
  <r>
    <x v="856"/>
    <x v="433"/>
    <x v="325"/>
    <x v="0"/>
    <x v="0"/>
    <x v="1"/>
    <x v="856"/>
    <x v="656"/>
    <x v="0"/>
    <x v="1"/>
  </r>
  <r>
    <x v="857"/>
    <x v="578"/>
    <x v="144"/>
    <x v="1"/>
    <x v="2"/>
    <x v="0"/>
    <x v="857"/>
    <x v="580"/>
    <x v="0"/>
    <x v="1"/>
  </r>
  <r>
    <x v="858"/>
    <x v="101"/>
    <x v="94"/>
    <x v="0"/>
    <x v="2"/>
    <x v="0"/>
    <x v="858"/>
    <x v="217"/>
    <x v="1"/>
    <x v="1"/>
  </r>
  <r>
    <x v="859"/>
    <x v="207"/>
    <x v="182"/>
    <x v="0"/>
    <x v="1"/>
    <x v="3"/>
    <x v="859"/>
    <x v="619"/>
    <x v="0"/>
    <x v="2"/>
  </r>
  <r>
    <x v="860"/>
    <x v="78"/>
    <x v="74"/>
    <x v="0"/>
    <x v="2"/>
    <x v="0"/>
    <x v="860"/>
    <x v="26"/>
    <x v="0"/>
    <x v="0"/>
  </r>
  <r>
    <x v="861"/>
    <x v="40"/>
    <x v="38"/>
    <x v="1"/>
    <x v="2"/>
    <x v="3"/>
    <x v="861"/>
    <x v="98"/>
    <x v="0"/>
    <x v="1"/>
  </r>
  <r>
    <x v="862"/>
    <x v="579"/>
    <x v="410"/>
    <x v="1"/>
    <x v="1"/>
    <x v="4"/>
    <x v="862"/>
    <x v="657"/>
    <x v="0"/>
    <x v="2"/>
  </r>
  <r>
    <x v="863"/>
    <x v="222"/>
    <x v="191"/>
    <x v="0"/>
    <x v="2"/>
    <x v="6"/>
    <x v="863"/>
    <x v="658"/>
    <x v="0"/>
    <x v="1"/>
  </r>
  <r>
    <x v="864"/>
    <x v="101"/>
    <x v="94"/>
    <x v="0"/>
    <x v="2"/>
    <x v="0"/>
    <x v="864"/>
    <x v="659"/>
    <x v="0"/>
    <x v="2"/>
  </r>
  <r>
    <x v="865"/>
    <x v="580"/>
    <x v="411"/>
    <x v="1"/>
    <x v="2"/>
    <x v="1"/>
    <x v="865"/>
    <x v="660"/>
    <x v="1"/>
    <x v="1"/>
  </r>
  <r>
    <x v="866"/>
    <x v="62"/>
    <x v="59"/>
    <x v="0"/>
    <x v="2"/>
    <x v="1"/>
    <x v="866"/>
    <x v="661"/>
    <x v="0"/>
    <x v="0"/>
  </r>
  <r>
    <x v="867"/>
    <x v="581"/>
    <x v="412"/>
    <x v="0"/>
    <x v="2"/>
    <x v="4"/>
    <x v="867"/>
    <x v="662"/>
    <x v="0"/>
    <x v="2"/>
  </r>
  <r>
    <x v="868"/>
    <x v="203"/>
    <x v="79"/>
    <x v="0"/>
    <x v="2"/>
    <x v="2"/>
    <x v="868"/>
    <x v="370"/>
    <x v="0"/>
    <x v="1"/>
  </r>
  <r>
    <x v="869"/>
    <x v="582"/>
    <x v="153"/>
    <x v="0"/>
    <x v="1"/>
    <x v="0"/>
    <x v="869"/>
    <x v="83"/>
    <x v="0"/>
    <x v="1"/>
  </r>
  <r>
    <x v="870"/>
    <x v="542"/>
    <x v="391"/>
    <x v="0"/>
    <x v="2"/>
    <x v="3"/>
    <x v="870"/>
    <x v="339"/>
    <x v="0"/>
    <x v="0"/>
  </r>
  <r>
    <x v="871"/>
    <x v="437"/>
    <x v="38"/>
    <x v="1"/>
    <x v="2"/>
    <x v="3"/>
    <x v="871"/>
    <x v="364"/>
    <x v="0"/>
    <x v="0"/>
  </r>
  <r>
    <x v="872"/>
    <x v="457"/>
    <x v="336"/>
    <x v="0"/>
    <x v="0"/>
    <x v="4"/>
    <x v="872"/>
    <x v="386"/>
    <x v="0"/>
    <x v="1"/>
  </r>
  <r>
    <x v="873"/>
    <x v="583"/>
    <x v="413"/>
    <x v="0"/>
    <x v="1"/>
    <x v="1"/>
    <x v="873"/>
    <x v="196"/>
    <x v="0"/>
    <x v="2"/>
  </r>
  <r>
    <x v="874"/>
    <x v="584"/>
    <x v="414"/>
    <x v="1"/>
    <x v="1"/>
    <x v="1"/>
    <x v="874"/>
    <x v="663"/>
    <x v="0"/>
    <x v="0"/>
  </r>
  <r>
    <x v="875"/>
    <x v="585"/>
    <x v="415"/>
    <x v="1"/>
    <x v="2"/>
    <x v="0"/>
    <x v="875"/>
    <x v="664"/>
    <x v="0"/>
    <x v="2"/>
  </r>
  <r>
    <x v="876"/>
    <x v="339"/>
    <x v="250"/>
    <x v="0"/>
    <x v="2"/>
    <x v="2"/>
    <x v="876"/>
    <x v="424"/>
    <x v="0"/>
    <x v="1"/>
  </r>
  <r>
    <x v="877"/>
    <x v="97"/>
    <x v="90"/>
    <x v="0"/>
    <x v="2"/>
    <x v="3"/>
    <x v="877"/>
    <x v="665"/>
    <x v="2"/>
    <x v="3"/>
  </r>
  <r>
    <x v="878"/>
    <x v="282"/>
    <x v="100"/>
    <x v="1"/>
    <x v="2"/>
    <x v="6"/>
    <x v="878"/>
    <x v="388"/>
    <x v="2"/>
    <x v="3"/>
  </r>
  <r>
    <x v="879"/>
    <x v="586"/>
    <x v="37"/>
    <x v="1"/>
    <x v="1"/>
    <x v="5"/>
    <x v="879"/>
    <x v="666"/>
    <x v="1"/>
    <x v="2"/>
  </r>
  <r>
    <x v="880"/>
    <x v="587"/>
    <x v="180"/>
    <x v="0"/>
    <x v="0"/>
    <x v="5"/>
    <x v="880"/>
    <x v="667"/>
    <x v="1"/>
    <x v="2"/>
  </r>
  <r>
    <x v="881"/>
    <x v="588"/>
    <x v="416"/>
    <x v="1"/>
    <x v="2"/>
    <x v="1"/>
    <x v="881"/>
    <x v="321"/>
    <x v="0"/>
    <x v="0"/>
  </r>
  <r>
    <x v="882"/>
    <x v="589"/>
    <x v="417"/>
    <x v="0"/>
    <x v="2"/>
    <x v="3"/>
    <x v="882"/>
    <x v="655"/>
    <x v="0"/>
    <x v="1"/>
  </r>
  <r>
    <x v="883"/>
    <x v="111"/>
    <x v="103"/>
    <x v="1"/>
    <x v="1"/>
    <x v="4"/>
    <x v="883"/>
    <x v="668"/>
    <x v="0"/>
    <x v="1"/>
  </r>
  <r>
    <x v="884"/>
    <x v="590"/>
    <x v="418"/>
    <x v="0"/>
    <x v="2"/>
    <x v="6"/>
    <x v="884"/>
    <x v="669"/>
    <x v="1"/>
    <x v="1"/>
  </r>
  <r>
    <x v="885"/>
    <x v="2"/>
    <x v="2"/>
    <x v="1"/>
    <x v="2"/>
    <x v="2"/>
    <x v="885"/>
    <x v="670"/>
    <x v="0"/>
    <x v="0"/>
  </r>
  <r>
    <x v="886"/>
    <x v="591"/>
    <x v="419"/>
    <x v="0"/>
    <x v="1"/>
    <x v="0"/>
    <x v="886"/>
    <x v="671"/>
    <x v="0"/>
    <x v="1"/>
  </r>
  <r>
    <x v="887"/>
    <x v="187"/>
    <x v="45"/>
    <x v="1"/>
    <x v="2"/>
    <x v="2"/>
    <x v="887"/>
    <x v="672"/>
    <x v="2"/>
    <x v="3"/>
  </r>
  <r>
    <x v="888"/>
    <x v="138"/>
    <x v="128"/>
    <x v="0"/>
    <x v="1"/>
    <x v="5"/>
    <x v="888"/>
    <x v="673"/>
    <x v="0"/>
    <x v="2"/>
  </r>
  <r>
    <x v="889"/>
    <x v="13"/>
    <x v="13"/>
    <x v="0"/>
    <x v="1"/>
    <x v="5"/>
    <x v="889"/>
    <x v="674"/>
    <x v="0"/>
    <x v="1"/>
  </r>
  <r>
    <x v="890"/>
    <x v="581"/>
    <x v="412"/>
    <x v="0"/>
    <x v="2"/>
    <x v="4"/>
    <x v="890"/>
    <x v="29"/>
    <x v="0"/>
    <x v="1"/>
  </r>
  <r>
    <x v="891"/>
    <x v="97"/>
    <x v="90"/>
    <x v="0"/>
    <x v="2"/>
    <x v="3"/>
    <x v="891"/>
    <x v="617"/>
    <x v="0"/>
    <x v="0"/>
  </r>
  <r>
    <x v="892"/>
    <x v="212"/>
    <x v="186"/>
    <x v="1"/>
    <x v="0"/>
    <x v="4"/>
    <x v="892"/>
    <x v="675"/>
    <x v="0"/>
    <x v="0"/>
  </r>
  <r>
    <x v="893"/>
    <x v="216"/>
    <x v="175"/>
    <x v="0"/>
    <x v="2"/>
    <x v="5"/>
    <x v="893"/>
    <x v="676"/>
    <x v="0"/>
    <x v="1"/>
  </r>
  <r>
    <x v="894"/>
    <x v="592"/>
    <x v="115"/>
    <x v="0"/>
    <x v="1"/>
    <x v="0"/>
    <x v="894"/>
    <x v="677"/>
    <x v="0"/>
    <x v="1"/>
  </r>
  <r>
    <x v="895"/>
    <x v="593"/>
    <x v="169"/>
    <x v="0"/>
    <x v="1"/>
    <x v="4"/>
    <x v="895"/>
    <x v="224"/>
    <x v="0"/>
    <x v="2"/>
  </r>
  <r>
    <x v="896"/>
    <x v="219"/>
    <x v="165"/>
    <x v="1"/>
    <x v="2"/>
    <x v="2"/>
    <x v="896"/>
    <x v="363"/>
    <x v="0"/>
    <x v="0"/>
  </r>
  <r>
    <x v="897"/>
    <x v="594"/>
    <x v="254"/>
    <x v="1"/>
    <x v="2"/>
    <x v="5"/>
    <x v="897"/>
    <x v="678"/>
    <x v="2"/>
    <x v="3"/>
  </r>
  <r>
    <x v="898"/>
    <x v="595"/>
    <x v="167"/>
    <x v="0"/>
    <x v="0"/>
    <x v="3"/>
    <x v="898"/>
    <x v="679"/>
    <x v="0"/>
    <x v="0"/>
  </r>
  <r>
    <x v="899"/>
    <x v="380"/>
    <x v="297"/>
    <x v="0"/>
    <x v="2"/>
    <x v="1"/>
    <x v="899"/>
    <x v="680"/>
    <x v="0"/>
    <x v="2"/>
  </r>
  <r>
    <x v="900"/>
    <x v="554"/>
    <x v="338"/>
    <x v="1"/>
    <x v="2"/>
    <x v="4"/>
    <x v="900"/>
    <x v="80"/>
    <x v="0"/>
    <x v="2"/>
  </r>
  <r>
    <x v="901"/>
    <x v="137"/>
    <x v="127"/>
    <x v="1"/>
    <x v="1"/>
    <x v="2"/>
    <x v="901"/>
    <x v="681"/>
    <x v="0"/>
    <x v="0"/>
  </r>
  <r>
    <x v="902"/>
    <x v="382"/>
    <x v="298"/>
    <x v="0"/>
    <x v="0"/>
    <x v="0"/>
    <x v="902"/>
    <x v="0"/>
    <x v="0"/>
    <x v="0"/>
  </r>
  <r>
    <x v="903"/>
    <x v="0"/>
    <x v="0"/>
    <x v="0"/>
    <x v="0"/>
    <x v="0"/>
    <x v="903"/>
    <x v="181"/>
    <x v="1"/>
    <x v="1"/>
  </r>
  <r>
    <x v="904"/>
    <x v="253"/>
    <x v="212"/>
    <x v="0"/>
    <x v="2"/>
    <x v="0"/>
    <x v="904"/>
    <x v="631"/>
    <x v="0"/>
    <x v="1"/>
  </r>
  <r>
    <x v="905"/>
    <x v="596"/>
    <x v="420"/>
    <x v="0"/>
    <x v="1"/>
    <x v="3"/>
    <x v="905"/>
    <x v="682"/>
    <x v="0"/>
    <x v="1"/>
  </r>
  <r>
    <x v="906"/>
    <x v="597"/>
    <x v="421"/>
    <x v="1"/>
    <x v="1"/>
    <x v="6"/>
    <x v="906"/>
    <x v="683"/>
    <x v="0"/>
    <x v="0"/>
  </r>
  <r>
    <x v="907"/>
    <x v="575"/>
    <x v="408"/>
    <x v="1"/>
    <x v="2"/>
    <x v="4"/>
    <x v="907"/>
    <x v="684"/>
    <x v="0"/>
    <x v="1"/>
  </r>
  <r>
    <x v="908"/>
    <x v="345"/>
    <x v="272"/>
    <x v="0"/>
    <x v="2"/>
    <x v="1"/>
    <x v="908"/>
    <x v="619"/>
    <x v="0"/>
    <x v="2"/>
  </r>
  <r>
    <x v="909"/>
    <x v="323"/>
    <x v="261"/>
    <x v="1"/>
    <x v="2"/>
    <x v="0"/>
    <x v="909"/>
    <x v="685"/>
    <x v="0"/>
    <x v="1"/>
  </r>
  <r>
    <x v="910"/>
    <x v="598"/>
    <x v="422"/>
    <x v="0"/>
    <x v="0"/>
    <x v="5"/>
    <x v="910"/>
    <x v="686"/>
    <x v="1"/>
    <x v="1"/>
  </r>
  <r>
    <x v="911"/>
    <x v="213"/>
    <x v="144"/>
    <x v="1"/>
    <x v="2"/>
    <x v="2"/>
    <x v="911"/>
    <x v="412"/>
    <x v="0"/>
    <x v="1"/>
  </r>
  <r>
    <x v="912"/>
    <x v="286"/>
    <x v="232"/>
    <x v="0"/>
    <x v="1"/>
    <x v="0"/>
    <x v="912"/>
    <x v="673"/>
    <x v="2"/>
    <x v="3"/>
  </r>
  <r>
    <x v="913"/>
    <x v="243"/>
    <x v="203"/>
    <x v="0"/>
    <x v="1"/>
    <x v="1"/>
    <x v="913"/>
    <x v="687"/>
    <x v="1"/>
    <x v="0"/>
  </r>
  <r>
    <x v="914"/>
    <x v="599"/>
    <x v="423"/>
    <x v="0"/>
    <x v="1"/>
    <x v="6"/>
    <x v="914"/>
    <x v="688"/>
    <x v="0"/>
    <x v="2"/>
  </r>
  <r>
    <x v="915"/>
    <x v="600"/>
    <x v="424"/>
    <x v="1"/>
    <x v="2"/>
    <x v="2"/>
    <x v="915"/>
    <x v="384"/>
    <x v="0"/>
    <x v="0"/>
  </r>
  <r>
    <x v="916"/>
    <x v="601"/>
    <x v="425"/>
    <x v="0"/>
    <x v="2"/>
    <x v="2"/>
    <x v="916"/>
    <x v="238"/>
    <x v="0"/>
    <x v="1"/>
  </r>
  <r>
    <x v="917"/>
    <x v="602"/>
    <x v="21"/>
    <x v="0"/>
    <x v="1"/>
    <x v="5"/>
    <x v="917"/>
    <x v="689"/>
    <x v="0"/>
    <x v="1"/>
  </r>
  <r>
    <x v="918"/>
    <x v="3"/>
    <x v="3"/>
    <x v="1"/>
    <x v="0"/>
    <x v="3"/>
    <x v="918"/>
    <x v="690"/>
    <x v="0"/>
    <x v="1"/>
  </r>
  <r>
    <x v="919"/>
    <x v="603"/>
    <x v="426"/>
    <x v="1"/>
    <x v="2"/>
    <x v="3"/>
    <x v="919"/>
    <x v="691"/>
    <x v="2"/>
    <x v="3"/>
  </r>
  <r>
    <x v="920"/>
    <x v="472"/>
    <x v="348"/>
    <x v="1"/>
    <x v="1"/>
    <x v="1"/>
    <x v="920"/>
    <x v="692"/>
    <x v="0"/>
    <x v="1"/>
  </r>
  <r>
    <x v="921"/>
    <x v="377"/>
    <x v="128"/>
    <x v="0"/>
    <x v="1"/>
    <x v="3"/>
    <x v="921"/>
    <x v="693"/>
    <x v="0"/>
    <x v="0"/>
  </r>
  <r>
    <x v="922"/>
    <x v="524"/>
    <x v="376"/>
    <x v="1"/>
    <x v="0"/>
    <x v="6"/>
    <x v="922"/>
    <x v="694"/>
    <x v="0"/>
    <x v="1"/>
  </r>
  <r>
    <x v="923"/>
    <x v="455"/>
    <x v="12"/>
    <x v="0"/>
    <x v="1"/>
    <x v="3"/>
    <x v="923"/>
    <x v="695"/>
    <x v="1"/>
    <x v="1"/>
  </r>
  <r>
    <x v="924"/>
    <x v="604"/>
    <x v="427"/>
    <x v="0"/>
    <x v="2"/>
    <x v="5"/>
    <x v="924"/>
    <x v="640"/>
    <x v="0"/>
    <x v="0"/>
  </r>
  <r>
    <x v="925"/>
    <x v="605"/>
    <x v="339"/>
    <x v="1"/>
    <x v="1"/>
    <x v="1"/>
    <x v="925"/>
    <x v="696"/>
    <x v="2"/>
    <x v="3"/>
  </r>
  <r>
    <x v="926"/>
    <x v="471"/>
    <x v="347"/>
    <x v="1"/>
    <x v="1"/>
    <x v="5"/>
    <x v="926"/>
    <x v="697"/>
    <x v="0"/>
    <x v="0"/>
  </r>
  <r>
    <x v="927"/>
    <x v="606"/>
    <x v="108"/>
    <x v="1"/>
    <x v="1"/>
    <x v="1"/>
    <x v="927"/>
    <x v="698"/>
    <x v="0"/>
    <x v="2"/>
  </r>
  <r>
    <x v="928"/>
    <x v="71"/>
    <x v="67"/>
    <x v="1"/>
    <x v="1"/>
    <x v="2"/>
    <x v="928"/>
    <x v="699"/>
    <x v="2"/>
    <x v="3"/>
  </r>
  <r>
    <x v="929"/>
    <x v="149"/>
    <x v="139"/>
    <x v="0"/>
    <x v="1"/>
    <x v="1"/>
    <x v="929"/>
    <x v="0"/>
    <x v="0"/>
    <x v="0"/>
  </r>
  <r>
    <x v="930"/>
    <x v="397"/>
    <x v="252"/>
    <x v="1"/>
    <x v="1"/>
    <x v="2"/>
    <x v="930"/>
    <x v="700"/>
    <x v="0"/>
    <x v="0"/>
  </r>
  <r>
    <x v="931"/>
    <x v="533"/>
    <x v="384"/>
    <x v="1"/>
    <x v="2"/>
    <x v="3"/>
    <x v="931"/>
    <x v="62"/>
    <x v="0"/>
    <x v="0"/>
  </r>
  <r>
    <x v="932"/>
    <x v="607"/>
    <x v="325"/>
    <x v="0"/>
    <x v="0"/>
    <x v="2"/>
    <x v="932"/>
    <x v="701"/>
    <x v="2"/>
    <x v="3"/>
  </r>
  <r>
    <x v="933"/>
    <x v="608"/>
    <x v="428"/>
    <x v="1"/>
    <x v="2"/>
    <x v="2"/>
    <x v="933"/>
    <x v="702"/>
    <x v="2"/>
    <x v="3"/>
  </r>
  <r>
    <x v="934"/>
    <x v="609"/>
    <x v="429"/>
    <x v="1"/>
    <x v="1"/>
    <x v="4"/>
    <x v="934"/>
    <x v="33"/>
    <x v="1"/>
    <x v="0"/>
  </r>
  <r>
    <x v="935"/>
    <x v="482"/>
    <x v="60"/>
    <x v="1"/>
    <x v="1"/>
    <x v="0"/>
    <x v="935"/>
    <x v="703"/>
    <x v="1"/>
    <x v="1"/>
  </r>
  <r>
    <x v="936"/>
    <x v="26"/>
    <x v="25"/>
    <x v="1"/>
    <x v="1"/>
    <x v="4"/>
    <x v="936"/>
    <x v="209"/>
    <x v="0"/>
    <x v="0"/>
  </r>
  <r>
    <x v="937"/>
    <x v="45"/>
    <x v="43"/>
    <x v="1"/>
    <x v="1"/>
    <x v="5"/>
    <x v="937"/>
    <x v="198"/>
    <x v="1"/>
    <x v="1"/>
  </r>
  <r>
    <x v="938"/>
    <x v="430"/>
    <x v="322"/>
    <x v="1"/>
    <x v="1"/>
    <x v="1"/>
    <x v="938"/>
    <x v="704"/>
    <x v="0"/>
    <x v="2"/>
  </r>
  <r>
    <x v="939"/>
    <x v="610"/>
    <x v="430"/>
    <x v="0"/>
    <x v="1"/>
    <x v="5"/>
    <x v="939"/>
    <x v="705"/>
    <x v="0"/>
    <x v="2"/>
  </r>
  <r>
    <x v="940"/>
    <x v="611"/>
    <x v="140"/>
    <x v="1"/>
    <x v="2"/>
    <x v="5"/>
    <x v="940"/>
    <x v="706"/>
    <x v="0"/>
    <x v="0"/>
  </r>
  <r>
    <x v="941"/>
    <x v="612"/>
    <x v="246"/>
    <x v="0"/>
    <x v="0"/>
    <x v="3"/>
    <x v="941"/>
    <x v="707"/>
    <x v="0"/>
    <x v="0"/>
  </r>
  <r>
    <x v="942"/>
    <x v="172"/>
    <x v="156"/>
    <x v="0"/>
    <x v="2"/>
    <x v="4"/>
    <x v="942"/>
    <x v="109"/>
    <x v="0"/>
    <x v="0"/>
  </r>
  <r>
    <x v="943"/>
    <x v="601"/>
    <x v="425"/>
    <x v="0"/>
    <x v="2"/>
    <x v="2"/>
    <x v="943"/>
    <x v="702"/>
    <x v="1"/>
    <x v="1"/>
  </r>
  <r>
    <x v="944"/>
    <x v="424"/>
    <x v="319"/>
    <x v="1"/>
    <x v="2"/>
    <x v="4"/>
    <x v="944"/>
    <x v="708"/>
    <x v="0"/>
    <x v="0"/>
  </r>
  <r>
    <x v="945"/>
    <x v="613"/>
    <x v="282"/>
    <x v="1"/>
    <x v="1"/>
    <x v="3"/>
    <x v="945"/>
    <x v="694"/>
    <x v="0"/>
    <x v="1"/>
  </r>
  <r>
    <x v="946"/>
    <x v="461"/>
    <x v="339"/>
    <x v="1"/>
    <x v="1"/>
    <x v="4"/>
    <x v="946"/>
    <x v="138"/>
    <x v="1"/>
    <x v="1"/>
  </r>
  <r>
    <x v="947"/>
    <x v="453"/>
    <x v="334"/>
    <x v="0"/>
    <x v="2"/>
    <x v="5"/>
    <x v="947"/>
    <x v="709"/>
    <x v="0"/>
    <x v="0"/>
  </r>
  <r>
    <x v="948"/>
    <x v="493"/>
    <x v="292"/>
    <x v="1"/>
    <x v="0"/>
    <x v="4"/>
    <x v="948"/>
    <x v="710"/>
    <x v="0"/>
    <x v="1"/>
  </r>
  <r>
    <x v="949"/>
    <x v="614"/>
    <x v="189"/>
    <x v="0"/>
    <x v="1"/>
    <x v="2"/>
    <x v="949"/>
    <x v="711"/>
    <x v="0"/>
    <x v="1"/>
  </r>
  <r>
    <x v="950"/>
    <x v="503"/>
    <x v="365"/>
    <x v="0"/>
    <x v="0"/>
    <x v="1"/>
    <x v="950"/>
    <x v="712"/>
    <x v="0"/>
    <x v="1"/>
  </r>
  <r>
    <x v="951"/>
    <x v="205"/>
    <x v="180"/>
    <x v="0"/>
    <x v="0"/>
    <x v="6"/>
    <x v="951"/>
    <x v="713"/>
    <x v="0"/>
    <x v="1"/>
  </r>
  <r>
    <x v="952"/>
    <x v="400"/>
    <x v="305"/>
    <x v="1"/>
    <x v="1"/>
    <x v="5"/>
    <x v="952"/>
    <x v="714"/>
    <x v="0"/>
    <x v="1"/>
  </r>
  <r>
    <x v="953"/>
    <x v="615"/>
    <x v="386"/>
    <x v="1"/>
    <x v="1"/>
    <x v="1"/>
    <x v="953"/>
    <x v="82"/>
    <x v="0"/>
    <x v="0"/>
  </r>
  <r>
    <x v="954"/>
    <x v="90"/>
    <x v="84"/>
    <x v="1"/>
    <x v="2"/>
    <x v="6"/>
    <x v="954"/>
    <x v="143"/>
    <x v="0"/>
    <x v="0"/>
  </r>
  <r>
    <x v="955"/>
    <x v="483"/>
    <x v="126"/>
    <x v="0"/>
    <x v="0"/>
    <x v="6"/>
    <x v="955"/>
    <x v="715"/>
    <x v="0"/>
    <x v="2"/>
  </r>
  <r>
    <x v="956"/>
    <x v="563"/>
    <x v="401"/>
    <x v="1"/>
    <x v="0"/>
    <x v="5"/>
    <x v="956"/>
    <x v="716"/>
    <x v="0"/>
    <x v="0"/>
  </r>
  <r>
    <x v="957"/>
    <x v="616"/>
    <x v="431"/>
    <x v="1"/>
    <x v="1"/>
    <x v="3"/>
    <x v="957"/>
    <x v="156"/>
    <x v="0"/>
    <x v="0"/>
  </r>
  <r>
    <x v="958"/>
    <x v="604"/>
    <x v="427"/>
    <x v="0"/>
    <x v="2"/>
    <x v="5"/>
    <x v="958"/>
    <x v="157"/>
    <x v="0"/>
    <x v="0"/>
  </r>
  <r>
    <x v="959"/>
    <x v="617"/>
    <x v="50"/>
    <x v="0"/>
    <x v="2"/>
    <x v="4"/>
    <x v="959"/>
    <x v="450"/>
    <x v="0"/>
    <x v="1"/>
  </r>
  <r>
    <x v="960"/>
    <x v="74"/>
    <x v="70"/>
    <x v="0"/>
    <x v="2"/>
    <x v="0"/>
    <x v="960"/>
    <x v="717"/>
    <x v="2"/>
    <x v="3"/>
  </r>
  <r>
    <x v="961"/>
    <x v="618"/>
    <x v="386"/>
    <x v="1"/>
    <x v="1"/>
    <x v="1"/>
    <x v="961"/>
    <x v="718"/>
    <x v="0"/>
    <x v="0"/>
  </r>
  <r>
    <x v="962"/>
    <x v="619"/>
    <x v="432"/>
    <x v="0"/>
    <x v="2"/>
    <x v="6"/>
    <x v="962"/>
    <x v="719"/>
    <x v="0"/>
    <x v="1"/>
  </r>
  <r>
    <x v="963"/>
    <x v="291"/>
    <x v="235"/>
    <x v="1"/>
    <x v="2"/>
    <x v="3"/>
    <x v="963"/>
    <x v="720"/>
    <x v="1"/>
    <x v="0"/>
  </r>
  <r>
    <x v="964"/>
    <x v="620"/>
    <x v="336"/>
    <x v="0"/>
    <x v="0"/>
    <x v="1"/>
    <x v="964"/>
    <x v="208"/>
    <x v="2"/>
    <x v="3"/>
  </r>
  <r>
    <x v="965"/>
    <x v="428"/>
    <x v="58"/>
    <x v="1"/>
    <x v="1"/>
    <x v="2"/>
    <x v="965"/>
    <x v="721"/>
    <x v="1"/>
    <x v="1"/>
  </r>
  <r>
    <x v="966"/>
    <x v="200"/>
    <x v="176"/>
    <x v="1"/>
    <x v="2"/>
    <x v="1"/>
    <x v="966"/>
    <x v="722"/>
    <x v="0"/>
    <x v="2"/>
  </r>
  <r>
    <x v="967"/>
    <x v="607"/>
    <x v="325"/>
    <x v="0"/>
    <x v="0"/>
    <x v="2"/>
    <x v="967"/>
    <x v="723"/>
    <x v="0"/>
    <x v="1"/>
  </r>
  <r>
    <x v="968"/>
    <x v="621"/>
    <x v="330"/>
    <x v="1"/>
    <x v="2"/>
    <x v="1"/>
    <x v="968"/>
    <x v="627"/>
    <x v="0"/>
    <x v="1"/>
  </r>
  <r>
    <x v="969"/>
    <x v="494"/>
    <x v="361"/>
    <x v="0"/>
    <x v="0"/>
    <x v="5"/>
    <x v="969"/>
    <x v="526"/>
    <x v="0"/>
    <x v="1"/>
  </r>
  <r>
    <x v="970"/>
    <x v="383"/>
    <x v="299"/>
    <x v="1"/>
    <x v="2"/>
    <x v="1"/>
    <x v="970"/>
    <x v="173"/>
    <x v="0"/>
    <x v="1"/>
  </r>
  <r>
    <x v="971"/>
    <x v="622"/>
    <x v="385"/>
    <x v="1"/>
    <x v="2"/>
    <x v="3"/>
    <x v="971"/>
    <x v="724"/>
    <x v="1"/>
    <x v="0"/>
  </r>
  <r>
    <x v="972"/>
    <x v="154"/>
    <x v="141"/>
    <x v="1"/>
    <x v="2"/>
    <x v="6"/>
    <x v="972"/>
    <x v="725"/>
    <x v="1"/>
    <x v="2"/>
  </r>
  <r>
    <x v="973"/>
    <x v="82"/>
    <x v="78"/>
    <x v="1"/>
    <x v="2"/>
    <x v="3"/>
    <x v="973"/>
    <x v="554"/>
    <x v="1"/>
    <x v="1"/>
  </r>
  <r>
    <x v="974"/>
    <x v="82"/>
    <x v="78"/>
    <x v="1"/>
    <x v="2"/>
    <x v="3"/>
    <x v="974"/>
    <x v="726"/>
    <x v="0"/>
    <x v="1"/>
  </r>
  <r>
    <x v="975"/>
    <x v="59"/>
    <x v="57"/>
    <x v="0"/>
    <x v="1"/>
    <x v="6"/>
    <x v="975"/>
    <x v="493"/>
    <x v="0"/>
    <x v="2"/>
  </r>
  <r>
    <x v="976"/>
    <x v="623"/>
    <x v="433"/>
    <x v="1"/>
    <x v="2"/>
    <x v="6"/>
    <x v="976"/>
    <x v="33"/>
    <x v="0"/>
    <x v="0"/>
  </r>
  <r>
    <x v="977"/>
    <x v="469"/>
    <x v="133"/>
    <x v="1"/>
    <x v="2"/>
    <x v="5"/>
    <x v="977"/>
    <x v="293"/>
    <x v="0"/>
    <x v="1"/>
  </r>
  <r>
    <x v="978"/>
    <x v="399"/>
    <x v="177"/>
    <x v="1"/>
    <x v="0"/>
    <x v="4"/>
    <x v="978"/>
    <x v="727"/>
    <x v="0"/>
    <x v="0"/>
  </r>
  <r>
    <x v="979"/>
    <x v="268"/>
    <x v="76"/>
    <x v="0"/>
    <x v="1"/>
    <x v="2"/>
    <x v="979"/>
    <x v="173"/>
    <x v="1"/>
    <x v="1"/>
  </r>
  <r>
    <x v="980"/>
    <x v="287"/>
    <x v="171"/>
    <x v="1"/>
    <x v="1"/>
    <x v="2"/>
    <x v="980"/>
    <x v="728"/>
    <x v="2"/>
    <x v="3"/>
  </r>
  <r>
    <x v="981"/>
    <x v="624"/>
    <x v="354"/>
    <x v="1"/>
    <x v="2"/>
    <x v="0"/>
    <x v="981"/>
    <x v="552"/>
    <x v="0"/>
    <x v="0"/>
  </r>
  <r>
    <x v="982"/>
    <x v="249"/>
    <x v="208"/>
    <x v="1"/>
    <x v="2"/>
    <x v="6"/>
    <x v="982"/>
    <x v="282"/>
    <x v="0"/>
    <x v="1"/>
  </r>
  <r>
    <x v="983"/>
    <x v="282"/>
    <x v="100"/>
    <x v="1"/>
    <x v="2"/>
    <x v="6"/>
    <x v="983"/>
    <x v="729"/>
    <x v="0"/>
    <x v="2"/>
  </r>
  <r>
    <x v="984"/>
    <x v="625"/>
    <x v="434"/>
    <x v="1"/>
    <x v="2"/>
    <x v="2"/>
    <x v="984"/>
    <x v="730"/>
    <x v="0"/>
    <x v="2"/>
  </r>
  <r>
    <x v="985"/>
    <x v="531"/>
    <x v="382"/>
    <x v="0"/>
    <x v="2"/>
    <x v="6"/>
    <x v="985"/>
    <x v="148"/>
    <x v="0"/>
    <x v="1"/>
  </r>
  <r>
    <x v="986"/>
    <x v="607"/>
    <x v="325"/>
    <x v="0"/>
    <x v="0"/>
    <x v="2"/>
    <x v="986"/>
    <x v="459"/>
    <x v="0"/>
    <x v="0"/>
  </r>
  <r>
    <x v="987"/>
    <x v="16"/>
    <x v="16"/>
    <x v="1"/>
    <x v="2"/>
    <x v="5"/>
    <x v="987"/>
    <x v="318"/>
    <x v="0"/>
    <x v="1"/>
  </r>
  <r>
    <x v="988"/>
    <x v="626"/>
    <x v="239"/>
    <x v="1"/>
    <x v="0"/>
    <x v="6"/>
    <x v="988"/>
    <x v="731"/>
    <x v="2"/>
    <x v="3"/>
  </r>
  <r>
    <x v="989"/>
    <x v="627"/>
    <x v="202"/>
    <x v="0"/>
    <x v="2"/>
    <x v="6"/>
    <x v="989"/>
    <x v="732"/>
    <x v="0"/>
    <x v="0"/>
  </r>
  <r>
    <x v="990"/>
    <x v="66"/>
    <x v="63"/>
    <x v="1"/>
    <x v="2"/>
    <x v="6"/>
    <x v="990"/>
    <x v="649"/>
    <x v="0"/>
    <x v="1"/>
  </r>
  <r>
    <x v="991"/>
    <x v="439"/>
    <x v="328"/>
    <x v="1"/>
    <x v="2"/>
    <x v="3"/>
    <x v="991"/>
    <x v="359"/>
    <x v="0"/>
    <x v="0"/>
  </r>
  <r>
    <x v="992"/>
    <x v="628"/>
    <x v="435"/>
    <x v="1"/>
    <x v="0"/>
    <x v="6"/>
    <x v="992"/>
    <x v="534"/>
    <x v="0"/>
    <x v="0"/>
  </r>
  <r>
    <x v="993"/>
    <x v="1"/>
    <x v="1"/>
    <x v="0"/>
    <x v="1"/>
    <x v="1"/>
    <x v="993"/>
    <x v="733"/>
    <x v="0"/>
    <x v="0"/>
  </r>
  <r>
    <x v="994"/>
    <x v="68"/>
    <x v="65"/>
    <x v="0"/>
    <x v="2"/>
    <x v="4"/>
    <x v="994"/>
    <x v="212"/>
    <x v="1"/>
    <x v="2"/>
  </r>
  <r>
    <x v="995"/>
    <x v="146"/>
    <x v="136"/>
    <x v="0"/>
    <x v="2"/>
    <x v="6"/>
    <x v="995"/>
    <x v="540"/>
    <x v="1"/>
    <x v="1"/>
  </r>
  <r>
    <x v="996"/>
    <x v="629"/>
    <x v="436"/>
    <x v="1"/>
    <x v="0"/>
    <x v="1"/>
    <x v="996"/>
    <x v="434"/>
    <x v="0"/>
    <x v="2"/>
  </r>
  <r>
    <x v="997"/>
    <x v="49"/>
    <x v="47"/>
    <x v="1"/>
    <x v="2"/>
    <x v="0"/>
    <x v="997"/>
    <x v="581"/>
    <x v="2"/>
    <x v="3"/>
  </r>
  <r>
    <x v="998"/>
    <x v="630"/>
    <x v="61"/>
    <x v="1"/>
    <x v="0"/>
    <x v="3"/>
    <x v="998"/>
    <x v="678"/>
    <x v="0"/>
    <x v="1"/>
  </r>
  <r>
    <x v="999"/>
    <x v="41"/>
    <x v="39"/>
    <x v="1"/>
    <x v="2"/>
    <x v="6"/>
    <x v="999"/>
    <x v="639"/>
    <x v="0"/>
    <x v="1"/>
  </r>
  <r>
    <x v="1000"/>
    <x v="397"/>
    <x v="252"/>
    <x v="1"/>
    <x v="1"/>
    <x v="2"/>
    <x v="1000"/>
    <x v="734"/>
    <x v="2"/>
    <x v="3"/>
  </r>
  <r>
    <x v="1001"/>
    <x v="631"/>
    <x v="151"/>
    <x v="1"/>
    <x v="1"/>
    <x v="5"/>
    <x v="1001"/>
    <x v="735"/>
    <x v="0"/>
    <x v="0"/>
  </r>
  <r>
    <x v="1002"/>
    <x v="110"/>
    <x v="37"/>
    <x v="1"/>
    <x v="1"/>
    <x v="1"/>
    <x v="1002"/>
    <x v="311"/>
    <x v="1"/>
    <x v="1"/>
  </r>
  <r>
    <x v="1003"/>
    <x v="37"/>
    <x v="35"/>
    <x v="0"/>
    <x v="2"/>
    <x v="2"/>
    <x v="1003"/>
    <x v="736"/>
    <x v="0"/>
    <x v="2"/>
  </r>
  <r>
    <x v="1004"/>
    <x v="254"/>
    <x v="213"/>
    <x v="1"/>
    <x v="1"/>
    <x v="0"/>
    <x v="1004"/>
    <x v="737"/>
    <x v="1"/>
    <x v="0"/>
  </r>
  <r>
    <x v="1005"/>
    <x v="516"/>
    <x v="372"/>
    <x v="0"/>
    <x v="0"/>
    <x v="5"/>
    <x v="1005"/>
    <x v="738"/>
    <x v="0"/>
    <x v="0"/>
  </r>
  <r>
    <x v="1006"/>
    <x v="632"/>
    <x v="437"/>
    <x v="1"/>
    <x v="1"/>
    <x v="2"/>
    <x v="1006"/>
    <x v="739"/>
    <x v="0"/>
    <x v="2"/>
  </r>
  <r>
    <x v="1007"/>
    <x v="633"/>
    <x v="438"/>
    <x v="0"/>
    <x v="2"/>
    <x v="3"/>
    <x v="1007"/>
    <x v="740"/>
    <x v="0"/>
    <x v="2"/>
  </r>
  <r>
    <x v="1008"/>
    <x v="589"/>
    <x v="417"/>
    <x v="0"/>
    <x v="2"/>
    <x v="3"/>
    <x v="1008"/>
    <x v="741"/>
    <x v="0"/>
    <x v="1"/>
  </r>
  <r>
    <x v="1009"/>
    <x v="486"/>
    <x v="358"/>
    <x v="0"/>
    <x v="2"/>
    <x v="0"/>
    <x v="1009"/>
    <x v="742"/>
    <x v="1"/>
    <x v="0"/>
  </r>
  <r>
    <x v="1010"/>
    <x v="634"/>
    <x v="439"/>
    <x v="0"/>
    <x v="2"/>
    <x v="1"/>
    <x v="1010"/>
    <x v="743"/>
    <x v="0"/>
    <x v="1"/>
  </r>
  <r>
    <x v="1011"/>
    <x v="139"/>
    <x v="129"/>
    <x v="1"/>
    <x v="2"/>
    <x v="0"/>
    <x v="1011"/>
    <x v="652"/>
    <x v="0"/>
    <x v="1"/>
  </r>
  <r>
    <x v="1012"/>
    <x v="635"/>
    <x v="310"/>
    <x v="0"/>
    <x v="2"/>
    <x v="6"/>
    <x v="1012"/>
    <x v="397"/>
    <x v="0"/>
    <x v="0"/>
  </r>
  <r>
    <x v="1013"/>
    <x v="636"/>
    <x v="383"/>
    <x v="1"/>
    <x v="2"/>
    <x v="5"/>
    <x v="1013"/>
    <x v="744"/>
    <x v="0"/>
    <x v="2"/>
  </r>
  <r>
    <x v="1014"/>
    <x v="605"/>
    <x v="339"/>
    <x v="1"/>
    <x v="1"/>
    <x v="1"/>
    <x v="1014"/>
    <x v="154"/>
    <x v="0"/>
    <x v="0"/>
  </r>
  <r>
    <x v="1015"/>
    <x v="148"/>
    <x v="138"/>
    <x v="1"/>
    <x v="2"/>
    <x v="0"/>
    <x v="1015"/>
    <x v="745"/>
    <x v="1"/>
    <x v="1"/>
  </r>
  <r>
    <x v="1016"/>
    <x v="280"/>
    <x v="230"/>
    <x v="1"/>
    <x v="2"/>
    <x v="5"/>
    <x v="1016"/>
    <x v="135"/>
    <x v="1"/>
    <x v="1"/>
  </r>
  <r>
    <x v="1017"/>
    <x v="637"/>
    <x v="440"/>
    <x v="0"/>
    <x v="2"/>
    <x v="4"/>
    <x v="1017"/>
    <x v="188"/>
    <x v="2"/>
    <x v="3"/>
  </r>
  <r>
    <x v="1018"/>
    <x v="638"/>
    <x v="384"/>
    <x v="1"/>
    <x v="2"/>
    <x v="1"/>
    <x v="1018"/>
    <x v="643"/>
    <x v="0"/>
    <x v="2"/>
  </r>
  <r>
    <x v="1019"/>
    <x v="639"/>
    <x v="441"/>
    <x v="0"/>
    <x v="0"/>
    <x v="4"/>
    <x v="1019"/>
    <x v="746"/>
    <x v="0"/>
    <x v="2"/>
  </r>
  <r>
    <x v="1020"/>
    <x v="3"/>
    <x v="3"/>
    <x v="1"/>
    <x v="0"/>
    <x v="3"/>
    <x v="1020"/>
    <x v="92"/>
    <x v="0"/>
    <x v="1"/>
  </r>
  <r>
    <x v="1021"/>
    <x v="155"/>
    <x v="142"/>
    <x v="0"/>
    <x v="2"/>
    <x v="3"/>
    <x v="1021"/>
    <x v="747"/>
    <x v="0"/>
    <x v="0"/>
  </r>
  <r>
    <x v="1022"/>
    <x v="604"/>
    <x v="427"/>
    <x v="0"/>
    <x v="2"/>
    <x v="5"/>
    <x v="1022"/>
    <x v="748"/>
    <x v="0"/>
    <x v="0"/>
  </r>
  <r>
    <x v="1023"/>
    <x v="369"/>
    <x v="289"/>
    <x v="0"/>
    <x v="2"/>
    <x v="4"/>
    <x v="1023"/>
    <x v="749"/>
    <x v="0"/>
    <x v="2"/>
  </r>
  <r>
    <x v="1024"/>
    <x v="640"/>
    <x v="442"/>
    <x v="0"/>
    <x v="2"/>
    <x v="3"/>
    <x v="1024"/>
    <x v="750"/>
    <x v="0"/>
    <x v="0"/>
  </r>
  <r>
    <x v="1025"/>
    <x v="626"/>
    <x v="239"/>
    <x v="1"/>
    <x v="0"/>
    <x v="6"/>
    <x v="1025"/>
    <x v="751"/>
    <x v="1"/>
    <x v="1"/>
  </r>
  <r>
    <x v="1026"/>
    <x v="557"/>
    <x v="399"/>
    <x v="1"/>
    <x v="2"/>
    <x v="3"/>
    <x v="1026"/>
    <x v="572"/>
    <x v="1"/>
    <x v="0"/>
  </r>
  <r>
    <x v="1027"/>
    <x v="641"/>
    <x v="443"/>
    <x v="1"/>
    <x v="1"/>
    <x v="5"/>
    <x v="1027"/>
    <x v="752"/>
    <x v="0"/>
    <x v="0"/>
  </r>
  <r>
    <x v="1028"/>
    <x v="642"/>
    <x v="221"/>
    <x v="0"/>
    <x v="2"/>
    <x v="4"/>
    <x v="1028"/>
    <x v="753"/>
    <x v="0"/>
    <x v="0"/>
  </r>
  <r>
    <x v="1029"/>
    <x v="643"/>
    <x v="444"/>
    <x v="1"/>
    <x v="0"/>
    <x v="5"/>
    <x v="1029"/>
    <x v="754"/>
    <x v="2"/>
    <x v="3"/>
  </r>
  <r>
    <x v="1030"/>
    <x v="496"/>
    <x v="12"/>
    <x v="0"/>
    <x v="1"/>
    <x v="5"/>
    <x v="1030"/>
    <x v="18"/>
    <x v="0"/>
    <x v="2"/>
  </r>
  <r>
    <x v="1031"/>
    <x v="644"/>
    <x v="92"/>
    <x v="0"/>
    <x v="2"/>
    <x v="2"/>
    <x v="1031"/>
    <x v="525"/>
    <x v="1"/>
    <x v="0"/>
  </r>
  <r>
    <x v="1032"/>
    <x v="382"/>
    <x v="298"/>
    <x v="0"/>
    <x v="0"/>
    <x v="0"/>
    <x v="1032"/>
    <x v="587"/>
    <x v="0"/>
    <x v="1"/>
  </r>
  <r>
    <x v="1033"/>
    <x v="145"/>
    <x v="135"/>
    <x v="0"/>
    <x v="2"/>
    <x v="0"/>
    <x v="1033"/>
    <x v="755"/>
    <x v="1"/>
    <x v="2"/>
  </r>
  <r>
    <x v="1034"/>
    <x v="85"/>
    <x v="79"/>
    <x v="0"/>
    <x v="2"/>
    <x v="5"/>
    <x v="1034"/>
    <x v="534"/>
    <x v="0"/>
    <x v="0"/>
  </r>
  <r>
    <x v="1035"/>
    <x v="645"/>
    <x v="341"/>
    <x v="0"/>
    <x v="0"/>
    <x v="2"/>
    <x v="1035"/>
    <x v="263"/>
    <x v="2"/>
    <x v="3"/>
  </r>
  <r>
    <x v="1036"/>
    <x v="646"/>
    <x v="445"/>
    <x v="1"/>
    <x v="1"/>
    <x v="5"/>
    <x v="1036"/>
    <x v="475"/>
    <x v="1"/>
    <x v="1"/>
  </r>
  <r>
    <x v="1037"/>
    <x v="255"/>
    <x v="214"/>
    <x v="0"/>
    <x v="1"/>
    <x v="4"/>
    <x v="1037"/>
    <x v="756"/>
    <x v="0"/>
    <x v="2"/>
  </r>
  <r>
    <x v="1038"/>
    <x v="647"/>
    <x v="73"/>
    <x v="1"/>
    <x v="2"/>
    <x v="6"/>
    <x v="1038"/>
    <x v="757"/>
    <x v="1"/>
    <x v="0"/>
  </r>
  <r>
    <x v="1039"/>
    <x v="88"/>
    <x v="82"/>
    <x v="0"/>
    <x v="2"/>
    <x v="2"/>
    <x v="749"/>
    <x v="758"/>
    <x v="0"/>
    <x v="1"/>
  </r>
  <r>
    <x v="1040"/>
    <x v="648"/>
    <x v="342"/>
    <x v="0"/>
    <x v="2"/>
    <x v="5"/>
    <x v="1039"/>
    <x v="759"/>
    <x v="0"/>
    <x v="1"/>
  </r>
  <r>
    <x v="1041"/>
    <x v="538"/>
    <x v="388"/>
    <x v="0"/>
    <x v="2"/>
    <x v="3"/>
    <x v="1040"/>
    <x v="760"/>
    <x v="0"/>
    <x v="0"/>
  </r>
  <r>
    <x v="1042"/>
    <x v="154"/>
    <x v="141"/>
    <x v="1"/>
    <x v="2"/>
    <x v="6"/>
    <x v="1041"/>
    <x v="761"/>
    <x v="1"/>
    <x v="2"/>
  </r>
  <r>
    <x v="1043"/>
    <x v="452"/>
    <x v="333"/>
    <x v="1"/>
    <x v="2"/>
    <x v="2"/>
    <x v="1042"/>
    <x v="517"/>
    <x v="0"/>
    <x v="2"/>
  </r>
  <r>
    <x v="1044"/>
    <x v="38"/>
    <x v="36"/>
    <x v="0"/>
    <x v="1"/>
    <x v="0"/>
    <x v="1043"/>
    <x v="341"/>
    <x v="0"/>
    <x v="0"/>
  </r>
  <r>
    <x v="1045"/>
    <x v="80"/>
    <x v="76"/>
    <x v="0"/>
    <x v="1"/>
    <x v="6"/>
    <x v="1044"/>
    <x v="399"/>
    <x v="0"/>
    <x v="0"/>
  </r>
  <r>
    <x v="1046"/>
    <x v="284"/>
    <x v="231"/>
    <x v="1"/>
    <x v="1"/>
    <x v="5"/>
    <x v="1045"/>
    <x v="762"/>
    <x v="0"/>
    <x v="2"/>
  </r>
  <r>
    <x v="1047"/>
    <x v="649"/>
    <x v="368"/>
    <x v="1"/>
    <x v="1"/>
    <x v="5"/>
    <x v="1046"/>
    <x v="763"/>
    <x v="2"/>
    <x v="3"/>
  </r>
  <r>
    <x v="1048"/>
    <x v="416"/>
    <x v="315"/>
    <x v="1"/>
    <x v="1"/>
    <x v="4"/>
    <x v="1047"/>
    <x v="116"/>
    <x v="1"/>
    <x v="1"/>
  </r>
  <r>
    <x v="1049"/>
    <x v="57"/>
    <x v="55"/>
    <x v="1"/>
    <x v="2"/>
    <x v="0"/>
    <x v="1048"/>
    <x v="165"/>
    <x v="2"/>
    <x v="3"/>
  </r>
  <r>
    <x v="1050"/>
    <x v="650"/>
    <x v="446"/>
    <x v="0"/>
    <x v="1"/>
    <x v="6"/>
    <x v="1049"/>
    <x v="760"/>
    <x v="0"/>
    <x v="0"/>
  </r>
  <r>
    <x v="1051"/>
    <x v="651"/>
    <x v="447"/>
    <x v="0"/>
    <x v="1"/>
    <x v="6"/>
    <x v="1050"/>
    <x v="122"/>
    <x v="0"/>
    <x v="1"/>
  </r>
  <r>
    <x v="1052"/>
    <x v="652"/>
    <x v="393"/>
    <x v="0"/>
    <x v="2"/>
    <x v="3"/>
    <x v="1051"/>
    <x v="764"/>
    <x v="0"/>
    <x v="0"/>
  </r>
  <r>
    <x v="1053"/>
    <x v="653"/>
    <x v="419"/>
    <x v="0"/>
    <x v="1"/>
    <x v="3"/>
    <x v="1052"/>
    <x v="765"/>
    <x v="0"/>
    <x v="1"/>
  </r>
  <r>
    <x v="1054"/>
    <x v="217"/>
    <x v="188"/>
    <x v="1"/>
    <x v="2"/>
    <x v="3"/>
    <x v="1053"/>
    <x v="694"/>
    <x v="0"/>
    <x v="1"/>
  </r>
  <r>
    <x v="1055"/>
    <x v="287"/>
    <x v="171"/>
    <x v="1"/>
    <x v="1"/>
    <x v="2"/>
    <x v="1054"/>
    <x v="508"/>
    <x v="0"/>
    <x v="0"/>
  </r>
  <r>
    <x v="1056"/>
    <x v="654"/>
    <x v="448"/>
    <x v="1"/>
    <x v="2"/>
    <x v="4"/>
    <x v="1055"/>
    <x v="766"/>
    <x v="1"/>
    <x v="1"/>
  </r>
  <r>
    <x v="1057"/>
    <x v="320"/>
    <x v="258"/>
    <x v="1"/>
    <x v="0"/>
    <x v="5"/>
    <x v="1056"/>
    <x v="767"/>
    <x v="0"/>
    <x v="2"/>
  </r>
  <r>
    <x v="1058"/>
    <x v="655"/>
    <x v="449"/>
    <x v="1"/>
    <x v="0"/>
    <x v="5"/>
    <x v="1057"/>
    <x v="361"/>
    <x v="0"/>
    <x v="1"/>
  </r>
  <r>
    <x v="1059"/>
    <x v="93"/>
    <x v="87"/>
    <x v="1"/>
    <x v="2"/>
    <x v="4"/>
    <x v="1058"/>
    <x v="333"/>
    <x v="1"/>
    <x v="2"/>
  </r>
  <r>
    <x v="1060"/>
    <x v="656"/>
    <x v="450"/>
    <x v="1"/>
    <x v="1"/>
    <x v="5"/>
    <x v="1059"/>
    <x v="714"/>
    <x v="2"/>
    <x v="3"/>
  </r>
  <r>
    <x v="1061"/>
    <x v="105"/>
    <x v="98"/>
    <x v="0"/>
    <x v="1"/>
    <x v="3"/>
    <x v="1060"/>
    <x v="130"/>
    <x v="0"/>
    <x v="1"/>
  </r>
  <r>
    <x v="1062"/>
    <x v="544"/>
    <x v="259"/>
    <x v="1"/>
    <x v="2"/>
    <x v="5"/>
    <x v="1061"/>
    <x v="750"/>
    <x v="1"/>
    <x v="0"/>
  </r>
  <r>
    <x v="1063"/>
    <x v="657"/>
    <x v="352"/>
    <x v="0"/>
    <x v="1"/>
    <x v="0"/>
    <x v="1062"/>
    <x v="768"/>
    <x v="0"/>
    <x v="0"/>
  </r>
  <r>
    <x v="1064"/>
    <x v="485"/>
    <x v="357"/>
    <x v="1"/>
    <x v="1"/>
    <x v="0"/>
    <x v="1063"/>
    <x v="337"/>
    <x v="0"/>
    <x v="1"/>
  </r>
  <r>
    <x v="1065"/>
    <x v="459"/>
    <x v="56"/>
    <x v="1"/>
    <x v="2"/>
    <x v="0"/>
    <x v="1064"/>
    <x v="769"/>
    <x v="0"/>
    <x v="2"/>
  </r>
  <r>
    <x v="1066"/>
    <x v="125"/>
    <x v="116"/>
    <x v="0"/>
    <x v="2"/>
    <x v="3"/>
    <x v="1065"/>
    <x v="770"/>
    <x v="1"/>
    <x v="1"/>
  </r>
  <r>
    <x v="1067"/>
    <x v="630"/>
    <x v="61"/>
    <x v="1"/>
    <x v="0"/>
    <x v="3"/>
    <x v="1066"/>
    <x v="771"/>
    <x v="0"/>
    <x v="2"/>
  </r>
  <r>
    <x v="1068"/>
    <x v="658"/>
    <x v="451"/>
    <x v="0"/>
    <x v="1"/>
    <x v="6"/>
    <x v="1067"/>
    <x v="772"/>
    <x v="0"/>
    <x v="0"/>
  </r>
  <r>
    <x v="1069"/>
    <x v="659"/>
    <x v="193"/>
    <x v="0"/>
    <x v="2"/>
    <x v="0"/>
    <x v="1068"/>
    <x v="773"/>
    <x v="2"/>
    <x v="3"/>
  </r>
  <r>
    <x v="1070"/>
    <x v="625"/>
    <x v="434"/>
    <x v="1"/>
    <x v="2"/>
    <x v="2"/>
    <x v="1069"/>
    <x v="612"/>
    <x v="0"/>
    <x v="0"/>
  </r>
  <r>
    <x v="1071"/>
    <x v="660"/>
    <x v="452"/>
    <x v="0"/>
    <x v="2"/>
    <x v="4"/>
    <x v="1070"/>
    <x v="774"/>
    <x v="0"/>
    <x v="1"/>
  </r>
  <r>
    <x v="1072"/>
    <x v="94"/>
    <x v="88"/>
    <x v="1"/>
    <x v="2"/>
    <x v="1"/>
    <x v="1071"/>
    <x v="775"/>
    <x v="0"/>
    <x v="0"/>
  </r>
  <r>
    <x v="1073"/>
    <x v="414"/>
    <x v="314"/>
    <x v="0"/>
    <x v="2"/>
    <x v="1"/>
    <x v="1072"/>
    <x v="556"/>
    <x v="1"/>
    <x v="1"/>
  </r>
  <r>
    <x v="1074"/>
    <x v="558"/>
    <x v="203"/>
    <x v="0"/>
    <x v="1"/>
    <x v="6"/>
    <x v="1073"/>
    <x v="217"/>
    <x v="0"/>
    <x v="1"/>
  </r>
  <r>
    <x v="1075"/>
    <x v="33"/>
    <x v="31"/>
    <x v="0"/>
    <x v="1"/>
    <x v="4"/>
    <x v="1074"/>
    <x v="310"/>
    <x v="0"/>
    <x v="1"/>
  </r>
  <r>
    <x v="1076"/>
    <x v="455"/>
    <x v="12"/>
    <x v="0"/>
    <x v="1"/>
    <x v="3"/>
    <x v="1075"/>
    <x v="776"/>
    <x v="0"/>
    <x v="2"/>
  </r>
  <r>
    <x v="1077"/>
    <x v="661"/>
    <x v="449"/>
    <x v="1"/>
    <x v="0"/>
    <x v="2"/>
    <x v="1076"/>
    <x v="281"/>
    <x v="0"/>
    <x v="2"/>
  </r>
  <r>
    <x v="1078"/>
    <x v="107"/>
    <x v="100"/>
    <x v="1"/>
    <x v="2"/>
    <x v="0"/>
    <x v="1077"/>
    <x v="405"/>
    <x v="0"/>
    <x v="1"/>
  </r>
  <r>
    <x v="1079"/>
    <x v="385"/>
    <x v="300"/>
    <x v="1"/>
    <x v="0"/>
    <x v="2"/>
    <x v="1078"/>
    <x v="777"/>
    <x v="0"/>
    <x v="1"/>
  </r>
  <r>
    <x v="1080"/>
    <x v="662"/>
    <x v="453"/>
    <x v="0"/>
    <x v="1"/>
    <x v="5"/>
    <x v="1079"/>
    <x v="778"/>
    <x v="2"/>
    <x v="3"/>
  </r>
  <r>
    <x v="1081"/>
    <x v="290"/>
    <x v="234"/>
    <x v="1"/>
    <x v="2"/>
    <x v="4"/>
    <x v="1080"/>
    <x v="302"/>
    <x v="1"/>
    <x v="2"/>
  </r>
  <r>
    <x v="1082"/>
    <x v="25"/>
    <x v="24"/>
    <x v="0"/>
    <x v="1"/>
    <x v="3"/>
    <x v="1081"/>
    <x v="779"/>
    <x v="0"/>
    <x v="1"/>
  </r>
  <r>
    <x v="1083"/>
    <x v="604"/>
    <x v="427"/>
    <x v="0"/>
    <x v="2"/>
    <x v="5"/>
    <x v="1082"/>
    <x v="108"/>
    <x v="0"/>
    <x v="0"/>
  </r>
  <r>
    <x v="1084"/>
    <x v="573"/>
    <x v="407"/>
    <x v="0"/>
    <x v="2"/>
    <x v="3"/>
    <x v="1083"/>
    <x v="195"/>
    <x v="0"/>
    <x v="0"/>
  </r>
  <r>
    <x v="1085"/>
    <x v="663"/>
    <x v="327"/>
    <x v="0"/>
    <x v="2"/>
    <x v="6"/>
    <x v="1084"/>
    <x v="528"/>
    <x v="1"/>
    <x v="0"/>
  </r>
  <r>
    <x v="1086"/>
    <x v="398"/>
    <x v="26"/>
    <x v="1"/>
    <x v="2"/>
    <x v="5"/>
    <x v="1085"/>
    <x v="233"/>
    <x v="1"/>
    <x v="1"/>
  </r>
  <r>
    <x v="1087"/>
    <x v="162"/>
    <x v="146"/>
    <x v="0"/>
    <x v="2"/>
    <x v="1"/>
    <x v="1086"/>
    <x v="780"/>
    <x v="0"/>
    <x v="2"/>
  </r>
  <r>
    <x v="1088"/>
    <x v="542"/>
    <x v="391"/>
    <x v="0"/>
    <x v="2"/>
    <x v="3"/>
    <x v="1087"/>
    <x v="781"/>
    <x v="0"/>
    <x v="0"/>
  </r>
  <r>
    <x v="1089"/>
    <x v="664"/>
    <x v="160"/>
    <x v="0"/>
    <x v="2"/>
    <x v="2"/>
    <x v="1088"/>
    <x v="782"/>
    <x v="0"/>
    <x v="1"/>
  </r>
  <r>
    <x v="1090"/>
    <x v="665"/>
    <x v="165"/>
    <x v="1"/>
    <x v="2"/>
    <x v="5"/>
    <x v="1089"/>
    <x v="279"/>
    <x v="0"/>
    <x v="0"/>
  </r>
  <r>
    <x v="1091"/>
    <x v="273"/>
    <x v="225"/>
    <x v="0"/>
    <x v="2"/>
    <x v="3"/>
    <x v="1090"/>
    <x v="783"/>
    <x v="0"/>
    <x v="1"/>
  </r>
  <r>
    <x v="1092"/>
    <x v="280"/>
    <x v="230"/>
    <x v="1"/>
    <x v="2"/>
    <x v="5"/>
    <x v="1091"/>
    <x v="152"/>
    <x v="0"/>
    <x v="1"/>
  </r>
  <r>
    <x v="1093"/>
    <x v="611"/>
    <x v="140"/>
    <x v="1"/>
    <x v="2"/>
    <x v="5"/>
    <x v="1092"/>
    <x v="784"/>
    <x v="0"/>
    <x v="1"/>
  </r>
  <r>
    <x v="1094"/>
    <x v="602"/>
    <x v="21"/>
    <x v="0"/>
    <x v="1"/>
    <x v="5"/>
    <x v="1093"/>
    <x v="785"/>
    <x v="1"/>
    <x v="2"/>
  </r>
  <r>
    <x v="1095"/>
    <x v="411"/>
    <x v="312"/>
    <x v="0"/>
    <x v="0"/>
    <x v="6"/>
    <x v="1094"/>
    <x v="786"/>
    <x v="1"/>
    <x v="0"/>
  </r>
  <r>
    <x v="1096"/>
    <x v="379"/>
    <x v="296"/>
    <x v="0"/>
    <x v="0"/>
    <x v="2"/>
    <x v="1095"/>
    <x v="787"/>
    <x v="2"/>
    <x v="3"/>
  </r>
  <r>
    <x v="1097"/>
    <x v="327"/>
    <x v="264"/>
    <x v="1"/>
    <x v="0"/>
    <x v="4"/>
    <x v="1096"/>
    <x v="788"/>
    <x v="0"/>
    <x v="2"/>
  </r>
  <r>
    <x v="1098"/>
    <x v="423"/>
    <x v="204"/>
    <x v="0"/>
    <x v="2"/>
    <x v="1"/>
    <x v="1097"/>
    <x v="43"/>
    <x v="0"/>
    <x v="1"/>
  </r>
  <r>
    <x v="1099"/>
    <x v="458"/>
    <x v="337"/>
    <x v="1"/>
    <x v="2"/>
    <x v="6"/>
    <x v="1098"/>
    <x v="447"/>
    <x v="0"/>
    <x v="2"/>
  </r>
  <r>
    <x v="1100"/>
    <x v="151"/>
    <x v="140"/>
    <x v="1"/>
    <x v="2"/>
    <x v="6"/>
    <x v="1099"/>
    <x v="789"/>
    <x v="0"/>
    <x v="0"/>
  </r>
  <r>
    <x v="1101"/>
    <x v="609"/>
    <x v="429"/>
    <x v="1"/>
    <x v="1"/>
    <x v="4"/>
    <x v="1100"/>
    <x v="790"/>
    <x v="0"/>
    <x v="0"/>
  </r>
  <r>
    <x v="1102"/>
    <x v="633"/>
    <x v="438"/>
    <x v="0"/>
    <x v="2"/>
    <x v="3"/>
    <x v="1101"/>
    <x v="791"/>
    <x v="0"/>
    <x v="2"/>
  </r>
  <r>
    <x v="1103"/>
    <x v="114"/>
    <x v="106"/>
    <x v="0"/>
    <x v="1"/>
    <x v="1"/>
    <x v="1102"/>
    <x v="504"/>
    <x v="1"/>
    <x v="1"/>
  </r>
  <r>
    <x v="1104"/>
    <x v="464"/>
    <x v="342"/>
    <x v="0"/>
    <x v="2"/>
    <x v="6"/>
    <x v="1103"/>
    <x v="792"/>
    <x v="0"/>
    <x v="0"/>
  </r>
  <r>
    <x v="1105"/>
    <x v="23"/>
    <x v="23"/>
    <x v="0"/>
    <x v="2"/>
    <x v="5"/>
    <x v="1104"/>
    <x v="298"/>
    <x v="1"/>
    <x v="0"/>
  </r>
  <r>
    <x v="1106"/>
    <x v="647"/>
    <x v="73"/>
    <x v="1"/>
    <x v="2"/>
    <x v="6"/>
    <x v="1105"/>
    <x v="793"/>
    <x v="0"/>
    <x v="2"/>
  </r>
  <r>
    <x v="1107"/>
    <x v="224"/>
    <x v="192"/>
    <x v="1"/>
    <x v="1"/>
    <x v="5"/>
    <x v="1106"/>
    <x v="269"/>
    <x v="0"/>
    <x v="0"/>
  </r>
  <r>
    <x v="1108"/>
    <x v="273"/>
    <x v="225"/>
    <x v="0"/>
    <x v="2"/>
    <x v="3"/>
    <x v="1107"/>
    <x v="355"/>
    <x v="0"/>
    <x v="1"/>
  </r>
  <r>
    <x v="1109"/>
    <x v="68"/>
    <x v="65"/>
    <x v="0"/>
    <x v="2"/>
    <x v="4"/>
    <x v="1108"/>
    <x v="160"/>
    <x v="1"/>
    <x v="1"/>
  </r>
  <r>
    <x v="1110"/>
    <x v="218"/>
    <x v="189"/>
    <x v="0"/>
    <x v="1"/>
    <x v="2"/>
    <x v="1109"/>
    <x v="794"/>
    <x v="0"/>
    <x v="1"/>
  </r>
  <r>
    <x v="1111"/>
    <x v="666"/>
    <x v="221"/>
    <x v="0"/>
    <x v="2"/>
    <x v="3"/>
    <x v="1110"/>
    <x v="795"/>
    <x v="0"/>
    <x v="2"/>
  </r>
  <r>
    <x v="1112"/>
    <x v="388"/>
    <x v="51"/>
    <x v="0"/>
    <x v="0"/>
    <x v="2"/>
    <x v="1111"/>
    <x v="677"/>
    <x v="0"/>
    <x v="1"/>
  </r>
  <r>
    <x v="1113"/>
    <x v="466"/>
    <x v="344"/>
    <x v="0"/>
    <x v="2"/>
    <x v="4"/>
    <x v="1112"/>
    <x v="796"/>
    <x v="0"/>
    <x v="2"/>
  </r>
  <r>
    <x v="1114"/>
    <x v="667"/>
    <x v="83"/>
    <x v="1"/>
    <x v="2"/>
    <x v="4"/>
    <x v="1113"/>
    <x v="797"/>
    <x v="0"/>
    <x v="2"/>
  </r>
  <r>
    <x v="1115"/>
    <x v="668"/>
    <x v="124"/>
    <x v="0"/>
    <x v="2"/>
    <x v="0"/>
    <x v="1114"/>
    <x v="798"/>
    <x v="0"/>
    <x v="0"/>
  </r>
  <r>
    <x v="1116"/>
    <x v="669"/>
    <x v="454"/>
    <x v="1"/>
    <x v="2"/>
    <x v="4"/>
    <x v="1115"/>
    <x v="799"/>
    <x v="1"/>
    <x v="2"/>
  </r>
  <r>
    <x v="1117"/>
    <x v="670"/>
    <x v="455"/>
    <x v="0"/>
    <x v="2"/>
    <x v="2"/>
    <x v="1116"/>
    <x v="91"/>
    <x v="1"/>
    <x v="2"/>
  </r>
  <r>
    <x v="1118"/>
    <x v="449"/>
    <x v="332"/>
    <x v="1"/>
    <x v="1"/>
    <x v="4"/>
    <x v="1117"/>
    <x v="800"/>
    <x v="0"/>
    <x v="2"/>
  </r>
  <r>
    <x v="1119"/>
    <x v="671"/>
    <x v="456"/>
    <x v="1"/>
    <x v="2"/>
    <x v="3"/>
    <x v="1118"/>
    <x v="801"/>
    <x v="0"/>
    <x v="0"/>
  </r>
  <r>
    <x v="1120"/>
    <x v="88"/>
    <x v="82"/>
    <x v="0"/>
    <x v="2"/>
    <x v="2"/>
    <x v="1119"/>
    <x v="758"/>
    <x v="0"/>
    <x v="1"/>
  </r>
  <r>
    <x v="1121"/>
    <x v="356"/>
    <x v="280"/>
    <x v="1"/>
    <x v="2"/>
    <x v="5"/>
    <x v="1120"/>
    <x v="802"/>
    <x v="0"/>
    <x v="2"/>
  </r>
  <r>
    <x v="1122"/>
    <x v="621"/>
    <x v="330"/>
    <x v="1"/>
    <x v="2"/>
    <x v="1"/>
    <x v="1121"/>
    <x v="474"/>
    <x v="0"/>
    <x v="1"/>
  </r>
  <r>
    <x v="1123"/>
    <x v="672"/>
    <x v="457"/>
    <x v="1"/>
    <x v="2"/>
    <x v="1"/>
    <x v="1122"/>
    <x v="803"/>
    <x v="0"/>
    <x v="2"/>
  </r>
  <r>
    <x v="1124"/>
    <x v="673"/>
    <x v="458"/>
    <x v="0"/>
    <x v="2"/>
    <x v="0"/>
    <x v="1123"/>
    <x v="799"/>
    <x v="0"/>
    <x v="2"/>
  </r>
  <r>
    <x v="1125"/>
    <x v="674"/>
    <x v="459"/>
    <x v="0"/>
    <x v="2"/>
    <x v="1"/>
    <x v="1124"/>
    <x v="222"/>
    <x v="0"/>
    <x v="1"/>
  </r>
  <r>
    <x v="1126"/>
    <x v="68"/>
    <x v="65"/>
    <x v="0"/>
    <x v="2"/>
    <x v="4"/>
    <x v="1125"/>
    <x v="739"/>
    <x v="0"/>
    <x v="2"/>
  </r>
  <r>
    <x v="1127"/>
    <x v="471"/>
    <x v="347"/>
    <x v="1"/>
    <x v="1"/>
    <x v="5"/>
    <x v="1126"/>
    <x v="804"/>
    <x v="0"/>
    <x v="1"/>
  </r>
  <r>
    <x v="1128"/>
    <x v="675"/>
    <x v="230"/>
    <x v="1"/>
    <x v="2"/>
    <x v="6"/>
    <x v="1127"/>
    <x v="113"/>
    <x v="1"/>
    <x v="1"/>
  </r>
  <r>
    <x v="1129"/>
    <x v="676"/>
    <x v="124"/>
    <x v="0"/>
    <x v="2"/>
    <x v="1"/>
    <x v="1128"/>
    <x v="805"/>
    <x v="0"/>
    <x v="0"/>
  </r>
  <r>
    <x v="1130"/>
    <x v="377"/>
    <x v="128"/>
    <x v="0"/>
    <x v="1"/>
    <x v="3"/>
    <x v="1129"/>
    <x v="806"/>
    <x v="0"/>
    <x v="0"/>
  </r>
  <r>
    <x v="1131"/>
    <x v="335"/>
    <x v="188"/>
    <x v="1"/>
    <x v="2"/>
    <x v="3"/>
    <x v="1130"/>
    <x v="347"/>
    <x v="0"/>
    <x v="1"/>
  </r>
  <r>
    <x v="1132"/>
    <x v="348"/>
    <x v="142"/>
    <x v="0"/>
    <x v="2"/>
    <x v="3"/>
    <x v="1131"/>
    <x v="764"/>
    <x v="2"/>
    <x v="3"/>
  </r>
  <r>
    <x v="1133"/>
    <x v="308"/>
    <x v="248"/>
    <x v="0"/>
    <x v="2"/>
    <x v="3"/>
    <x v="1132"/>
    <x v="807"/>
    <x v="1"/>
    <x v="1"/>
  </r>
  <r>
    <x v="1134"/>
    <x v="677"/>
    <x v="180"/>
    <x v="0"/>
    <x v="0"/>
    <x v="5"/>
    <x v="1133"/>
    <x v="646"/>
    <x v="0"/>
    <x v="2"/>
  </r>
  <r>
    <x v="1135"/>
    <x v="612"/>
    <x v="246"/>
    <x v="0"/>
    <x v="0"/>
    <x v="3"/>
    <x v="1134"/>
    <x v="275"/>
    <x v="1"/>
    <x v="2"/>
  </r>
  <r>
    <x v="1136"/>
    <x v="678"/>
    <x v="460"/>
    <x v="1"/>
    <x v="2"/>
    <x v="6"/>
    <x v="1135"/>
    <x v="638"/>
    <x v="0"/>
    <x v="1"/>
  </r>
  <r>
    <x v="1137"/>
    <x v="679"/>
    <x v="235"/>
    <x v="1"/>
    <x v="2"/>
    <x v="3"/>
    <x v="1136"/>
    <x v="808"/>
    <x v="0"/>
    <x v="1"/>
  </r>
  <r>
    <x v="1138"/>
    <x v="480"/>
    <x v="355"/>
    <x v="0"/>
    <x v="2"/>
    <x v="0"/>
    <x v="1137"/>
    <x v="229"/>
    <x v="0"/>
    <x v="0"/>
  </r>
  <r>
    <x v="1139"/>
    <x v="680"/>
    <x v="335"/>
    <x v="0"/>
    <x v="1"/>
    <x v="4"/>
    <x v="1138"/>
    <x v="305"/>
    <x v="1"/>
    <x v="1"/>
  </r>
  <r>
    <x v="1140"/>
    <x v="681"/>
    <x v="461"/>
    <x v="0"/>
    <x v="0"/>
    <x v="0"/>
    <x v="1139"/>
    <x v="809"/>
    <x v="1"/>
    <x v="2"/>
  </r>
  <r>
    <x v="1141"/>
    <x v="220"/>
    <x v="182"/>
    <x v="0"/>
    <x v="1"/>
    <x v="6"/>
    <x v="1140"/>
    <x v="218"/>
    <x v="2"/>
    <x v="3"/>
  </r>
  <r>
    <x v="1142"/>
    <x v="100"/>
    <x v="93"/>
    <x v="1"/>
    <x v="0"/>
    <x v="2"/>
    <x v="1141"/>
    <x v="810"/>
    <x v="0"/>
    <x v="1"/>
  </r>
  <r>
    <x v="1143"/>
    <x v="61"/>
    <x v="53"/>
    <x v="1"/>
    <x v="1"/>
    <x v="3"/>
    <x v="1142"/>
    <x v="811"/>
    <x v="0"/>
    <x v="0"/>
  </r>
  <r>
    <x v="1144"/>
    <x v="224"/>
    <x v="192"/>
    <x v="1"/>
    <x v="1"/>
    <x v="5"/>
    <x v="1143"/>
    <x v="620"/>
    <x v="1"/>
    <x v="1"/>
  </r>
  <r>
    <x v="1145"/>
    <x v="106"/>
    <x v="99"/>
    <x v="0"/>
    <x v="0"/>
    <x v="2"/>
    <x v="1144"/>
    <x v="470"/>
    <x v="0"/>
    <x v="1"/>
  </r>
  <r>
    <x v="1146"/>
    <x v="372"/>
    <x v="292"/>
    <x v="1"/>
    <x v="0"/>
    <x v="3"/>
    <x v="1145"/>
    <x v="812"/>
    <x v="0"/>
    <x v="1"/>
  </r>
  <r>
    <x v="1147"/>
    <x v="466"/>
    <x v="344"/>
    <x v="0"/>
    <x v="2"/>
    <x v="4"/>
    <x v="1146"/>
    <x v="401"/>
    <x v="0"/>
    <x v="0"/>
  </r>
  <r>
    <x v="1148"/>
    <x v="285"/>
    <x v="217"/>
    <x v="0"/>
    <x v="2"/>
    <x v="4"/>
    <x v="1147"/>
    <x v="813"/>
    <x v="0"/>
    <x v="2"/>
  </r>
  <r>
    <x v="1149"/>
    <x v="59"/>
    <x v="57"/>
    <x v="0"/>
    <x v="1"/>
    <x v="6"/>
    <x v="1148"/>
    <x v="814"/>
    <x v="0"/>
    <x v="2"/>
  </r>
  <r>
    <x v="1150"/>
    <x v="250"/>
    <x v="209"/>
    <x v="0"/>
    <x v="2"/>
    <x v="3"/>
    <x v="1149"/>
    <x v="94"/>
    <x v="0"/>
    <x v="0"/>
  </r>
  <r>
    <x v="1151"/>
    <x v="682"/>
    <x v="462"/>
    <x v="0"/>
    <x v="0"/>
    <x v="2"/>
    <x v="1150"/>
    <x v="815"/>
    <x v="0"/>
    <x v="0"/>
  </r>
  <r>
    <x v="1152"/>
    <x v="244"/>
    <x v="204"/>
    <x v="0"/>
    <x v="2"/>
    <x v="6"/>
    <x v="1151"/>
    <x v="816"/>
    <x v="0"/>
    <x v="2"/>
  </r>
  <r>
    <x v="1153"/>
    <x v="683"/>
    <x v="463"/>
    <x v="0"/>
    <x v="2"/>
    <x v="3"/>
    <x v="1152"/>
    <x v="40"/>
    <x v="0"/>
    <x v="1"/>
  </r>
  <r>
    <x v="1154"/>
    <x v="487"/>
    <x v="31"/>
    <x v="0"/>
    <x v="1"/>
    <x v="3"/>
    <x v="1153"/>
    <x v="194"/>
    <x v="1"/>
    <x v="1"/>
  </r>
  <r>
    <x v="1155"/>
    <x v="465"/>
    <x v="343"/>
    <x v="1"/>
    <x v="1"/>
    <x v="4"/>
    <x v="1154"/>
    <x v="817"/>
    <x v="0"/>
    <x v="2"/>
  </r>
  <r>
    <x v="1156"/>
    <x v="647"/>
    <x v="73"/>
    <x v="1"/>
    <x v="2"/>
    <x v="6"/>
    <x v="1155"/>
    <x v="818"/>
    <x v="1"/>
    <x v="1"/>
  </r>
  <r>
    <x v="1157"/>
    <x v="165"/>
    <x v="149"/>
    <x v="1"/>
    <x v="1"/>
    <x v="1"/>
    <x v="1156"/>
    <x v="819"/>
    <x v="1"/>
    <x v="1"/>
  </r>
  <r>
    <x v="1158"/>
    <x v="684"/>
    <x v="464"/>
    <x v="0"/>
    <x v="2"/>
    <x v="5"/>
    <x v="1157"/>
    <x v="820"/>
    <x v="0"/>
    <x v="2"/>
  </r>
  <r>
    <x v="1159"/>
    <x v="685"/>
    <x v="413"/>
    <x v="0"/>
    <x v="1"/>
    <x v="2"/>
    <x v="1158"/>
    <x v="248"/>
    <x v="1"/>
    <x v="0"/>
  </r>
  <r>
    <x v="1160"/>
    <x v="686"/>
    <x v="465"/>
    <x v="0"/>
    <x v="1"/>
    <x v="3"/>
    <x v="1159"/>
    <x v="821"/>
    <x v="1"/>
    <x v="2"/>
  </r>
  <r>
    <x v="1161"/>
    <x v="687"/>
    <x v="466"/>
    <x v="1"/>
    <x v="1"/>
    <x v="5"/>
    <x v="1160"/>
    <x v="822"/>
    <x v="0"/>
    <x v="1"/>
  </r>
  <r>
    <x v="1162"/>
    <x v="688"/>
    <x v="467"/>
    <x v="0"/>
    <x v="2"/>
    <x v="1"/>
    <x v="1161"/>
    <x v="823"/>
    <x v="0"/>
    <x v="1"/>
  </r>
  <r>
    <x v="1163"/>
    <x v="160"/>
    <x v="144"/>
    <x v="1"/>
    <x v="2"/>
    <x v="0"/>
    <x v="1162"/>
    <x v="824"/>
    <x v="0"/>
    <x v="1"/>
  </r>
  <r>
    <x v="1164"/>
    <x v="680"/>
    <x v="335"/>
    <x v="0"/>
    <x v="1"/>
    <x v="4"/>
    <x v="1163"/>
    <x v="422"/>
    <x v="0"/>
    <x v="2"/>
  </r>
  <r>
    <x v="1165"/>
    <x v="156"/>
    <x v="48"/>
    <x v="0"/>
    <x v="2"/>
    <x v="0"/>
    <x v="1164"/>
    <x v="825"/>
    <x v="0"/>
    <x v="2"/>
  </r>
  <r>
    <x v="1166"/>
    <x v="689"/>
    <x v="468"/>
    <x v="1"/>
    <x v="2"/>
    <x v="2"/>
    <x v="1165"/>
    <x v="826"/>
    <x v="1"/>
    <x v="1"/>
  </r>
  <r>
    <x v="1167"/>
    <x v="606"/>
    <x v="108"/>
    <x v="1"/>
    <x v="1"/>
    <x v="1"/>
    <x v="1166"/>
    <x v="624"/>
    <x v="1"/>
    <x v="0"/>
  </r>
  <r>
    <x v="1168"/>
    <x v="690"/>
    <x v="243"/>
    <x v="1"/>
    <x v="1"/>
    <x v="2"/>
    <x v="1167"/>
    <x v="827"/>
    <x v="0"/>
    <x v="0"/>
  </r>
  <r>
    <x v="1169"/>
    <x v="219"/>
    <x v="165"/>
    <x v="1"/>
    <x v="2"/>
    <x v="2"/>
    <x v="1168"/>
    <x v="784"/>
    <x v="1"/>
    <x v="1"/>
  </r>
  <r>
    <x v="1170"/>
    <x v="485"/>
    <x v="357"/>
    <x v="1"/>
    <x v="1"/>
    <x v="0"/>
    <x v="1169"/>
    <x v="828"/>
    <x v="0"/>
    <x v="2"/>
  </r>
  <r>
    <x v="1171"/>
    <x v="316"/>
    <x v="255"/>
    <x v="0"/>
    <x v="1"/>
    <x v="3"/>
    <x v="1170"/>
    <x v="829"/>
    <x v="0"/>
    <x v="1"/>
  </r>
  <r>
    <x v="1172"/>
    <x v="447"/>
    <x v="268"/>
    <x v="0"/>
    <x v="1"/>
    <x v="0"/>
    <x v="1171"/>
    <x v="830"/>
    <x v="2"/>
    <x v="3"/>
  </r>
  <r>
    <x v="1173"/>
    <x v="329"/>
    <x v="221"/>
    <x v="0"/>
    <x v="2"/>
    <x v="2"/>
    <x v="1172"/>
    <x v="831"/>
    <x v="0"/>
    <x v="1"/>
  </r>
  <r>
    <x v="1174"/>
    <x v="280"/>
    <x v="230"/>
    <x v="1"/>
    <x v="2"/>
    <x v="5"/>
    <x v="1173"/>
    <x v="832"/>
    <x v="0"/>
    <x v="2"/>
  </r>
  <r>
    <x v="1175"/>
    <x v="691"/>
    <x v="469"/>
    <x v="1"/>
    <x v="0"/>
    <x v="1"/>
    <x v="1174"/>
    <x v="372"/>
    <x v="2"/>
    <x v="3"/>
  </r>
  <r>
    <x v="1176"/>
    <x v="60"/>
    <x v="58"/>
    <x v="1"/>
    <x v="1"/>
    <x v="1"/>
    <x v="1175"/>
    <x v="253"/>
    <x v="0"/>
    <x v="2"/>
  </r>
  <r>
    <x v="1177"/>
    <x v="238"/>
    <x v="200"/>
    <x v="0"/>
    <x v="0"/>
    <x v="1"/>
    <x v="1176"/>
    <x v="833"/>
    <x v="0"/>
    <x v="0"/>
  </r>
  <r>
    <x v="1178"/>
    <x v="692"/>
    <x v="470"/>
    <x v="1"/>
    <x v="0"/>
    <x v="2"/>
    <x v="1177"/>
    <x v="333"/>
    <x v="2"/>
    <x v="3"/>
  </r>
  <r>
    <x v="1179"/>
    <x v="507"/>
    <x v="328"/>
    <x v="1"/>
    <x v="2"/>
    <x v="6"/>
    <x v="1178"/>
    <x v="534"/>
    <x v="0"/>
    <x v="0"/>
  </r>
  <r>
    <x v="1180"/>
    <x v="693"/>
    <x v="471"/>
    <x v="0"/>
    <x v="2"/>
    <x v="1"/>
    <x v="1179"/>
    <x v="175"/>
    <x v="0"/>
    <x v="0"/>
  </r>
  <r>
    <x v="1181"/>
    <x v="694"/>
    <x v="40"/>
    <x v="1"/>
    <x v="1"/>
    <x v="1"/>
    <x v="1180"/>
    <x v="229"/>
    <x v="0"/>
    <x v="0"/>
  </r>
  <r>
    <x v="1182"/>
    <x v="695"/>
    <x v="472"/>
    <x v="1"/>
    <x v="2"/>
    <x v="6"/>
    <x v="1181"/>
    <x v="834"/>
    <x v="0"/>
    <x v="2"/>
  </r>
  <r>
    <x v="1183"/>
    <x v="111"/>
    <x v="103"/>
    <x v="1"/>
    <x v="1"/>
    <x v="4"/>
    <x v="1182"/>
    <x v="835"/>
    <x v="0"/>
    <x v="0"/>
  </r>
  <r>
    <x v="1184"/>
    <x v="569"/>
    <x v="217"/>
    <x v="0"/>
    <x v="2"/>
    <x v="6"/>
    <x v="1183"/>
    <x v="819"/>
    <x v="0"/>
    <x v="1"/>
  </r>
  <r>
    <x v="1185"/>
    <x v="163"/>
    <x v="147"/>
    <x v="1"/>
    <x v="1"/>
    <x v="6"/>
    <x v="1184"/>
    <x v="836"/>
    <x v="0"/>
    <x v="1"/>
  </r>
  <r>
    <x v="1186"/>
    <x v="682"/>
    <x v="462"/>
    <x v="0"/>
    <x v="0"/>
    <x v="2"/>
    <x v="1185"/>
    <x v="837"/>
    <x v="0"/>
    <x v="1"/>
  </r>
  <r>
    <x v="1187"/>
    <x v="525"/>
    <x v="377"/>
    <x v="1"/>
    <x v="2"/>
    <x v="1"/>
    <x v="1186"/>
    <x v="224"/>
    <x v="2"/>
    <x v="3"/>
  </r>
  <r>
    <x v="1188"/>
    <x v="581"/>
    <x v="412"/>
    <x v="0"/>
    <x v="2"/>
    <x v="4"/>
    <x v="1187"/>
    <x v="383"/>
    <x v="0"/>
    <x v="1"/>
  </r>
  <r>
    <x v="1189"/>
    <x v="36"/>
    <x v="34"/>
    <x v="0"/>
    <x v="2"/>
    <x v="4"/>
    <x v="1188"/>
    <x v="827"/>
    <x v="0"/>
    <x v="0"/>
  </r>
  <r>
    <x v="1190"/>
    <x v="696"/>
    <x v="337"/>
    <x v="1"/>
    <x v="2"/>
    <x v="2"/>
    <x v="1189"/>
    <x v="790"/>
    <x v="1"/>
    <x v="0"/>
  </r>
  <r>
    <x v="1191"/>
    <x v="335"/>
    <x v="188"/>
    <x v="1"/>
    <x v="2"/>
    <x v="3"/>
    <x v="1190"/>
    <x v="838"/>
    <x v="1"/>
    <x v="0"/>
  </r>
  <r>
    <x v="1192"/>
    <x v="697"/>
    <x v="411"/>
    <x v="1"/>
    <x v="2"/>
    <x v="1"/>
    <x v="1191"/>
    <x v="277"/>
    <x v="2"/>
    <x v="3"/>
  </r>
  <r>
    <x v="1193"/>
    <x v="640"/>
    <x v="442"/>
    <x v="0"/>
    <x v="2"/>
    <x v="3"/>
    <x v="1192"/>
    <x v="839"/>
    <x v="0"/>
    <x v="1"/>
  </r>
  <r>
    <x v="1194"/>
    <x v="20"/>
    <x v="20"/>
    <x v="0"/>
    <x v="2"/>
    <x v="6"/>
    <x v="1193"/>
    <x v="840"/>
    <x v="0"/>
    <x v="0"/>
  </r>
  <r>
    <x v="1195"/>
    <x v="111"/>
    <x v="103"/>
    <x v="1"/>
    <x v="1"/>
    <x v="4"/>
    <x v="1194"/>
    <x v="841"/>
    <x v="0"/>
    <x v="0"/>
  </r>
  <r>
    <x v="1196"/>
    <x v="235"/>
    <x v="198"/>
    <x v="1"/>
    <x v="2"/>
    <x v="6"/>
    <x v="1195"/>
    <x v="157"/>
    <x v="0"/>
    <x v="0"/>
  </r>
  <r>
    <x v="1197"/>
    <x v="372"/>
    <x v="292"/>
    <x v="1"/>
    <x v="0"/>
    <x v="3"/>
    <x v="1196"/>
    <x v="485"/>
    <x v="0"/>
    <x v="2"/>
  </r>
  <r>
    <x v="1198"/>
    <x v="464"/>
    <x v="342"/>
    <x v="0"/>
    <x v="2"/>
    <x v="6"/>
    <x v="1197"/>
    <x v="278"/>
    <x v="1"/>
    <x v="0"/>
  </r>
  <r>
    <x v="1199"/>
    <x v="698"/>
    <x v="473"/>
    <x v="1"/>
    <x v="0"/>
    <x v="5"/>
    <x v="1198"/>
    <x v="501"/>
    <x v="0"/>
    <x v="1"/>
  </r>
  <r>
    <x v="1200"/>
    <x v="389"/>
    <x v="215"/>
    <x v="0"/>
    <x v="1"/>
    <x v="0"/>
    <x v="1199"/>
    <x v="147"/>
    <x v="0"/>
    <x v="1"/>
  </r>
  <r>
    <x v="1201"/>
    <x v="483"/>
    <x v="126"/>
    <x v="0"/>
    <x v="0"/>
    <x v="6"/>
    <x v="1200"/>
    <x v="842"/>
    <x v="0"/>
    <x v="0"/>
  </r>
  <r>
    <x v="1202"/>
    <x v="699"/>
    <x v="474"/>
    <x v="0"/>
    <x v="2"/>
    <x v="2"/>
    <x v="1201"/>
    <x v="23"/>
    <x v="0"/>
    <x v="1"/>
  </r>
  <r>
    <x v="1203"/>
    <x v="700"/>
    <x v="475"/>
    <x v="1"/>
    <x v="0"/>
    <x v="0"/>
    <x v="1202"/>
    <x v="843"/>
    <x v="0"/>
    <x v="2"/>
  </r>
  <r>
    <x v="1204"/>
    <x v="701"/>
    <x v="201"/>
    <x v="0"/>
    <x v="1"/>
    <x v="1"/>
    <x v="1203"/>
    <x v="844"/>
    <x v="1"/>
    <x v="1"/>
  </r>
  <r>
    <x v="1205"/>
    <x v="409"/>
    <x v="311"/>
    <x v="1"/>
    <x v="2"/>
    <x v="5"/>
    <x v="1204"/>
    <x v="29"/>
    <x v="0"/>
    <x v="1"/>
  </r>
  <r>
    <x v="1206"/>
    <x v="554"/>
    <x v="338"/>
    <x v="1"/>
    <x v="2"/>
    <x v="4"/>
    <x v="1205"/>
    <x v="845"/>
    <x v="2"/>
    <x v="3"/>
  </r>
  <r>
    <x v="1207"/>
    <x v="702"/>
    <x v="476"/>
    <x v="1"/>
    <x v="2"/>
    <x v="5"/>
    <x v="1206"/>
    <x v="676"/>
    <x v="0"/>
    <x v="1"/>
  </r>
  <r>
    <x v="1208"/>
    <x v="703"/>
    <x v="299"/>
    <x v="1"/>
    <x v="2"/>
    <x v="5"/>
    <x v="1207"/>
    <x v="846"/>
    <x v="1"/>
    <x v="0"/>
  </r>
  <r>
    <x v="1209"/>
    <x v="704"/>
    <x v="421"/>
    <x v="1"/>
    <x v="1"/>
    <x v="3"/>
    <x v="1208"/>
    <x v="847"/>
    <x v="0"/>
    <x v="0"/>
  </r>
  <r>
    <x v="1210"/>
    <x v="377"/>
    <x v="128"/>
    <x v="0"/>
    <x v="1"/>
    <x v="3"/>
    <x v="1209"/>
    <x v="848"/>
    <x v="0"/>
    <x v="1"/>
  </r>
  <r>
    <x v="1211"/>
    <x v="514"/>
    <x v="370"/>
    <x v="0"/>
    <x v="2"/>
    <x v="4"/>
    <x v="1210"/>
    <x v="14"/>
    <x v="0"/>
    <x v="1"/>
  </r>
  <r>
    <x v="1212"/>
    <x v="114"/>
    <x v="106"/>
    <x v="0"/>
    <x v="1"/>
    <x v="1"/>
    <x v="1211"/>
    <x v="473"/>
    <x v="1"/>
    <x v="1"/>
  </r>
  <r>
    <x v="1213"/>
    <x v="705"/>
    <x v="477"/>
    <x v="1"/>
    <x v="1"/>
    <x v="4"/>
    <x v="1212"/>
    <x v="849"/>
    <x v="0"/>
    <x v="0"/>
  </r>
  <r>
    <x v="1214"/>
    <x v="172"/>
    <x v="156"/>
    <x v="0"/>
    <x v="2"/>
    <x v="4"/>
    <x v="1213"/>
    <x v="850"/>
    <x v="0"/>
    <x v="1"/>
  </r>
  <r>
    <x v="1215"/>
    <x v="526"/>
    <x v="378"/>
    <x v="1"/>
    <x v="1"/>
    <x v="0"/>
    <x v="1214"/>
    <x v="728"/>
    <x v="0"/>
    <x v="0"/>
  </r>
  <r>
    <x v="1216"/>
    <x v="634"/>
    <x v="439"/>
    <x v="0"/>
    <x v="2"/>
    <x v="1"/>
    <x v="1215"/>
    <x v="378"/>
    <x v="1"/>
    <x v="2"/>
  </r>
  <r>
    <x v="1217"/>
    <x v="586"/>
    <x v="37"/>
    <x v="1"/>
    <x v="1"/>
    <x v="5"/>
    <x v="1216"/>
    <x v="589"/>
    <x v="0"/>
    <x v="0"/>
  </r>
  <r>
    <x v="1218"/>
    <x v="524"/>
    <x v="376"/>
    <x v="1"/>
    <x v="0"/>
    <x v="6"/>
    <x v="1217"/>
    <x v="851"/>
    <x v="0"/>
    <x v="1"/>
  </r>
  <r>
    <x v="1219"/>
    <x v="706"/>
    <x v="367"/>
    <x v="0"/>
    <x v="1"/>
    <x v="0"/>
    <x v="1218"/>
    <x v="852"/>
    <x v="0"/>
    <x v="0"/>
  </r>
  <r>
    <x v="1220"/>
    <x v="309"/>
    <x v="249"/>
    <x v="1"/>
    <x v="1"/>
    <x v="1"/>
    <x v="1219"/>
    <x v="853"/>
    <x v="0"/>
    <x v="1"/>
  </r>
  <r>
    <x v="1221"/>
    <x v="217"/>
    <x v="188"/>
    <x v="1"/>
    <x v="2"/>
    <x v="3"/>
    <x v="1220"/>
    <x v="324"/>
    <x v="0"/>
    <x v="1"/>
  </r>
  <r>
    <x v="1222"/>
    <x v="707"/>
    <x v="478"/>
    <x v="0"/>
    <x v="2"/>
    <x v="1"/>
    <x v="1221"/>
    <x v="8"/>
    <x v="0"/>
    <x v="0"/>
  </r>
  <r>
    <x v="1223"/>
    <x v="24"/>
    <x v="11"/>
    <x v="0"/>
    <x v="1"/>
    <x v="6"/>
    <x v="1222"/>
    <x v="758"/>
    <x v="0"/>
    <x v="1"/>
  </r>
  <r>
    <x v="1224"/>
    <x v="287"/>
    <x v="171"/>
    <x v="1"/>
    <x v="1"/>
    <x v="2"/>
    <x v="1223"/>
    <x v="854"/>
    <x v="0"/>
    <x v="0"/>
  </r>
  <r>
    <x v="1225"/>
    <x v="6"/>
    <x v="6"/>
    <x v="0"/>
    <x v="2"/>
    <x v="2"/>
    <x v="1224"/>
    <x v="855"/>
    <x v="1"/>
    <x v="0"/>
  </r>
  <r>
    <x v="1226"/>
    <x v="544"/>
    <x v="259"/>
    <x v="1"/>
    <x v="2"/>
    <x v="5"/>
    <x v="1225"/>
    <x v="856"/>
    <x v="1"/>
    <x v="1"/>
  </r>
  <r>
    <x v="1227"/>
    <x v="614"/>
    <x v="189"/>
    <x v="0"/>
    <x v="1"/>
    <x v="2"/>
    <x v="1226"/>
    <x v="112"/>
    <x v="0"/>
    <x v="0"/>
  </r>
  <r>
    <x v="1228"/>
    <x v="297"/>
    <x v="241"/>
    <x v="0"/>
    <x v="2"/>
    <x v="6"/>
    <x v="1227"/>
    <x v="857"/>
    <x v="2"/>
    <x v="3"/>
  </r>
  <r>
    <x v="1229"/>
    <x v="708"/>
    <x v="479"/>
    <x v="1"/>
    <x v="0"/>
    <x v="5"/>
    <x v="1228"/>
    <x v="605"/>
    <x v="0"/>
    <x v="1"/>
  </r>
  <r>
    <x v="1230"/>
    <x v="709"/>
    <x v="480"/>
    <x v="1"/>
    <x v="1"/>
    <x v="0"/>
    <x v="1229"/>
    <x v="281"/>
    <x v="0"/>
    <x v="2"/>
  </r>
  <r>
    <x v="1231"/>
    <x v="549"/>
    <x v="85"/>
    <x v="1"/>
    <x v="1"/>
    <x v="5"/>
    <x v="1230"/>
    <x v="612"/>
    <x v="0"/>
    <x v="0"/>
  </r>
  <r>
    <x v="1232"/>
    <x v="710"/>
    <x v="333"/>
    <x v="1"/>
    <x v="2"/>
    <x v="1"/>
    <x v="1231"/>
    <x v="665"/>
    <x v="0"/>
    <x v="1"/>
  </r>
  <r>
    <x v="1233"/>
    <x v="711"/>
    <x v="33"/>
    <x v="0"/>
    <x v="0"/>
    <x v="2"/>
    <x v="1232"/>
    <x v="858"/>
    <x v="0"/>
    <x v="0"/>
  </r>
  <r>
    <x v="1234"/>
    <x v="429"/>
    <x v="321"/>
    <x v="0"/>
    <x v="2"/>
    <x v="6"/>
    <x v="1233"/>
    <x v="859"/>
    <x v="0"/>
    <x v="1"/>
  </r>
  <r>
    <x v="1235"/>
    <x v="146"/>
    <x v="136"/>
    <x v="0"/>
    <x v="2"/>
    <x v="6"/>
    <x v="1234"/>
    <x v="860"/>
    <x v="0"/>
    <x v="0"/>
  </r>
  <r>
    <x v="1236"/>
    <x v="212"/>
    <x v="186"/>
    <x v="1"/>
    <x v="0"/>
    <x v="4"/>
    <x v="1235"/>
    <x v="861"/>
    <x v="1"/>
    <x v="1"/>
  </r>
  <r>
    <x v="1237"/>
    <x v="471"/>
    <x v="347"/>
    <x v="1"/>
    <x v="1"/>
    <x v="5"/>
    <x v="1236"/>
    <x v="226"/>
    <x v="2"/>
    <x v="3"/>
  </r>
  <r>
    <x v="1238"/>
    <x v="712"/>
    <x v="481"/>
    <x v="0"/>
    <x v="2"/>
    <x v="2"/>
    <x v="1237"/>
    <x v="862"/>
    <x v="0"/>
    <x v="0"/>
  </r>
  <r>
    <x v="1239"/>
    <x v="252"/>
    <x v="211"/>
    <x v="0"/>
    <x v="2"/>
    <x v="2"/>
    <x v="1238"/>
    <x v="863"/>
    <x v="2"/>
    <x v="3"/>
  </r>
  <r>
    <x v="1240"/>
    <x v="109"/>
    <x v="102"/>
    <x v="0"/>
    <x v="1"/>
    <x v="1"/>
    <x v="1239"/>
    <x v="864"/>
    <x v="0"/>
    <x v="0"/>
  </r>
  <r>
    <x v="1241"/>
    <x v="1"/>
    <x v="1"/>
    <x v="0"/>
    <x v="1"/>
    <x v="1"/>
    <x v="1240"/>
    <x v="65"/>
    <x v="0"/>
    <x v="2"/>
  </r>
  <r>
    <x v="1242"/>
    <x v="713"/>
    <x v="234"/>
    <x v="1"/>
    <x v="2"/>
    <x v="2"/>
    <x v="1241"/>
    <x v="865"/>
    <x v="2"/>
    <x v="3"/>
  </r>
  <r>
    <x v="1243"/>
    <x v="667"/>
    <x v="83"/>
    <x v="1"/>
    <x v="2"/>
    <x v="4"/>
    <x v="1242"/>
    <x v="316"/>
    <x v="0"/>
    <x v="0"/>
  </r>
  <r>
    <x v="1244"/>
    <x v="515"/>
    <x v="371"/>
    <x v="0"/>
    <x v="2"/>
    <x v="0"/>
    <x v="1243"/>
    <x v="866"/>
    <x v="2"/>
    <x v="3"/>
  </r>
  <r>
    <x v="1245"/>
    <x v="714"/>
    <x v="47"/>
    <x v="1"/>
    <x v="2"/>
    <x v="6"/>
    <x v="1244"/>
    <x v="867"/>
    <x v="1"/>
    <x v="1"/>
  </r>
  <r>
    <x v="1246"/>
    <x v="440"/>
    <x v="329"/>
    <x v="1"/>
    <x v="1"/>
    <x v="1"/>
    <x v="1245"/>
    <x v="868"/>
    <x v="1"/>
    <x v="0"/>
  </r>
  <r>
    <x v="1247"/>
    <x v="144"/>
    <x v="134"/>
    <x v="0"/>
    <x v="1"/>
    <x v="0"/>
    <x v="1246"/>
    <x v="869"/>
    <x v="0"/>
    <x v="1"/>
  </r>
  <r>
    <x v="1248"/>
    <x v="559"/>
    <x v="400"/>
    <x v="0"/>
    <x v="2"/>
    <x v="0"/>
    <x v="1247"/>
    <x v="870"/>
    <x v="0"/>
    <x v="0"/>
  </r>
  <r>
    <x v="1249"/>
    <x v="584"/>
    <x v="414"/>
    <x v="1"/>
    <x v="1"/>
    <x v="1"/>
    <x v="1248"/>
    <x v="461"/>
    <x v="1"/>
    <x v="1"/>
  </r>
  <r>
    <x v="1250"/>
    <x v="308"/>
    <x v="248"/>
    <x v="0"/>
    <x v="2"/>
    <x v="3"/>
    <x v="1249"/>
    <x v="601"/>
    <x v="1"/>
    <x v="1"/>
  </r>
  <r>
    <x v="1251"/>
    <x v="455"/>
    <x v="12"/>
    <x v="0"/>
    <x v="1"/>
    <x v="3"/>
    <x v="1250"/>
    <x v="301"/>
    <x v="2"/>
    <x v="3"/>
  </r>
  <r>
    <x v="1252"/>
    <x v="715"/>
    <x v="482"/>
    <x v="1"/>
    <x v="2"/>
    <x v="5"/>
    <x v="1251"/>
    <x v="822"/>
    <x v="0"/>
    <x v="1"/>
  </r>
  <r>
    <x v="1253"/>
    <x v="279"/>
    <x v="29"/>
    <x v="0"/>
    <x v="2"/>
    <x v="5"/>
    <x v="1252"/>
    <x v="138"/>
    <x v="1"/>
    <x v="1"/>
  </r>
  <r>
    <x v="1254"/>
    <x v="188"/>
    <x v="130"/>
    <x v="0"/>
    <x v="1"/>
    <x v="6"/>
    <x v="1253"/>
    <x v="295"/>
    <x v="0"/>
    <x v="1"/>
  </r>
  <r>
    <x v="1255"/>
    <x v="716"/>
    <x v="445"/>
    <x v="1"/>
    <x v="1"/>
    <x v="5"/>
    <x v="1254"/>
    <x v="485"/>
    <x v="0"/>
    <x v="2"/>
  </r>
  <r>
    <x v="1256"/>
    <x v="599"/>
    <x v="423"/>
    <x v="0"/>
    <x v="1"/>
    <x v="6"/>
    <x v="1255"/>
    <x v="88"/>
    <x v="0"/>
    <x v="2"/>
  </r>
  <r>
    <x v="1257"/>
    <x v="717"/>
    <x v="483"/>
    <x v="0"/>
    <x v="0"/>
    <x v="5"/>
    <x v="1256"/>
    <x v="440"/>
    <x v="0"/>
    <x v="1"/>
  </r>
  <r>
    <x v="1258"/>
    <x v="648"/>
    <x v="342"/>
    <x v="0"/>
    <x v="2"/>
    <x v="5"/>
    <x v="1257"/>
    <x v="568"/>
    <x v="0"/>
    <x v="1"/>
  </r>
  <r>
    <x v="1259"/>
    <x v="159"/>
    <x v="17"/>
    <x v="0"/>
    <x v="0"/>
    <x v="0"/>
    <x v="1258"/>
    <x v="759"/>
    <x v="0"/>
    <x v="1"/>
  </r>
  <r>
    <x v="1260"/>
    <x v="245"/>
    <x v="205"/>
    <x v="1"/>
    <x v="0"/>
    <x v="5"/>
    <x v="1259"/>
    <x v="871"/>
    <x v="0"/>
    <x v="0"/>
  </r>
  <r>
    <x v="1261"/>
    <x v="154"/>
    <x v="141"/>
    <x v="1"/>
    <x v="2"/>
    <x v="6"/>
    <x v="1260"/>
    <x v="872"/>
    <x v="0"/>
    <x v="0"/>
  </r>
  <r>
    <x v="1262"/>
    <x v="718"/>
    <x v="484"/>
    <x v="1"/>
    <x v="2"/>
    <x v="4"/>
    <x v="1261"/>
    <x v="574"/>
    <x v="0"/>
    <x v="2"/>
  </r>
  <r>
    <x v="1263"/>
    <x v="215"/>
    <x v="187"/>
    <x v="0"/>
    <x v="0"/>
    <x v="0"/>
    <x v="1262"/>
    <x v="71"/>
    <x v="0"/>
    <x v="1"/>
  </r>
  <r>
    <x v="1264"/>
    <x v="719"/>
    <x v="8"/>
    <x v="1"/>
    <x v="1"/>
    <x v="4"/>
    <x v="1263"/>
    <x v="873"/>
    <x v="1"/>
    <x v="1"/>
  </r>
  <r>
    <x v="1265"/>
    <x v="625"/>
    <x v="434"/>
    <x v="1"/>
    <x v="2"/>
    <x v="2"/>
    <x v="1264"/>
    <x v="872"/>
    <x v="0"/>
    <x v="0"/>
  </r>
  <r>
    <x v="1266"/>
    <x v="342"/>
    <x v="270"/>
    <x v="0"/>
    <x v="2"/>
    <x v="5"/>
    <x v="1265"/>
    <x v="101"/>
    <x v="0"/>
    <x v="1"/>
  </r>
  <r>
    <x v="1267"/>
    <x v="285"/>
    <x v="217"/>
    <x v="0"/>
    <x v="2"/>
    <x v="4"/>
    <x v="1266"/>
    <x v="874"/>
    <x v="0"/>
    <x v="2"/>
  </r>
  <r>
    <x v="1268"/>
    <x v="249"/>
    <x v="208"/>
    <x v="1"/>
    <x v="2"/>
    <x v="6"/>
    <x v="1267"/>
    <x v="607"/>
    <x v="1"/>
    <x v="2"/>
  </r>
  <r>
    <x v="1269"/>
    <x v="244"/>
    <x v="204"/>
    <x v="0"/>
    <x v="2"/>
    <x v="6"/>
    <x v="1268"/>
    <x v="875"/>
    <x v="2"/>
    <x v="3"/>
  </r>
  <r>
    <x v="1270"/>
    <x v="259"/>
    <x v="218"/>
    <x v="1"/>
    <x v="2"/>
    <x v="1"/>
    <x v="1269"/>
    <x v="377"/>
    <x v="2"/>
    <x v="3"/>
  </r>
  <r>
    <x v="1271"/>
    <x v="267"/>
    <x v="222"/>
    <x v="0"/>
    <x v="1"/>
    <x v="0"/>
    <x v="1270"/>
    <x v="876"/>
    <x v="0"/>
    <x v="1"/>
  </r>
  <r>
    <x v="1272"/>
    <x v="449"/>
    <x v="332"/>
    <x v="1"/>
    <x v="1"/>
    <x v="4"/>
    <x v="1271"/>
    <x v="877"/>
    <x v="0"/>
    <x v="0"/>
  </r>
  <r>
    <x v="1273"/>
    <x v="580"/>
    <x v="411"/>
    <x v="1"/>
    <x v="2"/>
    <x v="1"/>
    <x v="1272"/>
    <x v="878"/>
    <x v="0"/>
    <x v="0"/>
  </r>
  <r>
    <x v="1274"/>
    <x v="650"/>
    <x v="446"/>
    <x v="0"/>
    <x v="1"/>
    <x v="6"/>
    <x v="1273"/>
    <x v="879"/>
    <x v="0"/>
    <x v="2"/>
  </r>
  <r>
    <x v="1275"/>
    <x v="507"/>
    <x v="328"/>
    <x v="1"/>
    <x v="2"/>
    <x v="6"/>
    <x v="1274"/>
    <x v="880"/>
    <x v="1"/>
    <x v="0"/>
  </r>
  <r>
    <x v="1276"/>
    <x v="384"/>
    <x v="193"/>
    <x v="0"/>
    <x v="2"/>
    <x v="6"/>
    <x v="1275"/>
    <x v="652"/>
    <x v="1"/>
    <x v="1"/>
  </r>
  <r>
    <x v="1277"/>
    <x v="633"/>
    <x v="438"/>
    <x v="0"/>
    <x v="2"/>
    <x v="3"/>
    <x v="1276"/>
    <x v="257"/>
    <x v="0"/>
    <x v="2"/>
  </r>
  <r>
    <x v="1278"/>
    <x v="284"/>
    <x v="231"/>
    <x v="1"/>
    <x v="1"/>
    <x v="5"/>
    <x v="1277"/>
    <x v="217"/>
    <x v="0"/>
    <x v="1"/>
  </r>
  <r>
    <x v="1279"/>
    <x v="555"/>
    <x v="398"/>
    <x v="1"/>
    <x v="0"/>
    <x v="2"/>
    <x v="1278"/>
    <x v="881"/>
    <x v="0"/>
    <x v="1"/>
  </r>
  <r>
    <x v="1280"/>
    <x v="60"/>
    <x v="58"/>
    <x v="1"/>
    <x v="1"/>
    <x v="1"/>
    <x v="1279"/>
    <x v="882"/>
    <x v="2"/>
    <x v="3"/>
  </r>
  <r>
    <x v="1281"/>
    <x v="301"/>
    <x v="78"/>
    <x v="1"/>
    <x v="2"/>
    <x v="3"/>
    <x v="1280"/>
    <x v="883"/>
    <x v="0"/>
    <x v="1"/>
  </r>
  <r>
    <x v="1282"/>
    <x v="401"/>
    <x v="306"/>
    <x v="1"/>
    <x v="1"/>
    <x v="4"/>
    <x v="1281"/>
    <x v="884"/>
    <x v="0"/>
    <x v="1"/>
  </r>
  <r>
    <x v="1283"/>
    <x v="481"/>
    <x v="62"/>
    <x v="0"/>
    <x v="2"/>
    <x v="6"/>
    <x v="1282"/>
    <x v="584"/>
    <x v="0"/>
    <x v="2"/>
  </r>
  <r>
    <x v="1284"/>
    <x v="55"/>
    <x v="53"/>
    <x v="1"/>
    <x v="1"/>
    <x v="6"/>
    <x v="1283"/>
    <x v="885"/>
    <x v="0"/>
    <x v="2"/>
  </r>
  <r>
    <x v="1285"/>
    <x v="688"/>
    <x v="467"/>
    <x v="0"/>
    <x v="2"/>
    <x v="1"/>
    <x v="1284"/>
    <x v="886"/>
    <x v="0"/>
    <x v="0"/>
  </r>
  <r>
    <x v="1286"/>
    <x v="647"/>
    <x v="73"/>
    <x v="1"/>
    <x v="2"/>
    <x v="6"/>
    <x v="1285"/>
    <x v="887"/>
    <x v="0"/>
    <x v="0"/>
  </r>
  <r>
    <x v="1287"/>
    <x v="170"/>
    <x v="154"/>
    <x v="1"/>
    <x v="0"/>
    <x v="5"/>
    <x v="1286"/>
    <x v="888"/>
    <x v="1"/>
    <x v="2"/>
  </r>
  <r>
    <x v="1288"/>
    <x v="120"/>
    <x v="111"/>
    <x v="1"/>
    <x v="0"/>
    <x v="1"/>
    <x v="1287"/>
    <x v="889"/>
    <x v="2"/>
    <x v="3"/>
  </r>
  <r>
    <x v="1289"/>
    <x v="574"/>
    <x v="213"/>
    <x v="1"/>
    <x v="1"/>
    <x v="3"/>
    <x v="1288"/>
    <x v="890"/>
    <x v="0"/>
    <x v="0"/>
  </r>
  <r>
    <x v="1290"/>
    <x v="720"/>
    <x v="485"/>
    <x v="0"/>
    <x v="0"/>
    <x v="0"/>
    <x v="1289"/>
    <x v="536"/>
    <x v="0"/>
    <x v="0"/>
  </r>
  <r>
    <x v="1291"/>
    <x v="224"/>
    <x v="192"/>
    <x v="1"/>
    <x v="1"/>
    <x v="5"/>
    <x v="1290"/>
    <x v="250"/>
    <x v="1"/>
    <x v="2"/>
  </r>
  <r>
    <x v="1292"/>
    <x v="25"/>
    <x v="24"/>
    <x v="0"/>
    <x v="1"/>
    <x v="3"/>
    <x v="1291"/>
    <x v="858"/>
    <x v="0"/>
    <x v="0"/>
  </r>
  <r>
    <x v="1293"/>
    <x v="721"/>
    <x v="111"/>
    <x v="1"/>
    <x v="0"/>
    <x v="2"/>
    <x v="1292"/>
    <x v="891"/>
    <x v="0"/>
    <x v="2"/>
  </r>
  <r>
    <x v="1294"/>
    <x v="149"/>
    <x v="139"/>
    <x v="0"/>
    <x v="1"/>
    <x v="1"/>
    <x v="1293"/>
    <x v="564"/>
    <x v="0"/>
    <x v="1"/>
  </r>
  <r>
    <x v="1295"/>
    <x v="355"/>
    <x v="279"/>
    <x v="1"/>
    <x v="2"/>
    <x v="1"/>
    <x v="1294"/>
    <x v="892"/>
    <x v="0"/>
    <x v="0"/>
  </r>
  <r>
    <x v="1296"/>
    <x v="57"/>
    <x v="55"/>
    <x v="1"/>
    <x v="2"/>
    <x v="0"/>
    <x v="1295"/>
    <x v="746"/>
    <x v="0"/>
    <x v="2"/>
  </r>
  <r>
    <x v="1297"/>
    <x v="410"/>
    <x v="44"/>
    <x v="0"/>
    <x v="2"/>
    <x v="3"/>
    <x v="1296"/>
    <x v="707"/>
    <x v="0"/>
    <x v="0"/>
  </r>
  <r>
    <x v="1298"/>
    <x v="722"/>
    <x v="486"/>
    <x v="1"/>
    <x v="1"/>
    <x v="1"/>
    <x v="1297"/>
    <x v="513"/>
    <x v="0"/>
    <x v="1"/>
  </r>
  <r>
    <x v="1299"/>
    <x v="717"/>
    <x v="483"/>
    <x v="0"/>
    <x v="0"/>
    <x v="5"/>
    <x v="1298"/>
    <x v="893"/>
    <x v="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00">
  <r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0"/>
    <x v="1"/>
    <x v="1"/>
    <x v="1"/>
  </r>
  <r>
    <x v="2"/>
    <x v="2"/>
    <x v="2"/>
    <x v="1"/>
    <x v="2"/>
    <x v="2"/>
    <x v="2"/>
    <x v="2"/>
    <x v="0"/>
    <x v="2"/>
    <x v="2"/>
    <x v="2"/>
  </r>
  <r>
    <x v="3"/>
    <x v="3"/>
    <x v="3"/>
    <x v="0"/>
    <x v="3"/>
    <x v="3"/>
    <x v="3"/>
    <x v="3"/>
    <x v="0"/>
    <x v="1"/>
    <x v="3"/>
    <x v="3"/>
  </r>
  <r>
    <x v="4"/>
    <x v="4"/>
    <x v="1"/>
    <x v="0"/>
    <x v="4"/>
    <x v="4"/>
    <x v="4"/>
    <x v="4"/>
    <x v="0"/>
    <x v="1"/>
    <x v="4"/>
    <x v="4"/>
  </r>
  <r>
    <x v="5"/>
    <x v="5"/>
    <x v="1"/>
    <x v="1"/>
    <x v="5"/>
    <x v="5"/>
    <x v="5"/>
    <x v="5"/>
    <x v="1"/>
    <x v="1"/>
    <x v="5"/>
    <x v="5"/>
  </r>
  <r>
    <x v="6"/>
    <x v="6"/>
    <x v="2"/>
    <x v="0"/>
    <x v="6"/>
    <x v="6"/>
    <x v="6"/>
    <x v="6"/>
    <x v="0"/>
    <x v="1"/>
    <x v="6"/>
    <x v="6"/>
  </r>
  <r>
    <x v="7"/>
    <x v="7"/>
    <x v="2"/>
    <x v="2"/>
    <x v="7"/>
    <x v="7"/>
    <x v="7"/>
    <x v="7"/>
    <x v="0"/>
    <x v="1"/>
    <x v="7"/>
    <x v="7"/>
  </r>
  <r>
    <x v="8"/>
    <x v="8"/>
    <x v="2"/>
    <x v="3"/>
    <x v="8"/>
    <x v="8"/>
    <x v="8"/>
    <x v="8"/>
    <x v="1"/>
    <x v="1"/>
    <x v="8"/>
    <x v="8"/>
  </r>
  <r>
    <x v="9"/>
    <x v="9"/>
    <x v="3"/>
    <x v="1"/>
    <x v="9"/>
    <x v="9"/>
    <x v="9"/>
    <x v="9"/>
    <x v="0"/>
    <x v="1"/>
    <x v="9"/>
    <x v="9"/>
  </r>
  <r>
    <x v="10"/>
    <x v="10"/>
    <x v="1"/>
    <x v="3"/>
    <x v="10"/>
    <x v="10"/>
    <x v="10"/>
    <x v="10"/>
    <x v="1"/>
    <x v="1"/>
    <x v="10"/>
    <x v="10"/>
  </r>
  <r>
    <x v="11"/>
    <x v="11"/>
    <x v="4"/>
    <x v="3"/>
    <x v="11"/>
    <x v="11"/>
    <x v="11"/>
    <x v="11"/>
    <x v="0"/>
    <x v="1"/>
    <x v="11"/>
    <x v="11"/>
  </r>
  <r>
    <x v="12"/>
    <x v="12"/>
    <x v="3"/>
    <x v="4"/>
    <x v="12"/>
    <x v="12"/>
    <x v="12"/>
    <x v="12"/>
    <x v="0"/>
    <x v="1"/>
    <x v="12"/>
    <x v="12"/>
  </r>
  <r>
    <x v="13"/>
    <x v="1"/>
    <x v="1"/>
    <x v="1"/>
    <x v="13"/>
    <x v="13"/>
    <x v="2"/>
    <x v="13"/>
    <x v="2"/>
    <x v="3"/>
    <x v="13"/>
    <x v="13"/>
  </r>
  <r>
    <x v="14"/>
    <x v="13"/>
    <x v="5"/>
    <x v="1"/>
    <x v="14"/>
    <x v="14"/>
    <x v="13"/>
    <x v="14"/>
    <x v="1"/>
    <x v="1"/>
    <x v="14"/>
    <x v="14"/>
  </r>
  <r>
    <x v="15"/>
    <x v="14"/>
    <x v="5"/>
    <x v="0"/>
    <x v="15"/>
    <x v="15"/>
    <x v="14"/>
    <x v="15"/>
    <x v="0"/>
    <x v="1"/>
    <x v="15"/>
    <x v="15"/>
  </r>
  <r>
    <x v="16"/>
    <x v="15"/>
    <x v="2"/>
    <x v="3"/>
    <x v="16"/>
    <x v="16"/>
    <x v="15"/>
    <x v="16"/>
    <x v="1"/>
    <x v="1"/>
    <x v="16"/>
    <x v="16"/>
  </r>
  <r>
    <x v="17"/>
    <x v="16"/>
    <x v="5"/>
    <x v="1"/>
    <x v="17"/>
    <x v="17"/>
    <x v="5"/>
    <x v="17"/>
    <x v="1"/>
    <x v="1"/>
    <x v="17"/>
    <x v="17"/>
  </r>
  <r>
    <x v="18"/>
    <x v="17"/>
    <x v="5"/>
    <x v="1"/>
    <x v="18"/>
    <x v="18"/>
    <x v="16"/>
    <x v="18"/>
    <x v="0"/>
    <x v="4"/>
    <x v="18"/>
    <x v="18"/>
  </r>
  <r>
    <x v="19"/>
    <x v="18"/>
    <x v="4"/>
    <x v="0"/>
    <x v="19"/>
    <x v="19"/>
    <x v="17"/>
    <x v="19"/>
    <x v="0"/>
    <x v="5"/>
    <x v="19"/>
    <x v="19"/>
  </r>
  <r>
    <x v="20"/>
    <x v="19"/>
    <x v="3"/>
    <x v="3"/>
    <x v="20"/>
    <x v="20"/>
    <x v="18"/>
    <x v="20"/>
    <x v="2"/>
    <x v="6"/>
    <x v="20"/>
    <x v="20"/>
  </r>
  <r>
    <x v="21"/>
    <x v="20"/>
    <x v="6"/>
    <x v="4"/>
    <x v="21"/>
    <x v="21"/>
    <x v="19"/>
    <x v="21"/>
    <x v="0"/>
    <x v="1"/>
    <x v="21"/>
    <x v="21"/>
  </r>
  <r>
    <x v="22"/>
    <x v="21"/>
    <x v="5"/>
    <x v="0"/>
    <x v="22"/>
    <x v="22"/>
    <x v="20"/>
    <x v="22"/>
    <x v="2"/>
    <x v="7"/>
    <x v="22"/>
    <x v="22"/>
  </r>
  <r>
    <x v="23"/>
    <x v="22"/>
    <x v="2"/>
    <x v="1"/>
    <x v="23"/>
    <x v="23"/>
    <x v="21"/>
    <x v="23"/>
    <x v="1"/>
    <x v="1"/>
    <x v="23"/>
    <x v="23"/>
  </r>
  <r>
    <x v="24"/>
    <x v="23"/>
    <x v="5"/>
    <x v="4"/>
    <x v="24"/>
    <x v="24"/>
    <x v="14"/>
    <x v="24"/>
    <x v="0"/>
    <x v="1"/>
    <x v="24"/>
    <x v="24"/>
  </r>
  <r>
    <x v="25"/>
    <x v="24"/>
    <x v="6"/>
    <x v="3"/>
    <x v="25"/>
    <x v="25"/>
    <x v="22"/>
    <x v="25"/>
    <x v="2"/>
    <x v="8"/>
    <x v="25"/>
    <x v="25"/>
  </r>
  <r>
    <x v="26"/>
    <x v="25"/>
    <x v="3"/>
    <x v="2"/>
    <x v="26"/>
    <x v="26"/>
    <x v="23"/>
    <x v="26"/>
    <x v="0"/>
    <x v="1"/>
    <x v="26"/>
    <x v="26"/>
  </r>
  <r>
    <x v="27"/>
    <x v="26"/>
    <x v="4"/>
    <x v="1"/>
    <x v="27"/>
    <x v="27"/>
    <x v="3"/>
    <x v="27"/>
    <x v="0"/>
    <x v="1"/>
    <x v="27"/>
    <x v="27"/>
  </r>
  <r>
    <x v="28"/>
    <x v="27"/>
    <x v="4"/>
    <x v="0"/>
    <x v="28"/>
    <x v="28"/>
    <x v="24"/>
    <x v="28"/>
    <x v="0"/>
    <x v="1"/>
    <x v="28"/>
    <x v="28"/>
  </r>
  <r>
    <x v="29"/>
    <x v="28"/>
    <x v="3"/>
    <x v="4"/>
    <x v="29"/>
    <x v="29"/>
    <x v="25"/>
    <x v="29"/>
    <x v="1"/>
    <x v="1"/>
    <x v="29"/>
    <x v="29"/>
  </r>
  <r>
    <x v="30"/>
    <x v="29"/>
    <x v="2"/>
    <x v="4"/>
    <x v="30"/>
    <x v="30"/>
    <x v="26"/>
    <x v="30"/>
    <x v="2"/>
    <x v="9"/>
    <x v="30"/>
    <x v="30"/>
  </r>
  <r>
    <x v="31"/>
    <x v="30"/>
    <x v="5"/>
    <x v="2"/>
    <x v="31"/>
    <x v="31"/>
    <x v="27"/>
    <x v="31"/>
    <x v="0"/>
    <x v="1"/>
    <x v="31"/>
    <x v="31"/>
  </r>
  <r>
    <x v="32"/>
    <x v="31"/>
    <x v="6"/>
    <x v="2"/>
    <x v="32"/>
    <x v="32"/>
    <x v="28"/>
    <x v="32"/>
    <x v="0"/>
    <x v="1"/>
    <x v="32"/>
    <x v="32"/>
  </r>
  <r>
    <x v="33"/>
    <x v="32"/>
    <x v="0"/>
    <x v="4"/>
    <x v="33"/>
    <x v="33"/>
    <x v="29"/>
    <x v="33"/>
    <x v="1"/>
    <x v="1"/>
    <x v="33"/>
    <x v="33"/>
  </r>
  <r>
    <x v="34"/>
    <x v="33"/>
    <x v="4"/>
    <x v="1"/>
    <x v="34"/>
    <x v="34"/>
    <x v="30"/>
    <x v="34"/>
    <x v="0"/>
    <x v="1"/>
    <x v="34"/>
    <x v="34"/>
  </r>
  <r>
    <x v="35"/>
    <x v="34"/>
    <x v="0"/>
    <x v="1"/>
    <x v="35"/>
    <x v="35"/>
    <x v="31"/>
    <x v="35"/>
    <x v="1"/>
    <x v="1"/>
    <x v="35"/>
    <x v="35"/>
  </r>
  <r>
    <x v="36"/>
    <x v="35"/>
    <x v="3"/>
    <x v="1"/>
    <x v="36"/>
    <x v="36"/>
    <x v="26"/>
    <x v="36"/>
    <x v="0"/>
    <x v="1"/>
    <x v="36"/>
    <x v="36"/>
  </r>
  <r>
    <x v="37"/>
    <x v="36"/>
    <x v="4"/>
    <x v="1"/>
    <x v="37"/>
    <x v="37"/>
    <x v="32"/>
    <x v="37"/>
    <x v="0"/>
    <x v="1"/>
    <x v="37"/>
    <x v="37"/>
  </r>
  <r>
    <x v="38"/>
    <x v="37"/>
    <x v="2"/>
    <x v="3"/>
    <x v="38"/>
    <x v="38"/>
    <x v="33"/>
    <x v="38"/>
    <x v="0"/>
    <x v="1"/>
    <x v="38"/>
    <x v="38"/>
  </r>
  <r>
    <x v="39"/>
    <x v="38"/>
    <x v="0"/>
    <x v="4"/>
    <x v="39"/>
    <x v="39"/>
    <x v="30"/>
    <x v="39"/>
    <x v="0"/>
    <x v="1"/>
    <x v="39"/>
    <x v="39"/>
  </r>
  <r>
    <x v="40"/>
    <x v="39"/>
    <x v="0"/>
    <x v="3"/>
    <x v="40"/>
    <x v="40"/>
    <x v="34"/>
    <x v="40"/>
    <x v="0"/>
    <x v="1"/>
    <x v="40"/>
    <x v="40"/>
  </r>
  <r>
    <x v="41"/>
    <x v="40"/>
    <x v="3"/>
    <x v="4"/>
    <x v="41"/>
    <x v="41"/>
    <x v="35"/>
    <x v="41"/>
    <x v="1"/>
    <x v="1"/>
    <x v="41"/>
    <x v="41"/>
  </r>
  <r>
    <x v="42"/>
    <x v="41"/>
    <x v="6"/>
    <x v="4"/>
    <x v="42"/>
    <x v="42"/>
    <x v="36"/>
    <x v="42"/>
    <x v="0"/>
    <x v="10"/>
    <x v="42"/>
    <x v="42"/>
  </r>
  <r>
    <x v="43"/>
    <x v="42"/>
    <x v="6"/>
    <x v="4"/>
    <x v="43"/>
    <x v="43"/>
    <x v="37"/>
    <x v="43"/>
    <x v="0"/>
    <x v="1"/>
    <x v="43"/>
    <x v="43"/>
  </r>
  <r>
    <x v="44"/>
    <x v="43"/>
    <x v="4"/>
    <x v="1"/>
    <x v="44"/>
    <x v="44"/>
    <x v="28"/>
    <x v="44"/>
    <x v="2"/>
    <x v="11"/>
    <x v="44"/>
    <x v="44"/>
  </r>
  <r>
    <x v="45"/>
    <x v="44"/>
    <x v="4"/>
    <x v="1"/>
    <x v="45"/>
    <x v="45"/>
    <x v="24"/>
    <x v="45"/>
    <x v="1"/>
    <x v="1"/>
    <x v="45"/>
    <x v="45"/>
  </r>
  <r>
    <x v="46"/>
    <x v="45"/>
    <x v="5"/>
    <x v="4"/>
    <x v="46"/>
    <x v="46"/>
    <x v="16"/>
    <x v="46"/>
    <x v="0"/>
    <x v="12"/>
    <x v="46"/>
    <x v="46"/>
  </r>
  <r>
    <x v="47"/>
    <x v="46"/>
    <x v="5"/>
    <x v="2"/>
    <x v="47"/>
    <x v="47"/>
    <x v="38"/>
    <x v="47"/>
    <x v="0"/>
    <x v="1"/>
    <x v="47"/>
    <x v="47"/>
  </r>
  <r>
    <x v="48"/>
    <x v="47"/>
    <x v="4"/>
    <x v="3"/>
    <x v="48"/>
    <x v="48"/>
    <x v="39"/>
    <x v="48"/>
    <x v="0"/>
    <x v="1"/>
    <x v="48"/>
    <x v="48"/>
  </r>
  <r>
    <x v="49"/>
    <x v="48"/>
    <x v="3"/>
    <x v="4"/>
    <x v="49"/>
    <x v="49"/>
    <x v="13"/>
    <x v="49"/>
    <x v="2"/>
    <x v="13"/>
    <x v="49"/>
    <x v="49"/>
  </r>
  <r>
    <x v="50"/>
    <x v="49"/>
    <x v="0"/>
    <x v="4"/>
    <x v="50"/>
    <x v="50"/>
    <x v="40"/>
    <x v="50"/>
    <x v="1"/>
    <x v="1"/>
    <x v="50"/>
    <x v="50"/>
  </r>
  <r>
    <x v="51"/>
    <x v="50"/>
    <x v="6"/>
    <x v="1"/>
    <x v="51"/>
    <x v="51"/>
    <x v="41"/>
    <x v="51"/>
    <x v="2"/>
    <x v="14"/>
    <x v="51"/>
    <x v="51"/>
  </r>
  <r>
    <x v="52"/>
    <x v="51"/>
    <x v="3"/>
    <x v="0"/>
    <x v="52"/>
    <x v="52"/>
    <x v="12"/>
    <x v="52"/>
    <x v="0"/>
    <x v="2"/>
    <x v="52"/>
    <x v="52"/>
  </r>
  <r>
    <x v="53"/>
    <x v="52"/>
    <x v="0"/>
    <x v="3"/>
    <x v="53"/>
    <x v="53"/>
    <x v="42"/>
    <x v="53"/>
    <x v="0"/>
    <x v="1"/>
    <x v="53"/>
    <x v="53"/>
  </r>
  <r>
    <x v="54"/>
    <x v="53"/>
    <x v="1"/>
    <x v="4"/>
    <x v="54"/>
    <x v="54"/>
    <x v="2"/>
    <x v="54"/>
    <x v="1"/>
    <x v="1"/>
    <x v="54"/>
    <x v="54"/>
  </r>
  <r>
    <x v="55"/>
    <x v="54"/>
    <x v="3"/>
    <x v="1"/>
    <x v="55"/>
    <x v="55"/>
    <x v="7"/>
    <x v="55"/>
    <x v="0"/>
    <x v="15"/>
    <x v="55"/>
    <x v="55"/>
  </r>
  <r>
    <x v="56"/>
    <x v="55"/>
    <x v="6"/>
    <x v="4"/>
    <x v="56"/>
    <x v="56"/>
    <x v="43"/>
    <x v="56"/>
    <x v="1"/>
    <x v="1"/>
    <x v="56"/>
    <x v="56"/>
  </r>
  <r>
    <x v="57"/>
    <x v="56"/>
    <x v="3"/>
    <x v="1"/>
    <x v="57"/>
    <x v="57"/>
    <x v="2"/>
    <x v="57"/>
    <x v="0"/>
    <x v="1"/>
    <x v="57"/>
    <x v="57"/>
  </r>
  <r>
    <x v="58"/>
    <x v="57"/>
    <x v="0"/>
    <x v="1"/>
    <x v="58"/>
    <x v="58"/>
    <x v="44"/>
    <x v="58"/>
    <x v="0"/>
    <x v="1"/>
    <x v="58"/>
    <x v="58"/>
  </r>
  <r>
    <x v="59"/>
    <x v="58"/>
    <x v="2"/>
    <x v="4"/>
    <x v="59"/>
    <x v="53"/>
    <x v="6"/>
    <x v="59"/>
    <x v="0"/>
    <x v="1"/>
    <x v="59"/>
    <x v="59"/>
  </r>
  <r>
    <x v="60"/>
    <x v="59"/>
    <x v="6"/>
    <x v="1"/>
    <x v="60"/>
    <x v="59"/>
    <x v="45"/>
    <x v="60"/>
    <x v="0"/>
    <x v="1"/>
    <x v="60"/>
    <x v="60"/>
  </r>
  <r>
    <x v="61"/>
    <x v="60"/>
    <x v="1"/>
    <x v="1"/>
    <x v="61"/>
    <x v="60"/>
    <x v="23"/>
    <x v="61"/>
    <x v="0"/>
    <x v="1"/>
    <x v="61"/>
    <x v="61"/>
  </r>
  <r>
    <x v="62"/>
    <x v="61"/>
    <x v="3"/>
    <x v="4"/>
    <x v="62"/>
    <x v="61"/>
    <x v="46"/>
    <x v="62"/>
    <x v="0"/>
    <x v="1"/>
    <x v="62"/>
    <x v="62"/>
  </r>
  <r>
    <x v="63"/>
    <x v="62"/>
    <x v="1"/>
    <x v="3"/>
    <x v="63"/>
    <x v="62"/>
    <x v="47"/>
    <x v="63"/>
    <x v="0"/>
    <x v="1"/>
    <x v="63"/>
    <x v="63"/>
  </r>
  <r>
    <x v="64"/>
    <x v="63"/>
    <x v="1"/>
    <x v="2"/>
    <x v="64"/>
    <x v="63"/>
    <x v="13"/>
    <x v="64"/>
    <x v="0"/>
    <x v="1"/>
    <x v="64"/>
    <x v="64"/>
  </r>
  <r>
    <x v="65"/>
    <x v="64"/>
    <x v="4"/>
    <x v="2"/>
    <x v="65"/>
    <x v="64"/>
    <x v="48"/>
    <x v="65"/>
    <x v="0"/>
    <x v="1"/>
    <x v="65"/>
    <x v="65"/>
  </r>
  <r>
    <x v="66"/>
    <x v="65"/>
    <x v="1"/>
    <x v="0"/>
    <x v="66"/>
    <x v="65"/>
    <x v="49"/>
    <x v="66"/>
    <x v="0"/>
    <x v="1"/>
    <x v="66"/>
    <x v="66"/>
  </r>
  <r>
    <x v="67"/>
    <x v="66"/>
    <x v="6"/>
    <x v="0"/>
    <x v="67"/>
    <x v="66"/>
    <x v="50"/>
    <x v="67"/>
    <x v="0"/>
    <x v="1"/>
    <x v="67"/>
    <x v="67"/>
  </r>
  <r>
    <x v="68"/>
    <x v="67"/>
    <x v="6"/>
    <x v="1"/>
    <x v="68"/>
    <x v="67"/>
    <x v="7"/>
    <x v="68"/>
    <x v="0"/>
    <x v="1"/>
    <x v="68"/>
    <x v="68"/>
  </r>
  <r>
    <x v="69"/>
    <x v="68"/>
    <x v="4"/>
    <x v="2"/>
    <x v="69"/>
    <x v="68"/>
    <x v="49"/>
    <x v="69"/>
    <x v="0"/>
    <x v="10"/>
    <x v="69"/>
    <x v="69"/>
  </r>
  <r>
    <x v="70"/>
    <x v="69"/>
    <x v="3"/>
    <x v="2"/>
    <x v="70"/>
    <x v="69"/>
    <x v="51"/>
    <x v="70"/>
    <x v="1"/>
    <x v="1"/>
    <x v="70"/>
    <x v="70"/>
  </r>
  <r>
    <x v="71"/>
    <x v="70"/>
    <x v="5"/>
    <x v="2"/>
    <x v="71"/>
    <x v="70"/>
    <x v="49"/>
    <x v="71"/>
    <x v="0"/>
    <x v="1"/>
    <x v="71"/>
    <x v="71"/>
  </r>
  <r>
    <x v="72"/>
    <x v="71"/>
    <x v="2"/>
    <x v="2"/>
    <x v="72"/>
    <x v="71"/>
    <x v="7"/>
    <x v="72"/>
    <x v="0"/>
    <x v="16"/>
    <x v="72"/>
    <x v="72"/>
  </r>
  <r>
    <x v="73"/>
    <x v="72"/>
    <x v="5"/>
    <x v="1"/>
    <x v="73"/>
    <x v="15"/>
    <x v="52"/>
    <x v="73"/>
    <x v="0"/>
    <x v="1"/>
    <x v="73"/>
    <x v="73"/>
  </r>
  <r>
    <x v="74"/>
    <x v="73"/>
    <x v="6"/>
    <x v="2"/>
    <x v="74"/>
    <x v="72"/>
    <x v="44"/>
    <x v="74"/>
    <x v="0"/>
    <x v="1"/>
    <x v="74"/>
    <x v="74"/>
  </r>
  <r>
    <x v="75"/>
    <x v="74"/>
    <x v="0"/>
    <x v="4"/>
    <x v="75"/>
    <x v="73"/>
    <x v="53"/>
    <x v="75"/>
    <x v="1"/>
    <x v="1"/>
    <x v="75"/>
    <x v="75"/>
  </r>
  <r>
    <x v="76"/>
    <x v="47"/>
    <x v="4"/>
    <x v="3"/>
    <x v="76"/>
    <x v="28"/>
    <x v="54"/>
    <x v="76"/>
    <x v="0"/>
    <x v="1"/>
    <x v="76"/>
    <x v="76"/>
  </r>
  <r>
    <x v="77"/>
    <x v="75"/>
    <x v="5"/>
    <x v="4"/>
    <x v="77"/>
    <x v="74"/>
    <x v="55"/>
    <x v="77"/>
    <x v="0"/>
    <x v="17"/>
    <x v="77"/>
    <x v="77"/>
  </r>
  <r>
    <x v="78"/>
    <x v="76"/>
    <x v="1"/>
    <x v="3"/>
    <x v="78"/>
    <x v="75"/>
    <x v="56"/>
    <x v="78"/>
    <x v="0"/>
    <x v="1"/>
    <x v="78"/>
    <x v="78"/>
  </r>
  <r>
    <x v="79"/>
    <x v="77"/>
    <x v="4"/>
    <x v="1"/>
    <x v="79"/>
    <x v="76"/>
    <x v="7"/>
    <x v="79"/>
    <x v="0"/>
    <x v="1"/>
    <x v="79"/>
    <x v="79"/>
  </r>
  <r>
    <x v="80"/>
    <x v="78"/>
    <x v="0"/>
    <x v="1"/>
    <x v="80"/>
    <x v="77"/>
    <x v="57"/>
    <x v="80"/>
    <x v="0"/>
    <x v="1"/>
    <x v="80"/>
    <x v="80"/>
  </r>
  <r>
    <x v="81"/>
    <x v="79"/>
    <x v="1"/>
    <x v="3"/>
    <x v="81"/>
    <x v="78"/>
    <x v="58"/>
    <x v="81"/>
    <x v="0"/>
    <x v="1"/>
    <x v="81"/>
    <x v="81"/>
  </r>
  <r>
    <x v="82"/>
    <x v="80"/>
    <x v="6"/>
    <x v="4"/>
    <x v="82"/>
    <x v="79"/>
    <x v="3"/>
    <x v="82"/>
    <x v="2"/>
    <x v="18"/>
    <x v="82"/>
    <x v="82"/>
  </r>
  <r>
    <x v="83"/>
    <x v="81"/>
    <x v="2"/>
    <x v="2"/>
    <x v="83"/>
    <x v="80"/>
    <x v="59"/>
    <x v="83"/>
    <x v="0"/>
    <x v="1"/>
    <x v="83"/>
    <x v="83"/>
  </r>
  <r>
    <x v="84"/>
    <x v="82"/>
    <x v="3"/>
    <x v="3"/>
    <x v="84"/>
    <x v="81"/>
    <x v="60"/>
    <x v="84"/>
    <x v="0"/>
    <x v="19"/>
    <x v="84"/>
    <x v="84"/>
  </r>
  <r>
    <x v="85"/>
    <x v="16"/>
    <x v="5"/>
    <x v="1"/>
    <x v="85"/>
    <x v="82"/>
    <x v="61"/>
    <x v="85"/>
    <x v="0"/>
    <x v="1"/>
    <x v="85"/>
    <x v="85"/>
  </r>
  <r>
    <x v="86"/>
    <x v="83"/>
    <x v="3"/>
    <x v="4"/>
    <x v="86"/>
    <x v="83"/>
    <x v="62"/>
    <x v="86"/>
    <x v="1"/>
    <x v="1"/>
    <x v="86"/>
    <x v="86"/>
  </r>
  <r>
    <x v="87"/>
    <x v="84"/>
    <x v="4"/>
    <x v="1"/>
    <x v="87"/>
    <x v="84"/>
    <x v="50"/>
    <x v="87"/>
    <x v="0"/>
    <x v="1"/>
    <x v="87"/>
    <x v="87"/>
  </r>
  <r>
    <x v="88"/>
    <x v="85"/>
    <x v="5"/>
    <x v="2"/>
    <x v="88"/>
    <x v="85"/>
    <x v="38"/>
    <x v="88"/>
    <x v="0"/>
    <x v="1"/>
    <x v="88"/>
    <x v="88"/>
  </r>
  <r>
    <x v="89"/>
    <x v="86"/>
    <x v="2"/>
    <x v="1"/>
    <x v="89"/>
    <x v="50"/>
    <x v="28"/>
    <x v="89"/>
    <x v="0"/>
    <x v="1"/>
    <x v="89"/>
    <x v="89"/>
  </r>
  <r>
    <x v="90"/>
    <x v="87"/>
    <x v="4"/>
    <x v="4"/>
    <x v="90"/>
    <x v="86"/>
    <x v="63"/>
    <x v="90"/>
    <x v="0"/>
    <x v="1"/>
    <x v="90"/>
    <x v="90"/>
  </r>
  <r>
    <x v="91"/>
    <x v="4"/>
    <x v="1"/>
    <x v="4"/>
    <x v="91"/>
    <x v="87"/>
    <x v="30"/>
    <x v="91"/>
    <x v="2"/>
    <x v="20"/>
    <x v="91"/>
    <x v="91"/>
  </r>
  <r>
    <x v="92"/>
    <x v="88"/>
    <x v="2"/>
    <x v="4"/>
    <x v="92"/>
    <x v="88"/>
    <x v="3"/>
    <x v="92"/>
    <x v="1"/>
    <x v="1"/>
    <x v="92"/>
    <x v="92"/>
  </r>
  <r>
    <x v="93"/>
    <x v="89"/>
    <x v="0"/>
    <x v="4"/>
    <x v="93"/>
    <x v="89"/>
    <x v="64"/>
    <x v="93"/>
    <x v="1"/>
    <x v="1"/>
    <x v="93"/>
    <x v="93"/>
  </r>
  <r>
    <x v="94"/>
    <x v="90"/>
    <x v="6"/>
    <x v="4"/>
    <x v="94"/>
    <x v="84"/>
    <x v="20"/>
    <x v="94"/>
    <x v="2"/>
    <x v="21"/>
    <x v="94"/>
    <x v="94"/>
  </r>
  <r>
    <x v="95"/>
    <x v="91"/>
    <x v="3"/>
    <x v="1"/>
    <x v="95"/>
    <x v="90"/>
    <x v="43"/>
    <x v="95"/>
    <x v="0"/>
    <x v="1"/>
    <x v="95"/>
    <x v="95"/>
  </r>
  <r>
    <x v="96"/>
    <x v="92"/>
    <x v="4"/>
    <x v="3"/>
    <x v="96"/>
    <x v="46"/>
    <x v="65"/>
    <x v="96"/>
    <x v="0"/>
    <x v="1"/>
    <x v="96"/>
    <x v="96"/>
  </r>
  <r>
    <x v="97"/>
    <x v="93"/>
    <x v="4"/>
    <x v="3"/>
    <x v="97"/>
    <x v="91"/>
    <x v="60"/>
    <x v="97"/>
    <x v="0"/>
    <x v="1"/>
    <x v="97"/>
    <x v="97"/>
  </r>
  <r>
    <x v="98"/>
    <x v="94"/>
    <x v="1"/>
    <x v="1"/>
    <x v="98"/>
    <x v="92"/>
    <x v="0"/>
    <x v="98"/>
    <x v="0"/>
    <x v="1"/>
    <x v="98"/>
    <x v="98"/>
  </r>
  <r>
    <x v="99"/>
    <x v="95"/>
    <x v="5"/>
    <x v="3"/>
    <x v="99"/>
    <x v="93"/>
    <x v="66"/>
    <x v="99"/>
    <x v="0"/>
    <x v="1"/>
    <x v="99"/>
    <x v="99"/>
  </r>
  <r>
    <x v="100"/>
    <x v="96"/>
    <x v="5"/>
    <x v="3"/>
    <x v="100"/>
    <x v="94"/>
    <x v="67"/>
    <x v="100"/>
    <x v="0"/>
    <x v="22"/>
    <x v="100"/>
    <x v="100"/>
  </r>
  <r>
    <x v="101"/>
    <x v="97"/>
    <x v="3"/>
    <x v="1"/>
    <x v="101"/>
    <x v="95"/>
    <x v="16"/>
    <x v="101"/>
    <x v="1"/>
    <x v="1"/>
    <x v="101"/>
    <x v="101"/>
  </r>
  <r>
    <x v="102"/>
    <x v="98"/>
    <x v="5"/>
    <x v="2"/>
    <x v="102"/>
    <x v="96"/>
    <x v="68"/>
    <x v="102"/>
    <x v="0"/>
    <x v="1"/>
    <x v="102"/>
    <x v="102"/>
  </r>
  <r>
    <x v="103"/>
    <x v="99"/>
    <x v="6"/>
    <x v="2"/>
    <x v="103"/>
    <x v="97"/>
    <x v="61"/>
    <x v="103"/>
    <x v="0"/>
    <x v="1"/>
    <x v="103"/>
    <x v="103"/>
  </r>
  <r>
    <x v="104"/>
    <x v="100"/>
    <x v="2"/>
    <x v="3"/>
    <x v="104"/>
    <x v="98"/>
    <x v="69"/>
    <x v="104"/>
    <x v="1"/>
    <x v="1"/>
    <x v="104"/>
    <x v="104"/>
  </r>
  <r>
    <x v="105"/>
    <x v="101"/>
    <x v="0"/>
    <x v="4"/>
    <x v="105"/>
    <x v="99"/>
    <x v="25"/>
    <x v="105"/>
    <x v="0"/>
    <x v="1"/>
    <x v="105"/>
    <x v="105"/>
  </r>
  <r>
    <x v="106"/>
    <x v="102"/>
    <x v="4"/>
    <x v="3"/>
    <x v="106"/>
    <x v="100"/>
    <x v="70"/>
    <x v="106"/>
    <x v="0"/>
    <x v="1"/>
    <x v="106"/>
    <x v="106"/>
  </r>
  <r>
    <x v="107"/>
    <x v="51"/>
    <x v="3"/>
    <x v="3"/>
    <x v="107"/>
    <x v="101"/>
    <x v="71"/>
    <x v="107"/>
    <x v="0"/>
    <x v="1"/>
    <x v="107"/>
    <x v="107"/>
  </r>
  <r>
    <x v="108"/>
    <x v="103"/>
    <x v="3"/>
    <x v="2"/>
    <x v="108"/>
    <x v="102"/>
    <x v="31"/>
    <x v="23"/>
    <x v="0"/>
    <x v="1"/>
    <x v="23"/>
    <x v="108"/>
  </r>
  <r>
    <x v="109"/>
    <x v="104"/>
    <x v="4"/>
    <x v="4"/>
    <x v="109"/>
    <x v="103"/>
    <x v="27"/>
    <x v="108"/>
    <x v="0"/>
    <x v="1"/>
    <x v="108"/>
    <x v="109"/>
  </r>
  <r>
    <x v="110"/>
    <x v="105"/>
    <x v="3"/>
    <x v="4"/>
    <x v="110"/>
    <x v="104"/>
    <x v="72"/>
    <x v="109"/>
    <x v="2"/>
    <x v="23"/>
    <x v="109"/>
    <x v="110"/>
  </r>
  <r>
    <x v="111"/>
    <x v="106"/>
    <x v="2"/>
    <x v="3"/>
    <x v="111"/>
    <x v="105"/>
    <x v="73"/>
    <x v="110"/>
    <x v="0"/>
    <x v="1"/>
    <x v="110"/>
    <x v="111"/>
  </r>
  <r>
    <x v="112"/>
    <x v="107"/>
    <x v="0"/>
    <x v="3"/>
    <x v="112"/>
    <x v="6"/>
    <x v="74"/>
    <x v="111"/>
    <x v="0"/>
    <x v="1"/>
    <x v="111"/>
    <x v="112"/>
  </r>
  <r>
    <x v="113"/>
    <x v="20"/>
    <x v="6"/>
    <x v="0"/>
    <x v="113"/>
    <x v="106"/>
    <x v="16"/>
    <x v="112"/>
    <x v="0"/>
    <x v="1"/>
    <x v="112"/>
    <x v="113"/>
  </r>
  <r>
    <x v="114"/>
    <x v="108"/>
    <x v="2"/>
    <x v="2"/>
    <x v="114"/>
    <x v="107"/>
    <x v="61"/>
    <x v="113"/>
    <x v="0"/>
    <x v="24"/>
    <x v="113"/>
    <x v="114"/>
  </r>
  <r>
    <x v="115"/>
    <x v="109"/>
    <x v="1"/>
    <x v="4"/>
    <x v="115"/>
    <x v="108"/>
    <x v="4"/>
    <x v="114"/>
    <x v="2"/>
    <x v="25"/>
    <x v="114"/>
    <x v="115"/>
  </r>
  <r>
    <x v="116"/>
    <x v="110"/>
    <x v="1"/>
    <x v="2"/>
    <x v="116"/>
    <x v="109"/>
    <x v="51"/>
    <x v="115"/>
    <x v="1"/>
    <x v="1"/>
    <x v="115"/>
    <x v="116"/>
  </r>
  <r>
    <x v="117"/>
    <x v="111"/>
    <x v="4"/>
    <x v="2"/>
    <x v="117"/>
    <x v="110"/>
    <x v="75"/>
    <x v="116"/>
    <x v="0"/>
    <x v="1"/>
    <x v="116"/>
    <x v="117"/>
  </r>
  <r>
    <x v="118"/>
    <x v="112"/>
    <x v="1"/>
    <x v="4"/>
    <x v="118"/>
    <x v="111"/>
    <x v="46"/>
    <x v="117"/>
    <x v="2"/>
    <x v="26"/>
    <x v="117"/>
    <x v="118"/>
  </r>
  <r>
    <x v="119"/>
    <x v="113"/>
    <x v="1"/>
    <x v="2"/>
    <x v="119"/>
    <x v="47"/>
    <x v="75"/>
    <x v="118"/>
    <x v="2"/>
    <x v="27"/>
    <x v="118"/>
    <x v="119"/>
  </r>
  <r>
    <x v="120"/>
    <x v="114"/>
    <x v="1"/>
    <x v="3"/>
    <x v="120"/>
    <x v="112"/>
    <x v="76"/>
    <x v="119"/>
    <x v="0"/>
    <x v="1"/>
    <x v="119"/>
    <x v="120"/>
  </r>
  <r>
    <x v="121"/>
    <x v="115"/>
    <x v="1"/>
    <x v="4"/>
    <x v="121"/>
    <x v="113"/>
    <x v="77"/>
    <x v="120"/>
    <x v="0"/>
    <x v="28"/>
    <x v="120"/>
    <x v="121"/>
  </r>
  <r>
    <x v="122"/>
    <x v="116"/>
    <x v="0"/>
    <x v="1"/>
    <x v="122"/>
    <x v="114"/>
    <x v="46"/>
    <x v="121"/>
    <x v="0"/>
    <x v="1"/>
    <x v="121"/>
    <x v="122"/>
  </r>
  <r>
    <x v="123"/>
    <x v="117"/>
    <x v="0"/>
    <x v="0"/>
    <x v="123"/>
    <x v="115"/>
    <x v="24"/>
    <x v="122"/>
    <x v="1"/>
    <x v="1"/>
    <x v="122"/>
    <x v="123"/>
  </r>
  <r>
    <x v="124"/>
    <x v="118"/>
    <x v="3"/>
    <x v="0"/>
    <x v="124"/>
    <x v="116"/>
    <x v="78"/>
    <x v="123"/>
    <x v="0"/>
    <x v="1"/>
    <x v="123"/>
    <x v="124"/>
  </r>
  <r>
    <x v="125"/>
    <x v="119"/>
    <x v="1"/>
    <x v="3"/>
    <x v="125"/>
    <x v="117"/>
    <x v="73"/>
    <x v="124"/>
    <x v="0"/>
    <x v="1"/>
    <x v="124"/>
    <x v="125"/>
  </r>
  <r>
    <x v="126"/>
    <x v="120"/>
    <x v="1"/>
    <x v="4"/>
    <x v="126"/>
    <x v="118"/>
    <x v="37"/>
    <x v="125"/>
    <x v="0"/>
    <x v="1"/>
    <x v="125"/>
    <x v="126"/>
  </r>
  <r>
    <x v="127"/>
    <x v="121"/>
    <x v="6"/>
    <x v="4"/>
    <x v="127"/>
    <x v="119"/>
    <x v="19"/>
    <x v="126"/>
    <x v="0"/>
    <x v="1"/>
    <x v="126"/>
    <x v="127"/>
  </r>
  <r>
    <x v="128"/>
    <x v="122"/>
    <x v="6"/>
    <x v="4"/>
    <x v="128"/>
    <x v="120"/>
    <x v="2"/>
    <x v="127"/>
    <x v="0"/>
    <x v="1"/>
    <x v="127"/>
    <x v="128"/>
  </r>
  <r>
    <x v="129"/>
    <x v="123"/>
    <x v="5"/>
    <x v="1"/>
    <x v="129"/>
    <x v="83"/>
    <x v="79"/>
    <x v="128"/>
    <x v="2"/>
    <x v="29"/>
    <x v="128"/>
    <x v="129"/>
  </r>
  <r>
    <x v="130"/>
    <x v="124"/>
    <x v="0"/>
    <x v="2"/>
    <x v="130"/>
    <x v="121"/>
    <x v="46"/>
    <x v="129"/>
    <x v="1"/>
    <x v="1"/>
    <x v="129"/>
    <x v="130"/>
  </r>
  <r>
    <x v="131"/>
    <x v="125"/>
    <x v="3"/>
    <x v="0"/>
    <x v="131"/>
    <x v="46"/>
    <x v="80"/>
    <x v="130"/>
    <x v="1"/>
    <x v="1"/>
    <x v="130"/>
    <x v="131"/>
  </r>
  <r>
    <x v="132"/>
    <x v="126"/>
    <x v="5"/>
    <x v="0"/>
    <x v="132"/>
    <x v="122"/>
    <x v="55"/>
    <x v="131"/>
    <x v="0"/>
    <x v="1"/>
    <x v="131"/>
    <x v="132"/>
  </r>
  <r>
    <x v="133"/>
    <x v="127"/>
    <x v="1"/>
    <x v="1"/>
    <x v="133"/>
    <x v="123"/>
    <x v="4"/>
    <x v="132"/>
    <x v="0"/>
    <x v="30"/>
    <x v="132"/>
    <x v="133"/>
  </r>
  <r>
    <x v="134"/>
    <x v="128"/>
    <x v="6"/>
    <x v="4"/>
    <x v="134"/>
    <x v="124"/>
    <x v="20"/>
    <x v="64"/>
    <x v="1"/>
    <x v="1"/>
    <x v="64"/>
    <x v="134"/>
  </r>
  <r>
    <x v="135"/>
    <x v="129"/>
    <x v="0"/>
    <x v="1"/>
    <x v="135"/>
    <x v="125"/>
    <x v="81"/>
    <x v="133"/>
    <x v="0"/>
    <x v="31"/>
    <x v="133"/>
    <x v="135"/>
  </r>
  <r>
    <x v="136"/>
    <x v="130"/>
    <x v="0"/>
    <x v="2"/>
    <x v="136"/>
    <x v="126"/>
    <x v="13"/>
    <x v="54"/>
    <x v="0"/>
    <x v="1"/>
    <x v="54"/>
    <x v="136"/>
  </r>
  <r>
    <x v="137"/>
    <x v="131"/>
    <x v="0"/>
    <x v="2"/>
    <x v="137"/>
    <x v="127"/>
    <x v="75"/>
    <x v="104"/>
    <x v="0"/>
    <x v="32"/>
    <x v="104"/>
    <x v="137"/>
  </r>
  <r>
    <x v="138"/>
    <x v="132"/>
    <x v="1"/>
    <x v="3"/>
    <x v="138"/>
    <x v="128"/>
    <x v="82"/>
    <x v="134"/>
    <x v="0"/>
    <x v="1"/>
    <x v="134"/>
    <x v="138"/>
  </r>
  <r>
    <x v="139"/>
    <x v="133"/>
    <x v="1"/>
    <x v="4"/>
    <x v="139"/>
    <x v="129"/>
    <x v="81"/>
    <x v="135"/>
    <x v="2"/>
    <x v="33"/>
    <x v="135"/>
    <x v="139"/>
  </r>
  <r>
    <x v="140"/>
    <x v="134"/>
    <x v="4"/>
    <x v="0"/>
    <x v="140"/>
    <x v="130"/>
    <x v="83"/>
    <x v="136"/>
    <x v="1"/>
    <x v="1"/>
    <x v="136"/>
    <x v="140"/>
  </r>
  <r>
    <x v="141"/>
    <x v="135"/>
    <x v="3"/>
    <x v="1"/>
    <x v="141"/>
    <x v="5"/>
    <x v="84"/>
    <x v="137"/>
    <x v="0"/>
    <x v="1"/>
    <x v="137"/>
    <x v="141"/>
  </r>
  <r>
    <x v="142"/>
    <x v="62"/>
    <x v="1"/>
    <x v="3"/>
    <x v="142"/>
    <x v="131"/>
    <x v="85"/>
    <x v="138"/>
    <x v="0"/>
    <x v="1"/>
    <x v="138"/>
    <x v="142"/>
  </r>
  <r>
    <x v="143"/>
    <x v="136"/>
    <x v="1"/>
    <x v="1"/>
    <x v="143"/>
    <x v="132"/>
    <x v="2"/>
    <x v="139"/>
    <x v="0"/>
    <x v="1"/>
    <x v="139"/>
    <x v="143"/>
  </r>
  <r>
    <x v="144"/>
    <x v="107"/>
    <x v="0"/>
    <x v="4"/>
    <x v="144"/>
    <x v="1"/>
    <x v="86"/>
    <x v="140"/>
    <x v="2"/>
    <x v="34"/>
    <x v="140"/>
    <x v="144"/>
  </r>
  <r>
    <x v="145"/>
    <x v="137"/>
    <x v="2"/>
    <x v="3"/>
    <x v="145"/>
    <x v="133"/>
    <x v="87"/>
    <x v="141"/>
    <x v="0"/>
    <x v="1"/>
    <x v="141"/>
    <x v="145"/>
  </r>
  <r>
    <x v="146"/>
    <x v="138"/>
    <x v="5"/>
    <x v="2"/>
    <x v="146"/>
    <x v="134"/>
    <x v="88"/>
    <x v="142"/>
    <x v="1"/>
    <x v="1"/>
    <x v="142"/>
    <x v="146"/>
  </r>
  <r>
    <x v="147"/>
    <x v="139"/>
    <x v="0"/>
    <x v="2"/>
    <x v="147"/>
    <x v="135"/>
    <x v="61"/>
    <x v="143"/>
    <x v="0"/>
    <x v="1"/>
    <x v="143"/>
    <x v="147"/>
  </r>
  <r>
    <x v="148"/>
    <x v="140"/>
    <x v="1"/>
    <x v="2"/>
    <x v="148"/>
    <x v="136"/>
    <x v="89"/>
    <x v="144"/>
    <x v="0"/>
    <x v="1"/>
    <x v="144"/>
    <x v="148"/>
  </r>
  <r>
    <x v="149"/>
    <x v="141"/>
    <x v="3"/>
    <x v="3"/>
    <x v="149"/>
    <x v="137"/>
    <x v="90"/>
    <x v="145"/>
    <x v="0"/>
    <x v="1"/>
    <x v="145"/>
    <x v="149"/>
  </r>
  <r>
    <x v="150"/>
    <x v="142"/>
    <x v="5"/>
    <x v="1"/>
    <x v="150"/>
    <x v="138"/>
    <x v="38"/>
    <x v="146"/>
    <x v="0"/>
    <x v="1"/>
    <x v="146"/>
    <x v="150"/>
  </r>
  <r>
    <x v="151"/>
    <x v="142"/>
    <x v="5"/>
    <x v="1"/>
    <x v="151"/>
    <x v="139"/>
    <x v="3"/>
    <x v="147"/>
    <x v="0"/>
    <x v="1"/>
    <x v="147"/>
    <x v="151"/>
  </r>
  <r>
    <x v="152"/>
    <x v="143"/>
    <x v="3"/>
    <x v="1"/>
    <x v="152"/>
    <x v="140"/>
    <x v="13"/>
    <x v="148"/>
    <x v="1"/>
    <x v="1"/>
    <x v="148"/>
    <x v="152"/>
  </r>
  <r>
    <x v="153"/>
    <x v="144"/>
    <x v="0"/>
    <x v="4"/>
    <x v="153"/>
    <x v="141"/>
    <x v="64"/>
    <x v="149"/>
    <x v="0"/>
    <x v="1"/>
    <x v="149"/>
    <x v="153"/>
  </r>
  <r>
    <x v="154"/>
    <x v="145"/>
    <x v="0"/>
    <x v="4"/>
    <x v="154"/>
    <x v="142"/>
    <x v="16"/>
    <x v="150"/>
    <x v="0"/>
    <x v="1"/>
    <x v="150"/>
    <x v="154"/>
  </r>
  <r>
    <x v="155"/>
    <x v="146"/>
    <x v="6"/>
    <x v="1"/>
    <x v="155"/>
    <x v="143"/>
    <x v="91"/>
    <x v="151"/>
    <x v="1"/>
    <x v="1"/>
    <x v="151"/>
    <x v="155"/>
  </r>
  <r>
    <x v="156"/>
    <x v="107"/>
    <x v="0"/>
    <x v="2"/>
    <x v="156"/>
    <x v="144"/>
    <x v="31"/>
    <x v="152"/>
    <x v="0"/>
    <x v="1"/>
    <x v="152"/>
    <x v="156"/>
  </r>
  <r>
    <x v="157"/>
    <x v="147"/>
    <x v="0"/>
    <x v="1"/>
    <x v="157"/>
    <x v="145"/>
    <x v="23"/>
    <x v="153"/>
    <x v="2"/>
    <x v="35"/>
    <x v="153"/>
    <x v="157"/>
  </r>
  <r>
    <x v="158"/>
    <x v="148"/>
    <x v="0"/>
    <x v="1"/>
    <x v="158"/>
    <x v="146"/>
    <x v="2"/>
    <x v="154"/>
    <x v="0"/>
    <x v="1"/>
    <x v="154"/>
    <x v="158"/>
  </r>
  <r>
    <x v="159"/>
    <x v="149"/>
    <x v="1"/>
    <x v="4"/>
    <x v="159"/>
    <x v="147"/>
    <x v="92"/>
    <x v="155"/>
    <x v="0"/>
    <x v="1"/>
    <x v="155"/>
    <x v="159"/>
  </r>
  <r>
    <x v="160"/>
    <x v="150"/>
    <x v="6"/>
    <x v="3"/>
    <x v="160"/>
    <x v="148"/>
    <x v="11"/>
    <x v="156"/>
    <x v="1"/>
    <x v="1"/>
    <x v="156"/>
    <x v="160"/>
  </r>
  <r>
    <x v="161"/>
    <x v="151"/>
    <x v="6"/>
    <x v="1"/>
    <x v="161"/>
    <x v="149"/>
    <x v="7"/>
    <x v="157"/>
    <x v="0"/>
    <x v="1"/>
    <x v="157"/>
    <x v="161"/>
  </r>
  <r>
    <x v="162"/>
    <x v="152"/>
    <x v="4"/>
    <x v="3"/>
    <x v="162"/>
    <x v="150"/>
    <x v="8"/>
    <x v="158"/>
    <x v="0"/>
    <x v="1"/>
    <x v="158"/>
    <x v="162"/>
  </r>
  <r>
    <x v="163"/>
    <x v="153"/>
    <x v="4"/>
    <x v="3"/>
    <x v="163"/>
    <x v="151"/>
    <x v="67"/>
    <x v="159"/>
    <x v="0"/>
    <x v="1"/>
    <x v="159"/>
    <x v="163"/>
  </r>
  <r>
    <x v="164"/>
    <x v="37"/>
    <x v="2"/>
    <x v="1"/>
    <x v="164"/>
    <x v="152"/>
    <x v="2"/>
    <x v="160"/>
    <x v="1"/>
    <x v="1"/>
    <x v="160"/>
    <x v="164"/>
  </r>
  <r>
    <x v="165"/>
    <x v="154"/>
    <x v="6"/>
    <x v="3"/>
    <x v="165"/>
    <x v="78"/>
    <x v="93"/>
    <x v="161"/>
    <x v="0"/>
    <x v="1"/>
    <x v="161"/>
    <x v="165"/>
  </r>
  <r>
    <x v="166"/>
    <x v="155"/>
    <x v="3"/>
    <x v="4"/>
    <x v="166"/>
    <x v="153"/>
    <x v="72"/>
    <x v="162"/>
    <x v="0"/>
    <x v="1"/>
    <x v="162"/>
    <x v="166"/>
  </r>
  <r>
    <x v="167"/>
    <x v="140"/>
    <x v="1"/>
    <x v="3"/>
    <x v="167"/>
    <x v="154"/>
    <x v="94"/>
    <x v="163"/>
    <x v="1"/>
    <x v="1"/>
    <x v="163"/>
    <x v="167"/>
  </r>
  <r>
    <x v="168"/>
    <x v="156"/>
    <x v="0"/>
    <x v="3"/>
    <x v="168"/>
    <x v="155"/>
    <x v="95"/>
    <x v="164"/>
    <x v="2"/>
    <x v="36"/>
    <x v="164"/>
    <x v="168"/>
  </r>
  <r>
    <x v="169"/>
    <x v="157"/>
    <x v="6"/>
    <x v="2"/>
    <x v="169"/>
    <x v="156"/>
    <x v="13"/>
    <x v="165"/>
    <x v="1"/>
    <x v="1"/>
    <x v="165"/>
    <x v="169"/>
  </r>
  <r>
    <x v="170"/>
    <x v="158"/>
    <x v="3"/>
    <x v="4"/>
    <x v="170"/>
    <x v="157"/>
    <x v="96"/>
    <x v="166"/>
    <x v="0"/>
    <x v="1"/>
    <x v="166"/>
    <x v="170"/>
  </r>
  <r>
    <x v="171"/>
    <x v="159"/>
    <x v="0"/>
    <x v="0"/>
    <x v="171"/>
    <x v="158"/>
    <x v="31"/>
    <x v="167"/>
    <x v="0"/>
    <x v="1"/>
    <x v="167"/>
    <x v="171"/>
  </r>
  <r>
    <x v="172"/>
    <x v="116"/>
    <x v="0"/>
    <x v="4"/>
    <x v="172"/>
    <x v="159"/>
    <x v="97"/>
    <x v="168"/>
    <x v="0"/>
    <x v="1"/>
    <x v="168"/>
    <x v="172"/>
  </r>
  <r>
    <x v="173"/>
    <x v="160"/>
    <x v="0"/>
    <x v="1"/>
    <x v="173"/>
    <x v="160"/>
    <x v="0"/>
    <x v="169"/>
    <x v="0"/>
    <x v="1"/>
    <x v="169"/>
    <x v="173"/>
  </r>
  <r>
    <x v="174"/>
    <x v="161"/>
    <x v="0"/>
    <x v="4"/>
    <x v="174"/>
    <x v="161"/>
    <x v="27"/>
    <x v="170"/>
    <x v="0"/>
    <x v="37"/>
    <x v="170"/>
    <x v="174"/>
  </r>
  <r>
    <x v="175"/>
    <x v="162"/>
    <x v="1"/>
    <x v="3"/>
    <x v="175"/>
    <x v="162"/>
    <x v="98"/>
    <x v="171"/>
    <x v="0"/>
    <x v="1"/>
    <x v="171"/>
    <x v="175"/>
  </r>
  <r>
    <x v="176"/>
    <x v="163"/>
    <x v="6"/>
    <x v="1"/>
    <x v="176"/>
    <x v="163"/>
    <x v="27"/>
    <x v="172"/>
    <x v="0"/>
    <x v="1"/>
    <x v="172"/>
    <x v="176"/>
  </r>
  <r>
    <x v="177"/>
    <x v="164"/>
    <x v="5"/>
    <x v="1"/>
    <x v="177"/>
    <x v="164"/>
    <x v="57"/>
    <x v="173"/>
    <x v="0"/>
    <x v="38"/>
    <x v="173"/>
    <x v="177"/>
  </r>
  <r>
    <x v="178"/>
    <x v="165"/>
    <x v="1"/>
    <x v="1"/>
    <x v="178"/>
    <x v="165"/>
    <x v="40"/>
    <x v="174"/>
    <x v="0"/>
    <x v="1"/>
    <x v="174"/>
    <x v="178"/>
  </r>
  <r>
    <x v="179"/>
    <x v="166"/>
    <x v="1"/>
    <x v="1"/>
    <x v="179"/>
    <x v="166"/>
    <x v="2"/>
    <x v="175"/>
    <x v="0"/>
    <x v="1"/>
    <x v="175"/>
    <x v="179"/>
  </r>
  <r>
    <x v="180"/>
    <x v="167"/>
    <x v="5"/>
    <x v="0"/>
    <x v="180"/>
    <x v="167"/>
    <x v="81"/>
    <x v="176"/>
    <x v="2"/>
    <x v="39"/>
    <x v="176"/>
    <x v="180"/>
  </r>
  <r>
    <x v="181"/>
    <x v="81"/>
    <x v="2"/>
    <x v="4"/>
    <x v="181"/>
    <x v="168"/>
    <x v="72"/>
    <x v="177"/>
    <x v="1"/>
    <x v="1"/>
    <x v="177"/>
    <x v="181"/>
  </r>
  <r>
    <x v="182"/>
    <x v="168"/>
    <x v="1"/>
    <x v="3"/>
    <x v="182"/>
    <x v="169"/>
    <x v="99"/>
    <x v="100"/>
    <x v="0"/>
    <x v="1"/>
    <x v="100"/>
    <x v="182"/>
  </r>
  <r>
    <x v="183"/>
    <x v="169"/>
    <x v="6"/>
    <x v="1"/>
    <x v="183"/>
    <x v="98"/>
    <x v="61"/>
    <x v="178"/>
    <x v="0"/>
    <x v="1"/>
    <x v="178"/>
    <x v="183"/>
  </r>
  <r>
    <x v="184"/>
    <x v="170"/>
    <x v="5"/>
    <x v="1"/>
    <x v="184"/>
    <x v="170"/>
    <x v="45"/>
    <x v="179"/>
    <x v="0"/>
    <x v="1"/>
    <x v="179"/>
    <x v="184"/>
  </r>
  <r>
    <x v="185"/>
    <x v="171"/>
    <x v="5"/>
    <x v="2"/>
    <x v="185"/>
    <x v="136"/>
    <x v="28"/>
    <x v="180"/>
    <x v="2"/>
    <x v="40"/>
    <x v="180"/>
    <x v="185"/>
  </r>
  <r>
    <x v="186"/>
    <x v="172"/>
    <x v="4"/>
    <x v="4"/>
    <x v="186"/>
    <x v="171"/>
    <x v="100"/>
    <x v="181"/>
    <x v="2"/>
    <x v="41"/>
    <x v="181"/>
    <x v="186"/>
  </r>
  <r>
    <x v="187"/>
    <x v="173"/>
    <x v="1"/>
    <x v="1"/>
    <x v="187"/>
    <x v="172"/>
    <x v="64"/>
    <x v="182"/>
    <x v="1"/>
    <x v="1"/>
    <x v="182"/>
    <x v="187"/>
  </r>
  <r>
    <x v="188"/>
    <x v="174"/>
    <x v="1"/>
    <x v="1"/>
    <x v="188"/>
    <x v="173"/>
    <x v="68"/>
    <x v="154"/>
    <x v="2"/>
    <x v="42"/>
    <x v="154"/>
    <x v="188"/>
  </r>
  <r>
    <x v="189"/>
    <x v="175"/>
    <x v="6"/>
    <x v="2"/>
    <x v="189"/>
    <x v="174"/>
    <x v="38"/>
    <x v="183"/>
    <x v="2"/>
    <x v="43"/>
    <x v="183"/>
    <x v="189"/>
  </r>
  <r>
    <x v="190"/>
    <x v="176"/>
    <x v="0"/>
    <x v="0"/>
    <x v="190"/>
    <x v="175"/>
    <x v="101"/>
    <x v="184"/>
    <x v="0"/>
    <x v="1"/>
    <x v="184"/>
    <x v="190"/>
  </r>
  <r>
    <x v="191"/>
    <x v="173"/>
    <x v="1"/>
    <x v="3"/>
    <x v="191"/>
    <x v="176"/>
    <x v="102"/>
    <x v="185"/>
    <x v="1"/>
    <x v="1"/>
    <x v="185"/>
    <x v="191"/>
  </r>
  <r>
    <x v="192"/>
    <x v="134"/>
    <x v="4"/>
    <x v="0"/>
    <x v="192"/>
    <x v="177"/>
    <x v="103"/>
    <x v="186"/>
    <x v="0"/>
    <x v="1"/>
    <x v="186"/>
    <x v="192"/>
  </r>
  <r>
    <x v="193"/>
    <x v="177"/>
    <x v="1"/>
    <x v="2"/>
    <x v="193"/>
    <x v="178"/>
    <x v="75"/>
    <x v="163"/>
    <x v="0"/>
    <x v="1"/>
    <x v="163"/>
    <x v="193"/>
  </r>
  <r>
    <x v="194"/>
    <x v="178"/>
    <x v="6"/>
    <x v="1"/>
    <x v="194"/>
    <x v="179"/>
    <x v="52"/>
    <x v="187"/>
    <x v="2"/>
    <x v="23"/>
    <x v="187"/>
    <x v="194"/>
  </r>
  <r>
    <x v="195"/>
    <x v="179"/>
    <x v="1"/>
    <x v="0"/>
    <x v="195"/>
    <x v="180"/>
    <x v="104"/>
    <x v="45"/>
    <x v="1"/>
    <x v="1"/>
    <x v="45"/>
    <x v="195"/>
  </r>
  <r>
    <x v="196"/>
    <x v="180"/>
    <x v="2"/>
    <x v="4"/>
    <x v="196"/>
    <x v="181"/>
    <x v="62"/>
    <x v="188"/>
    <x v="0"/>
    <x v="1"/>
    <x v="188"/>
    <x v="196"/>
  </r>
  <r>
    <x v="197"/>
    <x v="181"/>
    <x v="5"/>
    <x v="4"/>
    <x v="197"/>
    <x v="182"/>
    <x v="26"/>
    <x v="189"/>
    <x v="0"/>
    <x v="1"/>
    <x v="189"/>
    <x v="197"/>
  </r>
  <r>
    <x v="198"/>
    <x v="182"/>
    <x v="2"/>
    <x v="1"/>
    <x v="198"/>
    <x v="183"/>
    <x v="27"/>
    <x v="190"/>
    <x v="0"/>
    <x v="1"/>
    <x v="190"/>
    <x v="198"/>
  </r>
  <r>
    <x v="199"/>
    <x v="183"/>
    <x v="0"/>
    <x v="1"/>
    <x v="199"/>
    <x v="184"/>
    <x v="2"/>
    <x v="191"/>
    <x v="0"/>
    <x v="1"/>
    <x v="191"/>
    <x v="199"/>
  </r>
  <r>
    <x v="200"/>
    <x v="184"/>
    <x v="5"/>
    <x v="0"/>
    <x v="200"/>
    <x v="185"/>
    <x v="105"/>
    <x v="192"/>
    <x v="0"/>
    <x v="1"/>
    <x v="192"/>
    <x v="200"/>
  </r>
  <r>
    <x v="201"/>
    <x v="185"/>
    <x v="1"/>
    <x v="4"/>
    <x v="201"/>
    <x v="117"/>
    <x v="16"/>
    <x v="193"/>
    <x v="0"/>
    <x v="44"/>
    <x v="193"/>
    <x v="201"/>
  </r>
  <r>
    <x v="202"/>
    <x v="136"/>
    <x v="1"/>
    <x v="3"/>
    <x v="202"/>
    <x v="186"/>
    <x v="106"/>
    <x v="194"/>
    <x v="0"/>
    <x v="1"/>
    <x v="194"/>
    <x v="202"/>
  </r>
  <r>
    <x v="203"/>
    <x v="186"/>
    <x v="3"/>
    <x v="1"/>
    <x v="203"/>
    <x v="187"/>
    <x v="6"/>
    <x v="195"/>
    <x v="0"/>
    <x v="15"/>
    <x v="195"/>
    <x v="203"/>
  </r>
  <r>
    <x v="204"/>
    <x v="187"/>
    <x v="2"/>
    <x v="4"/>
    <x v="204"/>
    <x v="188"/>
    <x v="52"/>
    <x v="196"/>
    <x v="1"/>
    <x v="1"/>
    <x v="196"/>
    <x v="204"/>
  </r>
  <r>
    <x v="205"/>
    <x v="188"/>
    <x v="6"/>
    <x v="0"/>
    <x v="205"/>
    <x v="189"/>
    <x v="107"/>
    <x v="197"/>
    <x v="2"/>
    <x v="45"/>
    <x v="197"/>
    <x v="205"/>
  </r>
  <r>
    <x v="206"/>
    <x v="41"/>
    <x v="6"/>
    <x v="2"/>
    <x v="206"/>
    <x v="190"/>
    <x v="103"/>
    <x v="198"/>
    <x v="0"/>
    <x v="46"/>
    <x v="198"/>
    <x v="206"/>
  </r>
  <r>
    <x v="207"/>
    <x v="189"/>
    <x v="4"/>
    <x v="1"/>
    <x v="207"/>
    <x v="191"/>
    <x v="97"/>
    <x v="199"/>
    <x v="1"/>
    <x v="1"/>
    <x v="199"/>
    <x v="207"/>
  </r>
  <r>
    <x v="208"/>
    <x v="190"/>
    <x v="6"/>
    <x v="1"/>
    <x v="208"/>
    <x v="192"/>
    <x v="16"/>
    <x v="200"/>
    <x v="2"/>
    <x v="47"/>
    <x v="200"/>
    <x v="208"/>
  </r>
  <r>
    <x v="209"/>
    <x v="191"/>
    <x v="6"/>
    <x v="0"/>
    <x v="209"/>
    <x v="193"/>
    <x v="108"/>
    <x v="201"/>
    <x v="0"/>
    <x v="1"/>
    <x v="201"/>
    <x v="209"/>
  </r>
  <r>
    <x v="210"/>
    <x v="192"/>
    <x v="5"/>
    <x v="2"/>
    <x v="210"/>
    <x v="194"/>
    <x v="89"/>
    <x v="202"/>
    <x v="0"/>
    <x v="1"/>
    <x v="202"/>
    <x v="210"/>
  </r>
  <r>
    <x v="211"/>
    <x v="193"/>
    <x v="0"/>
    <x v="2"/>
    <x v="211"/>
    <x v="195"/>
    <x v="84"/>
    <x v="11"/>
    <x v="0"/>
    <x v="1"/>
    <x v="11"/>
    <x v="211"/>
  </r>
  <r>
    <x v="212"/>
    <x v="194"/>
    <x v="3"/>
    <x v="3"/>
    <x v="212"/>
    <x v="196"/>
    <x v="109"/>
    <x v="203"/>
    <x v="0"/>
    <x v="1"/>
    <x v="203"/>
    <x v="212"/>
  </r>
  <r>
    <x v="213"/>
    <x v="195"/>
    <x v="6"/>
    <x v="0"/>
    <x v="213"/>
    <x v="197"/>
    <x v="9"/>
    <x v="126"/>
    <x v="0"/>
    <x v="38"/>
    <x v="126"/>
    <x v="213"/>
  </r>
  <r>
    <x v="214"/>
    <x v="196"/>
    <x v="5"/>
    <x v="3"/>
    <x v="214"/>
    <x v="198"/>
    <x v="110"/>
    <x v="204"/>
    <x v="0"/>
    <x v="1"/>
    <x v="204"/>
    <x v="214"/>
  </r>
  <r>
    <x v="215"/>
    <x v="197"/>
    <x v="6"/>
    <x v="0"/>
    <x v="215"/>
    <x v="199"/>
    <x v="79"/>
    <x v="205"/>
    <x v="0"/>
    <x v="1"/>
    <x v="205"/>
    <x v="215"/>
  </r>
  <r>
    <x v="216"/>
    <x v="198"/>
    <x v="0"/>
    <x v="0"/>
    <x v="216"/>
    <x v="128"/>
    <x v="48"/>
    <x v="206"/>
    <x v="0"/>
    <x v="1"/>
    <x v="206"/>
    <x v="216"/>
  </r>
  <r>
    <x v="217"/>
    <x v="36"/>
    <x v="4"/>
    <x v="1"/>
    <x v="217"/>
    <x v="200"/>
    <x v="92"/>
    <x v="207"/>
    <x v="1"/>
    <x v="1"/>
    <x v="207"/>
    <x v="217"/>
  </r>
  <r>
    <x v="218"/>
    <x v="122"/>
    <x v="6"/>
    <x v="4"/>
    <x v="218"/>
    <x v="201"/>
    <x v="72"/>
    <x v="208"/>
    <x v="0"/>
    <x v="1"/>
    <x v="208"/>
    <x v="218"/>
  </r>
  <r>
    <x v="219"/>
    <x v="199"/>
    <x v="0"/>
    <x v="3"/>
    <x v="219"/>
    <x v="192"/>
    <x v="66"/>
    <x v="209"/>
    <x v="0"/>
    <x v="1"/>
    <x v="209"/>
    <x v="219"/>
  </r>
  <r>
    <x v="220"/>
    <x v="200"/>
    <x v="1"/>
    <x v="0"/>
    <x v="220"/>
    <x v="202"/>
    <x v="111"/>
    <x v="210"/>
    <x v="0"/>
    <x v="1"/>
    <x v="210"/>
    <x v="220"/>
  </r>
  <r>
    <x v="221"/>
    <x v="201"/>
    <x v="5"/>
    <x v="1"/>
    <x v="221"/>
    <x v="203"/>
    <x v="30"/>
    <x v="211"/>
    <x v="1"/>
    <x v="1"/>
    <x v="211"/>
    <x v="221"/>
  </r>
  <r>
    <x v="222"/>
    <x v="202"/>
    <x v="0"/>
    <x v="3"/>
    <x v="222"/>
    <x v="204"/>
    <x v="112"/>
    <x v="72"/>
    <x v="0"/>
    <x v="1"/>
    <x v="72"/>
    <x v="222"/>
  </r>
  <r>
    <x v="223"/>
    <x v="203"/>
    <x v="2"/>
    <x v="0"/>
    <x v="223"/>
    <x v="205"/>
    <x v="113"/>
    <x v="212"/>
    <x v="2"/>
    <x v="48"/>
    <x v="212"/>
    <x v="223"/>
  </r>
  <r>
    <x v="224"/>
    <x v="204"/>
    <x v="4"/>
    <x v="4"/>
    <x v="224"/>
    <x v="206"/>
    <x v="53"/>
    <x v="213"/>
    <x v="0"/>
    <x v="1"/>
    <x v="213"/>
    <x v="224"/>
  </r>
  <r>
    <x v="225"/>
    <x v="205"/>
    <x v="6"/>
    <x v="3"/>
    <x v="225"/>
    <x v="207"/>
    <x v="74"/>
    <x v="214"/>
    <x v="2"/>
    <x v="49"/>
    <x v="214"/>
    <x v="225"/>
  </r>
  <r>
    <x v="226"/>
    <x v="206"/>
    <x v="6"/>
    <x v="3"/>
    <x v="226"/>
    <x v="208"/>
    <x v="114"/>
    <x v="215"/>
    <x v="0"/>
    <x v="1"/>
    <x v="215"/>
    <x v="226"/>
  </r>
  <r>
    <x v="227"/>
    <x v="177"/>
    <x v="1"/>
    <x v="2"/>
    <x v="227"/>
    <x v="209"/>
    <x v="28"/>
    <x v="216"/>
    <x v="0"/>
    <x v="1"/>
    <x v="216"/>
    <x v="227"/>
  </r>
  <r>
    <x v="228"/>
    <x v="162"/>
    <x v="1"/>
    <x v="1"/>
    <x v="228"/>
    <x v="210"/>
    <x v="86"/>
    <x v="164"/>
    <x v="0"/>
    <x v="1"/>
    <x v="164"/>
    <x v="228"/>
  </r>
  <r>
    <x v="229"/>
    <x v="127"/>
    <x v="1"/>
    <x v="4"/>
    <x v="229"/>
    <x v="211"/>
    <x v="30"/>
    <x v="217"/>
    <x v="0"/>
    <x v="1"/>
    <x v="217"/>
    <x v="229"/>
  </r>
  <r>
    <x v="230"/>
    <x v="207"/>
    <x v="3"/>
    <x v="4"/>
    <x v="230"/>
    <x v="212"/>
    <x v="77"/>
    <x v="218"/>
    <x v="0"/>
    <x v="1"/>
    <x v="218"/>
    <x v="230"/>
  </r>
  <r>
    <x v="231"/>
    <x v="208"/>
    <x v="0"/>
    <x v="2"/>
    <x v="231"/>
    <x v="213"/>
    <x v="9"/>
    <x v="54"/>
    <x v="2"/>
    <x v="50"/>
    <x v="54"/>
    <x v="231"/>
  </r>
  <r>
    <x v="232"/>
    <x v="209"/>
    <x v="3"/>
    <x v="4"/>
    <x v="232"/>
    <x v="214"/>
    <x v="115"/>
    <x v="219"/>
    <x v="0"/>
    <x v="1"/>
    <x v="219"/>
    <x v="232"/>
  </r>
  <r>
    <x v="233"/>
    <x v="210"/>
    <x v="5"/>
    <x v="3"/>
    <x v="233"/>
    <x v="215"/>
    <x v="116"/>
    <x v="220"/>
    <x v="0"/>
    <x v="51"/>
    <x v="220"/>
    <x v="233"/>
  </r>
  <r>
    <x v="234"/>
    <x v="211"/>
    <x v="5"/>
    <x v="4"/>
    <x v="234"/>
    <x v="216"/>
    <x v="100"/>
    <x v="221"/>
    <x v="0"/>
    <x v="1"/>
    <x v="221"/>
    <x v="234"/>
  </r>
  <r>
    <x v="235"/>
    <x v="212"/>
    <x v="4"/>
    <x v="4"/>
    <x v="235"/>
    <x v="217"/>
    <x v="117"/>
    <x v="222"/>
    <x v="1"/>
    <x v="1"/>
    <x v="222"/>
    <x v="235"/>
  </r>
  <r>
    <x v="236"/>
    <x v="213"/>
    <x v="2"/>
    <x v="1"/>
    <x v="236"/>
    <x v="218"/>
    <x v="59"/>
    <x v="223"/>
    <x v="0"/>
    <x v="1"/>
    <x v="223"/>
    <x v="236"/>
  </r>
  <r>
    <x v="237"/>
    <x v="214"/>
    <x v="3"/>
    <x v="4"/>
    <x v="237"/>
    <x v="219"/>
    <x v="25"/>
    <x v="224"/>
    <x v="0"/>
    <x v="1"/>
    <x v="224"/>
    <x v="237"/>
  </r>
  <r>
    <x v="238"/>
    <x v="215"/>
    <x v="0"/>
    <x v="0"/>
    <x v="238"/>
    <x v="220"/>
    <x v="118"/>
    <x v="225"/>
    <x v="0"/>
    <x v="52"/>
    <x v="225"/>
    <x v="238"/>
  </r>
  <r>
    <x v="239"/>
    <x v="216"/>
    <x v="5"/>
    <x v="4"/>
    <x v="239"/>
    <x v="221"/>
    <x v="46"/>
    <x v="226"/>
    <x v="0"/>
    <x v="1"/>
    <x v="226"/>
    <x v="239"/>
  </r>
  <r>
    <x v="240"/>
    <x v="217"/>
    <x v="3"/>
    <x v="2"/>
    <x v="240"/>
    <x v="222"/>
    <x v="46"/>
    <x v="227"/>
    <x v="0"/>
    <x v="1"/>
    <x v="227"/>
    <x v="240"/>
  </r>
  <r>
    <x v="241"/>
    <x v="218"/>
    <x v="2"/>
    <x v="4"/>
    <x v="241"/>
    <x v="223"/>
    <x v="119"/>
    <x v="228"/>
    <x v="0"/>
    <x v="1"/>
    <x v="228"/>
    <x v="241"/>
  </r>
  <r>
    <x v="242"/>
    <x v="219"/>
    <x v="2"/>
    <x v="1"/>
    <x v="242"/>
    <x v="224"/>
    <x v="30"/>
    <x v="229"/>
    <x v="0"/>
    <x v="1"/>
    <x v="229"/>
    <x v="242"/>
  </r>
  <r>
    <x v="243"/>
    <x v="220"/>
    <x v="6"/>
    <x v="3"/>
    <x v="243"/>
    <x v="130"/>
    <x v="120"/>
    <x v="230"/>
    <x v="0"/>
    <x v="1"/>
    <x v="230"/>
    <x v="243"/>
  </r>
  <r>
    <x v="244"/>
    <x v="221"/>
    <x v="5"/>
    <x v="1"/>
    <x v="244"/>
    <x v="225"/>
    <x v="79"/>
    <x v="231"/>
    <x v="0"/>
    <x v="1"/>
    <x v="231"/>
    <x v="244"/>
  </r>
  <r>
    <x v="245"/>
    <x v="222"/>
    <x v="6"/>
    <x v="1"/>
    <x v="245"/>
    <x v="226"/>
    <x v="9"/>
    <x v="232"/>
    <x v="0"/>
    <x v="1"/>
    <x v="232"/>
    <x v="245"/>
  </r>
  <r>
    <x v="246"/>
    <x v="223"/>
    <x v="2"/>
    <x v="4"/>
    <x v="246"/>
    <x v="227"/>
    <x v="57"/>
    <x v="233"/>
    <x v="0"/>
    <x v="1"/>
    <x v="233"/>
    <x v="246"/>
  </r>
  <r>
    <x v="247"/>
    <x v="224"/>
    <x v="5"/>
    <x v="1"/>
    <x v="247"/>
    <x v="228"/>
    <x v="26"/>
    <x v="170"/>
    <x v="1"/>
    <x v="1"/>
    <x v="170"/>
    <x v="247"/>
  </r>
  <r>
    <x v="248"/>
    <x v="225"/>
    <x v="3"/>
    <x v="3"/>
    <x v="248"/>
    <x v="229"/>
    <x v="121"/>
    <x v="234"/>
    <x v="0"/>
    <x v="1"/>
    <x v="234"/>
    <x v="248"/>
  </r>
  <r>
    <x v="249"/>
    <x v="226"/>
    <x v="4"/>
    <x v="3"/>
    <x v="249"/>
    <x v="230"/>
    <x v="122"/>
    <x v="235"/>
    <x v="0"/>
    <x v="2"/>
    <x v="235"/>
    <x v="249"/>
  </r>
  <r>
    <x v="250"/>
    <x v="21"/>
    <x v="5"/>
    <x v="2"/>
    <x v="250"/>
    <x v="231"/>
    <x v="61"/>
    <x v="236"/>
    <x v="0"/>
    <x v="1"/>
    <x v="236"/>
    <x v="250"/>
  </r>
  <r>
    <x v="251"/>
    <x v="227"/>
    <x v="6"/>
    <x v="4"/>
    <x v="251"/>
    <x v="232"/>
    <x v="2"/>
    <x v="121"/>
    <x v="1"/>
    <x v="1"/>
    <x v="121"/>
    <x v="251"/>
  </r>
  <r>
    <x v="252"/>
    <x v="228"/>
    <x v="3"/>
    <x v="2"/>
    <x v="252"/>
    <x v="233"/>
    <x v="13"/>
    <x v="110"/>
    <x v="0"/>
    <x v="53"/>
    <x v="110"/>
    <x v="252"/>
  </r>
  <r>
    <x v="253"/>
    <x v="229"/>
    <x v="1"/>
    <x v="4"/>
    <x v="253"/>
    <x v="234"/>
    <x v="52"/>
    <x v="237"/>
    <x v="0"/>
    <x v="1"/>
    <x v="237"/>
    <x v="253"/>
  </r>
  <r>
    <x v="254"/>
    <x v="230"/>
    <x v="1"/>
    <x v="2"/>
    <x v="254"/>
    <x v="235"/>
    <x v="96"/>
    <x v="238"/>
    <x v="1"/>
    <x v="1"/>
    <x v="238"/>
    <x v="254"/>
  </r>
  <r>
    <x v="255"/>
    <x v="231"/>
    <x v="2"/>
    <x v="0"/>
    <x v="255"/>
    <x v="236"/>
    <x v="123"/>
    <x v="239"/>
    <x v="0"/>
    <x v="54"/>
    <x v="239"/>
    <x v="255"/>
  </r>
  <r>
    <x v="256"/>
    <x v="232"/>
    <x v="0"/>
    <x v="2"/>
    <x v="256"/>
    <x v="123"/>
    <x v="84"/>
    <x v="240"/>
    <x v="1"/>
    <x v="1"/>
    <x v="240"/>
    <x v="256"/>
  </r>
  <r>
    <x v="257"/>
    <x v="233"/>
    <x v="2"/>
    <x v="3"/>
    <x v="257"/>
    <x v="237"/>
    <x v="124"/>
    <x v="241"/>
    <x v="0"/>
    <x v="55"/>
    <x v="241"/>
    <x v="257"/>
  </r>
  <r>
    <x v="258"/>
    <x v="74"/>
    <x v="0"/>
    <x v="4"/>
    <x v="258"/>
    <x v="238"/>
    <x v="51"/>
    <x v="242"/>
    <x v="0"/>
    <x v="1"/>
    <x v="242"/>
    <x v="258"/>
  </r>
  <r>
    <x v="259"/>
    <x v="234"/>
    <x v="3"/>
    <x v="0"/>
    <x v="259"/>
    <x v="239"/>
    <x v="75"/>
    <x v="243"/>
    <x v="1"/>
    <x v="1"/>
    <x v="243"/>
    <x v="259"/>
  </r>
  <r>
    <x v="260"/>
    <x v="235"/>
    <x v="6"/>
    <x v="4"/>
    <x v="260"/>
    <x v="240"/>
    <x v="6"/>
    <x v="22"/>
    <x v="0"/>
    <x v="1"/>
    <x v="22"/>
    <x v="260"/>
  </r>
  <r>
    <x v="261"/>
    <x v="236"/>
    <x v="6"/>
    <x v="2"/>
    <x v="261"/>
    <x v="241"/>
    <x v="49"/>
    <x v="244"/>
    <x v="2"/>
    <x v="56"/>
    <x v="244"/>
    <x v="261"/>
  </r>
  <r>
    <x v="262"/>
    <x v="237"/>
    <x v="5"/>
    <x v="2"/>
    <x v="262"/>
    <x v="242"/>
    <x v="13"/>
    <x v="245"/>
    <x v="1"/>
    <x v="1"/>
    <x v="245"/>
    <x v="262"/>
  </r>
  <r>
    <x v="263"/>
    <x v="238"/>
    <x v="1"/>
    <x v="2"/>
    <x v="263"/>
    <x v="243"/>
    <x v="38"/>
    <x v="246"/>
    <x v="0"/>
    <x v="1"/>
    <x v="246"/>
    <x v="263"/>
  </r>
  <r>
    <x v="264"/>
    <x v="239"/>
    <x v="2"/>
    <x v="1"/>
    <x v="264"/>
    <x v="244"/>
    <x v="2"/>
    <x v="247"/>
    <x v="0"/>
    <x v="1"/>
    <x v="247"/>
    <x v="264"/>
  </r>
  <r>
    <x v="265"/>
    <x v="240"/>
    <x v="5"/>
    <x v="4"/>
    <x v="265"/>
    <x v="245"/>
    <x v="125"/>
    <x v="248"/>
    <x v="1"/>
    <x v="1"/>
    <x v="248"/>
    <x v="265"/>
  </r>
  <r>
    <x v="266"/>
    <x v="221"/>
    <x v="5"/>
    <x v="1"/>
    <x v="266"/>
    <x v="246"/>
    <x v="50"/>
    <x v="249"/>
    <x v="0"/>
    <x v="1"/>
    <x v="249"/>
    <x v="266"/>
  </r>
  <r>
    <x v="267"/>
    <x v="241"/>
    <x v="1"/>
    <x v="3"/>
    <x v="267"/>
    <x v="247"/>
    <x v="90"/>
    <x v="250"/>
    <x v="0"/>
    <x v="54"/>
    <x v="250"/>
    <x v="267"/>
  </r>
  <r>
    <x v="268"/>
    <x v="50"/>
    <x v="6"/>
    <x v="4"/>
    <x v="268"/>
    <x v="248"/>
    <x v="115"/>
    <x v="251"/>
    <x v="1"/>
    <x v="1"/>
    <x v="251"/>
    <x v="268"/>
  </r>
  <r>
    <x v="269"/>
    <x v="242"/>
    <x v="0"/>
    <x v="4"/>
    <x v="269"/>
    <x v="249"/>
    <x v="29"/>
    <x v="252"/>
    <x v="1"/>
    <x v="1"/>
    <x v="252"/>
    <x v="269"/>
  </r>
  <r>
    <x v="270"/>
    <x v="243"/>
    <x v="1"/>
    <x v="3"/>
    <x v="270"/>
    <x v="250"/>
    <x v="126"/>
    <x v="253"/>
    <x v="0"/>
    <x v="1"/>
    <x v="253"/>
    <x v="270"/>
  </r>
  <r>
    <x v="271"/>
    <x v="237"/>
    <x v="5"/>
    <x v="4"/>
    <x v="271"/>
    <x v="251"/>
    <x v="46"/>
    <x v="254"/>
    <x v="0"/>
    <x v="1"/>
    <x v="254"/>
    <x v="271"/>
  </r>
  <r>
    <x v="272"/>
    <x v="31"/>
    <x v="6"/>
    <x v="3"/>
    <x v="272"/>
    <x v="142"/>
    <x v="127"/>
    <x v="255"/>
    <x v="0"/>
    <x v="1"/>
    <x v="255"/>
    <x v="272"/>
  </r>
  <r>
    <x v="273"/>
    <x v="244"/>
    <x v="6"/>
    <x v="2"/>
    <x v="273"/>
    <x v="252"/>
    <x v="13"/>
    <x v="256"/>
    <x v="0"/>
    <x v="57"/>
    <x v="256"/>
    <x v="273"/>
  </r>
  <r>
    <x v="274"/>
    <x v="228"/>
    <x v="3"/>
    <x v="1"/>
    <x v="274"/>
    <x v="253"/>
    <x v="128"/>
    <x v="257"/>
    <x v="0"/>
    <x v="1"/>
    <x v="257"/>
    <x v="274"/>
  </r>
  <r>
    <x v="275"/>
    <x v="245"/>
    <x v="5"/>
    <x v="1"/>
    <x v="275"/>
    <x v="254"/>
    <x v="117"/>
    <x v="258"/>
    <x v="0"/>
    <x v="1"/>
    <x v="258"/>
    <x v="275"/>
  </r>
  <r>
    <x v="276"/>
    <x v="246"/>
    <x v="5"/>
    <x v="1"/>
    <x v="276"/>
    <x v="255"/>
    <x v="89"/>
    <x v="259"/>
    <x v="0"/>
    <x v="12"/>
    <x v="259"/>
    <x v="276"/>
  </r>
  <r>
    <x v="277"/>
    <x v="247"/>
    <x v="3"/>
    <x v="4"/>
    <x v="277"/>
    <x v="256"/>
    <x v="129"/>
    <x v="260"/>
    <x v="0"/>
    <x v="17"/>
    <x v="260"/>
    <x v="277"/>
  </r>
  <r>
    <x v="278"/>
    <x v="248"/>
    <x v="6"/>
    <x v="2"/>
    <x v="278"/>
    <x v="257"/>
    <x v="88"/>
    <x v="261"/>
    <x v="0"/>
    <x v="51"/>
    <x v="261"/>
    <x v="278"/>
  </r>
  <r>
    <x v="279"/>
    <x v="249"/>
    <x v="6"/>
    <x v="3"/>
    <x v="279"/>
    <x v="76"/>
    <x v="130"/>
    <x v="262"/>
    <x v="0"/>
    <x v="1"/>
    <x v="262"/>
    <x v="279"/>
  </r>
  <r>
    <x v="280"/>
    <x v="205"/>
    <x v="6"/>
    <x v="4"/>
    <x v="280"/>
    <x v="258"/>
    <x v="86"/>
    <x v="263"/>
    <x v="2"/>
    <x v="58"/>
    <x v="263"/>
    <x v="280"/>
  </r>
  <r>
    <x v="281"/>
    <x v="109"/>
    <x v="1"/>
    <x v="1"/>
    <x v="281"/>
    <x v="44"/>
    <x v="86"/>
    <x v="264"/>
    <x v="1"/>
    <x v="1"/>
    <x v="264"/>
    <x v="281"/>
  </r>
  <r>
    <x v="282"/>
    <x v="250"/>
    <x v="3"/>
    <x v="4"/>
    <x v="282"/>
    <x v="259"/>
    <x v="40"/>
    <x v="265"/>
    <x v="1"/>
    <x v="1"/>
    <x v="265"/>
    <x v="282"/>
  </r>
  <r>
    <x v="283"/>
    <x v="10"/>
    <x v="1"/>
    <x v="1"/>
    <x v="283"/>
    <x v="109"/>
    <x v="51"/>
    <x v="266"/>
    <x v="0"/>
    <x v="1"/>
    <x v="266"/>
    <x v="283"/>
  </r>
  <r>
    <x v="284"/>
    <x v="183"/>
    <x v="0"/>
    <x v="3"/>
    <x v="284"/>
    <x v="260"/>
    <x v="131"/>
    <x v="267"/>
    <x v="1"/>
    <x v="1"/>
    <x v="267"/>
    <x v="284"/>
  </r>
  <r>
    <x v="285"/>
    <x v="251"/>
    <x v="5"/>
    <x v="4"/>
    <x v="285"/>
    <x v="261"/>
    <x v="92"/>
    <x v="268"/>
    <x v="0"/>
    <x v="1"/>
    <x v="268"/>
    <x v="285"/>
  </r>
  <r>
    <x v="286"/>
    <x v="252"/>
    <x v="2"/>
    <x v="4"/>
    <x v="286"/>
    <x v="20"/>
    <x v="0"/>
    <x v="269"/>
    <x v="0"/>
    <x v="1"/>
    <x v="269"/>
    <x v="286"/>
  </r>
  <r>
    <x v="287"/>
    <x v="82"/>
    <x v="3"/>
    <x v="3"/>
    <x v="287"/>
    <x v="262"/>
    <x v="132"/>
    <x v="270"/>
    <x v="0"/>
    <x v="1"/>
    <x v="270"/>
    <x v="287"/>
  </r>
  <r>
    <x v="288"/>
    <x v="253"/>
    <x v="0"/>
    <x v="4"/>
    <x v="288"/>
    <x v="263"/>
    <x v="13"/>
    <x v="271"/>
    <x v="0"/>
    <x v="59"/>
    <x v="271"/>
    <x v="288"/>
  </r>
  <r>
    <x v="289"/>
    <x v="254"/>
    <x v="0"/>
    <x v="1"/>
    <x v="289"/>
    <x v="264"/>
    <x v="30"/>
    <x v="272"/>
    <x v="1"/>
    <x v="1"/>
    <x v="272"/>
    <x v="289"/>
  </r>
  <r>
    <x v="290"/>
    <x v="255"/>
    <x v="4"/>
    <x v="2"/>
    <x v="290"/>
    <x v="265"/>
    <x v="89"/>
    <x v="273"/>
    <x v="1"/>
    <x v="1"/>
    <x v="273"/>
    <x v="290"/>
  </r>
  <r>
    <x v="291"/>
    <x v="256"/>
    <x v="0"/>
    <x v="2"/>
    <x v="291"/>
    <x v="266"/>
    <x v="49"/>
    <x v="274"/>
    <x v="0"/>
    <x v="22"/>
    <x v="274"/>
    <x v="291"/>
  </r>
  <r>
    <x v="292"/>
    <x v="17"/>
    <x v="5"/>
    <x v="1"/>
    <x v="292"/>
    <x v="267"/>
    <x v="27"/>
    <x v="275"/>
    <x v="0"/>
    <x v="1"/>
    <x v="275"/>
    <x v="292"/>
  </r>
  <r>
    <x v="293"/>
    <x v="118"/>
    <x v="3"/>
    <x v="3"/>
    <x v="293"/>
    <x v="85"/>
    <x v="133"/>
    <x v="276"/>
    <x v="0"/>
    <x v="1"/>
    <x v="276"/>
    <x v="293"/>
  </r>
  <r>
    <x v="294"/>
    <x v="240"/>
    <x v="5"/>
    <x v="4"/>
    <x v="294"/>
    <x v="268"/>
    <x v="2"/>
    <x v="277"/>
    <x v="0"/>
    <x v="1"/>
    <x v="277"/>
    <x v="294"/>
  </r>
  <r>
    <x v="295"/>
    <x v="257"/>
    <x v="0"/>
    <x v="3"/>
    <x v="295"/>
    <x v="269"/>
    <x v="134"/>
    <x v="278"/>
    <x v="0"/>
    <x v="1"/>
    <x v="278"/>
    <x v="295"/>
  </r>
  <r>
    <x v="296"/>
    <x v="258"/>
    <x v="5"/>
    <x v="2"/>
    <x v="296"/>
    <x v="270"/>
    <x v="27"/>
    <x v="98"/>
    <x v="0"/>
    <x v="60"/>
    <x v="98"/>
    <x v="296"/>
  </r>
  <r>
    <x v="297"/>
    <x v="259"/>
    <x v="1"/>
    <x v="0"/>
    <x v="297"/>
    <x v="271"/>
    <x v="20"/>
    <x v="279"/>
    <x v="0"/>
    <x v="1"/>
    <x v="279"/>
    <x v="297"/>
  </r>
  <r>
    <x v="298"/>
    <x v="260"/>
    <x v="6"/>
    <x v="3"/>
    <x v="298"/>
    <x v="272"/>
    <x v="135"/>
    <x v="280"/>
    <x v="0"/>
    <x v="1"/>
    <x v="280"/>
    <x v="298"/>
  </r>
  <r>
    <x v="299"/>
    <x v="261"/>
    <x v="1"/>
    <x v="4"/>
    <x v="299"/>
    <x v="273"/>
    <x v="35"/>
    <x v="281"/>
    <x v="0"/>
    <x v="1"/>
    <x v="281"/>
    <x v="299"/>
  </r>
  <r>
    <x v="300"/>
    <x v="262"/>
    <x v="6"/>
    <x v="2"/>
    <x v="300"/>
    <x v="47"/>
    <x v="75"/>
    <x v="282"/>
    <x v="0"/>
    <x v="1"/>
    <x v="282"/>
    <x v="300"/>
  </r>
  <r>
    <x v="301"/>
    <x v="181"/>
    <x v="5"/>
    <x v="4"/>
    <x v="301"/>
    <x v="274"/>
    <x v="136"/>
    <x v="283"/>
    <x v="1"/>
    <x v="1"/>
    <x v="283"/>
    <x v="301"/>
  </r>
  <r>
    <x v="302"/>
    <x v="83"/>
    <x v="3"/>
    <x v="0"/>
    <x v="302"/>
    <x v="275"/>
    <x v="37"/>
    <x v="283"/>
    <x v="0"/>
    <x v="1"/>
    <x v="283"/>
    <x v="302"/>
  </r>
  <r>
    <x v="303"/>
    <x v="263"/>
    <x v="1"/>
    <x v="1"/>
    <x v="303"/>
    <x v="276"/>
    <x v="88"/>
    <x v="284"/>
    <x v="0"/>
    <x v="1"/>
    <x v="284"/>
    <x v="303"/>
  </r>
  <r>
    <x v="304"/>
    <x v="185"/>
    <x v="1"/>
    <x v="1"/>
    <x v="304"/>
    <x v="250"/>
    <x v="81"/>
    <x v="285"/>
    <x v="0"/>
    <x v="1"/>
    <x v="285"/>
    <x v="304"/>
  </r>
  <r>
    <x v="305"/>
    <x v="264"/>
    <x v="3"/>
    <x v="1"/>
    <x v="305"/>
    <x v="277"/>
    <x v="20"/>
    <x v="286"/>
    <x v="0"/>
    <x v="1"/>
    <x v="286"/>
    <x v="305"/>
  </r>
  <r>
    <x v="306"/>
    <x v="265"/>
    <x v="2"/>
    <x v="2"/>
    <x v="306"/>
    <x v="278"/>
    <x v="59"/>
    <x v="287"/>
    <x v="1"/>
    <x v="1"/>
    <x v="287"/>
    <x v="306"/>
  </r>
  <r>
    <x v="307"/>
    <x v="266"/>
    <x v="5"/>
    <x v="3"/>
    <x v="307"/>
    <x v="257"/>
    <x v="137"/>
    <x v="288"/>
    <x v="0"/>
    <x v="28"/>
    <x v="288"/>
    <x v="307"/>
  </r>
  <r>
    <x v="308"/>
    <x v="267"/>
    <x v="0"/>
    <x v="1"/>
    <x v="308"/>
    <x v="279"/>
    <x v="40"/>
    <x v="289"/>
    <x v="0"/>
    <x v="1"/>
    <x v="289"/>
    <x v="308"/>
  </r>
  <r>
    <x v="309"/>
    <x v="268"/>
    <x v="2"/>
    <x v="0"/>
    <x v="309"/>
    <x v="280"/>
    <x v="27"/>
    <x v="279"/>
    <x v="1"/>
    <x v="1"/>
    <x v="279"/>
    <x v="309"/>
  </r>
  <r>
    <x v="310"/>
    <x v="1"/>
    <x v="1"/>
    <x v="1"/>
    <x v="310"/>
    <x v="281"/>
    <x v="117"/>
    <x v="290"/>
    <x v="0"/>
    <x v="1"/>
    <x v="290"/>
    <x v="310"/>
  </r>
  <r>
    <x v="311"/>
    <x v="263"/>
    <x v="1"/>
    <x v="1"/>
    <x v="311"/>
    <x v="282"/>
    <x v="64"/>
    <x v="291"/>
    <x v="0"/>
    <x v="1"/>
    <x v="291"/>
    <x v="311"/>
  </r>
  <r>
    <x v="312"/>
    <x v="67"/>
    <x v="6"/>
    <x v="3"/>
    <x v="312"/>
    <x v="283"/>
    <x v="131"/>
    <x v="292"/>
    <x v="0"/>
    <x v="1"/>
    <x v="292"/>
    <x v="312"/>
  </r>
  <r>
    <x v="313"/>
    <x v="269"/>
    <x v="1"/>
    <x v="0"/>
    <x v="313"/>
    <x v="284"/>
    <x v="138"/>
    <x v="151"/>
    <x v="0"/>
    <x v="1"/>
    <x v="151"/>
    <x v="313"/>
  </r>
  <r>
    <x v="314"/>
    <x v="270"/>
    <x v="4"/>
    <x v="2"/>
    <x v="314"/>
    <x v="285"/>
    <x v="59"/>
    <x v="293"/>
    <x v="1"/>
    <x v="1"/>
    <x v="293"/>
    <x v="314"/>
  </r>
  <r>
    <x v="315"/>
    <x v="271"/>
    <x v="6"/>
    <x v="4"/>
    <x v="315"/>
    <x v="286"/>
    <x v="30"/>
    <x v="294"/>
    <x v="2"/>
    <x v="41"/>
    <x v="294"/>
    <x v="315"/>
  </r>
  <r>
    <x v="316"/>
    <x v="272"/>
    <x v="6"/>
    <x v="1"/>
    <x v="316"/>
    <x v="287"/>
    <x v="5"/>
    <x v="295"/>
    <x v="0"/>
    <x v="38"/>
    <x v="295"/>
    <x v="316"/>
  </r>
  <r>
    <x v="317"/>
    <x v="273"/>
    <x v="3"/>
    <x v="3"/>
    <x v="317"/>
    <x v="288"/>
    <x v="139"/>
    <x v="296"/>
    <x v="0"/>
    <x v="1"/>
    <x v="296"/>
    <x v="317"/>
  </r>
  <r>
    <x v="318"/>
    <x v="274"/>
    <x v="4"/>
    <x v="1"/>
    <x v="318"/>
    <x v="289"/>
    <x v="48"/>
    <x v="297"/>
    <x v="2"/>
    <x v="61"/>
    <x v="297"/>
    <x v="318"/>
  </r>
  <r>
    <x v="319"/>
    <x v="275"/>
    <x v="2"/>
    <x v="1"/>
    <x v="319"/>
    <x v="290"/>
    <x v="2"/>
    <x v="298"/>
    <x v="0"/>
    <x v="1"/>
    <x v="298"/>
    <x v="319"/>
  </r>
  <r>
    <x v="320"/>
    <x v="186"/>
    <x v="3"/>
    <x v="3"/>
    <x v="320"/>
    <x v="291"/>
    <x v="140"/>
    <x v="299"/>
    <x v="0"/>
    <x v="1"/>
    <x v="299"/>
    <x v="320"/>
  </r>
  <r>
    <x v="321"/>
    <x v="276"/>
    <x v="3"/>
    <x v="1"/>
    <x v="321"/>
    <x v="71"/>
    <x v="129"/>
    <x v="300"/>
    <x v="1"/>
    <x v="1"/>
    <x v="300"/>
    <x v="321"/>
  </r>
  <r>
    <x v="322"/>
    <x v="81"/>
    <x v="2"/>
    <x v="3"/>
    <x v="322"/>
    <x v="292"/>
    <x v="141"/>
    <x v="301"/>
    <x v="2"/>
    <x v="62"/>
    <x v="301"/>
    <x v="322"/>
  </r>
  <r>
    <x v="323"/>
    <x v="277"/>
    <x v="0"/>
    <x v="3"/>
    <x v="323"/>
    <x v="293"/>
    <x v="142"/>
    <x v="302"/>
    <x v="0"/>
    <x v="1"/>
    <x v="302"/>
    <x v="323"/>
  </r>
  <r>
    <x v="324"/>
    <x v="278"/>
    <x v="3"/>
    <x v="4"/>
    <x v="324"/>
    <x v="294"/>
    <x v="77"/>
    <x v="303"/>
    <x v="1"/>
    <x v="1"/>
    <x v="303"/>
    <x v="324"/>
  </r>
  <r>
    <x v="325"/>
    <x v="52"/>
    <x v="0"/>
    <x v="1"/>
    <x v="325"/>
    <x v="295"/>
    <x v="23"/>
    <x v="304"/>
    <x v="0"/>
    <x v="1"/>
    <x v="304"/>
    <x v="325"/>
  </r>
  <r>
    <x v="326"/>
    <x v="279"/>
    <x v="5"/>
    <x v="2"/>
    <x v="326"/>
    <x v="296"/>
    <x v="59"/>
    <x v="305"/>
    <x v="0"/>
    <x v="1"/>
    <x v="305"/>
    <x v="326"/>
  </r>
  <r>
    <x v="327"/>
    <x v="119"/>
    <x v="1"/>
    <x v="1"/>
    <x v="327"/>
    <x v="297"/>
    <x v="86"/>
    <x v="306"/>
    <x v="0"/>
    <x v="1"/>
    <x v="306"/>
    <x v="327"/>
  </r>
  <r>
    <x v="328"/>
    <x v="280"/>
    <x v="5"/>
    <x v="4"/>
    <x v="328"/>
    <x v="157"/>
    <x v="25"/>
    <x v="307"/>
    <x v="1"/>
    <x v="1"/>
    <x v="307"/>
    <x v="328"/>
  </r>
  <r>
    <x v="329"/>
    <x v="232"/>
    <x v="0"/>
    <x v="1"/>
    <x v="329"/>
    <x v="298"/>
    <x v="26"/>
    <x v="308"/>
    <x v="0"/>
    <x v="1"/>
    <x v="308"/>
    <x v="329"/>
  </r>
  <r>
    <x v="330"/>
    <x v="279"/>
    <x v="5"/>
    <x v="3"/>
    <x v="330"/>
    <x v="299"/>
    <x v="93"/>
    <x v="309"/>
    <x v="1"/>
    <x v="1"/>
    <x v="309"/>
    <x v="330"/>
  </r>
  <r>
    <x v="331"/>
    <x v="281"/>
    <x v="0"/>
    <x v="4"/>
    <x v="331"/>
    <x v="300"/>
    <x v="53"/>
    <x v="310"/>
    <x v="2"/>
    <x v="63"/>
    <x v="310"/>
    <x v="331"/>
  </r>
  <r>
    <x v="332"/>
    <x v="282"/>
    <x v="6"/>
    <x v="3"/>
    <x v="332"/>
    <x v="301"/>
    <x v="143"/>
    <x v="311"/>
    <x v="0"/>
    <x v="64"/>
    <x v="311"/>
    <x v="332"/>
  </r>
  <r>
    <x v="333"/>
    <x v="283"/>
    <x v="2"/>
    <x v="3"/>
    <x v="333"/>
    <x v="302"/>
    <x v="144"/>
    <x v="95"/>
    <x v="2"/>
    <x v="65"/>
    <x v="95"/>
    <x v="333"/>
  </r>
  <r>
    <x v="334"/>
    <x v="88"/>
    <x v="2"/>
    <x v="4"/>
    <x v="334"/>
    <x v="303"/>
    <x v="13"/>
    <x v="312"/>
    <x v="1"/>
    <x v="1"/>
    <x v="312"/>
    <x v="334"/>
  </r>
  <r>
    <x v="335"/>
    <x v="284"/>
    <x v="5"/>
    <x v="0"/>
    <x v="335"/>
    <x v="304"/>
    <x v="49"/>
    <x v="313"/>
    <x v="0"/>
    <x v="1"/>
    <x v="313"/>
    <x v="335"/>
  </r>
  <r>
    <x v="336"/>
    <x v="285"/>
    <x v="4"/>
    <x v="4"/>
    <x v="336"/>
    <x v="138"/>
    <x v="145"/>
    <x v="314"/>
    <x v="0"/>
    <x v="1"/>
    <x v="314"/>
    <x v="336"/>
  </r>
  <r>
    <x v="337"/>
    <x v="129"/>
    <x v="0"/>
    <x v="3"/>
    <x v="337"/>
    <x v="305"/>
    <x v="146"/>
    <x v="315"/>
    <x v="1"/>
    <x v="1"/>
    <x v="315"/>
    <x v="337"/>
  </r>
  <r>
    <x v="338"/>
    <x v="286"/>
    <x v="0"/>
    <x v="3"/>
    <x v="338"/>
    <x v="59"/>
    <x v="147"/>
    <x v="93"/>
    <x v="1"/>
    <x v="1"/>
    <x v="93"/>
    <x v="338"/>
  </r>
  <r>
    <x v="339"/>
    <x v="287"/>
    <x v="2"/>
    <x v="1"/>
    <x v="339"/>
    <x v="0"/>
    <x v="6"/>
    <x v="316"/>
    <x v="0"/>
    <x v="22"/>
    <x v="316"/>
    <x v="339"/>
  </r>
  <r>
    <x v="340"/>
    <x v="288"/>
    <x v="5"/>
    <x v="1"/>
    <x v="340"/>
    <x v="306"/>
    <x v="61"/>
    <x v="317"/>
    <x v="0"/>
    <x v="1"/>
    <x v="317"/>
    <x v="340"/>
  </r>
  <r>
    <x v="341"/>
    <x v="289"/>
    <x v="2"/>
    <x v="2"/>
    <x v="341"/>
    <x v="307"/>
    <x v="32"/>
    <x v="310"/>
    <x v="0"/>
    <x v="1"/>
    <x v="310"/>
    <x v="341"/>
  </r>
  <r>
    <x v="342"/>
    <x v="290"/>
    <x v="4"/>
    <x v="3"/>
    <x v="342"/>
    <x v="308"/>
    <x v="148"/>
    <x v="318"/>
    <x v="0"/>
    <x v="66"/>
    <x v="318"/>
    <x v="342"/>
  </r>
  <r>
    <x v="343"/>
    <x v="291"/>
    <x v="3"/>
    <x v="2"/>
    <x v="343"/>
    <x v="309"/>
    <x v="68"/>
    <x v="319"/>
    <x v="0"/>
    <x v="1"/>
    <x v="319"/>
    <x v="343"/>
  </r>
  <r>
    <x v="344"/>
    <x v="292"/>
    <x v="0"/>
    <x v="0"/>
    <x v="344"/>
    <x v="310"/>
    <x v="149"/>
    <x v="320"/>
    <x v="0"/>
    <x v="1"/>
    <x v="320"/>
    <x v="344"/>
  </r>
  <r>
    <x v="345"/>
    <x v="293"/>
    <x v="3"/>
    <x v="4"/>
    <x v="345"/>
    <x v="311"/>
    <x v="150"/>
    <x v="43"/>
    <x v="2"/>
    <x v="67"/>
    <x v="43"/>
    <x v="345"/>
  </r>
  <r>
    <x v="346"/>
    <x v="74"/>
    <x v="0"/>
    <x v="4"/>
    <x v="346"/>
    <x v="312"/>
    <x v="16"/>
    <x v="321"/>
    <x v="0"/>
    <x v="1"/>
    <x v="321"/>
    <x v="346"/>
  </r>
  <r>
    <x v="347"/>
    <x v="294"/>
    <x v="1"/>
    <x v="4"/>
    <x v="347"/>
    <x v="224"/>
    <x v="2"/>
    <x v="322"/>
    <x v="2"/>
    <x v="68"/>
    <x v="322"/>
    <x v="347"/>
  </r>
  <r>
    <x v="348"/>
    <x v="295"/>
    <x v="5"/>
    <x v="3"/>
    <x v="348"/>
    <x v="113"/>
    <x v="151"/>
    <x v="323"/>
    <x v="0"/>
    <x v="1"/>
    <x v="323"/>
    <x v="348"/>
  </r>
  <r>
    <x v="349"/>
    <x v="296"/>
    <x v="5"/>
    <x v="0"/>
    <x v="349"/>
    <x v="313"/>
    <x v="119"/>
    <x v="324"/>
    <x v="1"/>
    <x v="1"/>
    <x v="324"/>
    <x v="349"/>
  </r>
  <r>
    <x v="350"/>
    <x v="297"/>
    <x v="6"/>
    <x v="4"/>
    <x v="350"/>
    <x v="314"/>
    <x v="86"/>
    <x v="100"/>
    <x v="2"/>
    <x v="69"/>
    <x v="100"/>
    <x v="350"/>
  </r>
  <r>
    <x v="351"/>
    <x v="298"/>
    <x v="0"/>
    <x v="3"/>
    <x v="351"/>
    <x v="315"/>
    <x v="152"/>
    <x v="325"/>
    <x v="0"/>
    <x v="1"/>
    <x v="325"/>
    <x v="351"/>
  </r>
  <r>
    <x v="352"/>
    <x v="299"/>
    <x v="4"/>
    <x v="1"/>
    <x v="352"/>
    <x v="316"/>
    <x v="43"/>
    <x v="326"/>
    <x v="0"/>
    <x v="1"/>
    <x v="326"/>
    <x v="352"/>
  </r>
  <r>
    <x v="353"/>
    <x v="300"/>
    <x v="3"/>
    <x v="3"/>
    <x v="353"/>
    <x v="317"/>
    <x v="65"/>
    <x v="327"/>
    <x v="2"/>
    <x v="70"/>
    <x v="327"/>
    <x v="353"/>
  </r>
  <r>
    <x v="354"/>
    <x v="250"/>
    <x v="3"/>
    <x v="4"/>
    <x v="354"/>
    <x v="293"/>
    <x v="53"/>
    <x v="328"/>
    <x v="0"/>
    <x v="1"/>
    <x v="328"/>
    <x v="354"/>
  </r>
  <r>
    <x v="355"/>
    <x v="301"/>
    <x v="3"/>
    <x v="0"/>
    <x v="355"/>
    <x v="318"/>
    <x v="123"/>
    <x v="329"/>
    <x v="0"/>
    <x v="1"/>
    <x v="329"/>
    <x v="355"/>
  </r>
  <r>
    <x v="356"/>
    <x v="222"/>
    <x v="6"/>
    <x v="2"/>
    <x v="356"/>
    <x v="319"/>
    <x v="45"/>
    <x v="330"/>
    <x v="0"/>
    <x v="1"/>
    <x v="330"/>
    <x v="356"/>
  </r>
  <r>
    <x v="357"/>
    <x v="302"/>
    <x v="1"/>
    <x v="1"/>
    <x v="357"/>
    <x v="320"/>
    <x v="3"/>
    <x v="165"/>
    <x v="0"/>
    <x v="66"/>
    <x v="165"/>
    <x v="357"/>
  </r>
  <r>
    <x v="358"/>
    <x v="303"/>
    <x v="1"/>
    <x v="4"/>
    <x v="358"/>
    <x v="13"/>
    <x v="117"/>
    <x v="331"/>
    <x v="0"/>
    <x v="1"/>
    <x v="331"/>
    <x v="358"/>
  </r>
  <r>
    <x v="359"/>
    <x v="304"/>
    <x v="5"/>
    <x v="0"/>
    <x v="359"/>
    <x v="321"/>
    <x v="24"/>
    <x v="332"/>
    <x v="0"/>
    <x v="1"/>
    <x v="332"/>
    <x v="359"/>
  </r>
  <r>
    <x v="360"/>
    <x v="198"/>
    <x v="0"/>
    <x v="3"/>
    <x v="360"/>
    <x v="322"/>
    <x v="76"/>
    <x v="333"/>
    <x v="0"/>
    <x v="71"/>
    <x v="333"/>
    <x v="360"/>
  </r>
  <r>
    <x v="361"/>
    <x v="305"/>
    <x v="2"/>
    <x v="4"/>
    <x v="361"/>
    <x v="323"/>
    <x v="25"/>
    <x v="156"/>
    <x v="1"/>
    <x v="1"/>
    <x v="156"/>
    <x v="361"/>
  </r>
  <r>
    <x v="362"/>
    <x v="72"/>
    <x v="5"/>
    <x v="4"/>
    <x v="362"/>
    <x v="204"/>
    <x v="153"/>
    <x v="334"/>
    <x v="1"/>
    <x v="1"/>
    <x v="334"/>
    <x v="362"/>
  </r>
  <r>
    <x v="363"/>
    <x v="58"/>
    <x v="2"/>
    <x v="2"/>
    <x v="363"/>
    <x v="324"/>
    <x v="45"/>
    <x v="335"/>
    <x v="0"/>
    <x v="1"/>
    <x v="335"/>
    <x v="363"/>
  </r>
  <r>
    <x v="364"/>
    <x v="306"/>
    <x v="1"/>
    <x v="4"/>
    <x v="364"/>
    <x v="132"/>
    <x v="91"/>
    <x v="336"/>
    <x v="0"/>
    <x v="1"/>
    <x v="336"/>
    <x v="364"/>
  </r>
  <r>
    <x v="365"/>
    <x v="307"/>
    <x v="0"/>
    <x v="0"/>
    <x v="365"/>
    <x v="325"/>
    <x v="154"/>
    <x v="337"/>
    <x v="0"/>
    <x v="72"/>
    <x v="337"/>
    <x v="365"/>
  </r>
  <r>
    <x v="366"/>
    <x v="308"/>
    <x v="3"/>
    <x v="1"/>
    <x v="366"/>
    <x v="326"/>
    <x v="41"/>
    <x v="338"/>
    <x v="0"/>
    <x v="1"/>
    <x v="338"/>
    <x v="366"/>
  </r>
  <r>
    <x v="367"/>
    <x v="242"/>
    <x v="0"/>
    <x v="0"/>
    <x v="367"/>
    <x v="327"/>
    <x v="105"/>
    <x v="339"/>
    <x v="0"/>
    <x v="1"/>
    <x v="339"/>
    <x v="367"/>
  </r>
  <r>
    <x v="368"/>
    <x v="309"/>
    <x v="1"/>
    <x v="4"/>
    <x v="368"/>
    <x v="328"/>
    <x v="55"/>
    <x v="340"/>
    <x v="0"/>
    <x v="1"/>
    <x v="340"/>
    <x v="368"/>
  </r>
  <r>
    <x v="369"/>
    <x v="310"/>
    <x v="1"/>
    <x v="1"/>
    <x v="369"/>
    <x v="329"/>
    <x v="6"/>
    <x v="229"/>
    <x v="1"/>
    <x v="1"/>
    <x v="229"/>
    <x v="369"/>
  </r>
  <r>
    <x v="370"/>
    <x v="311"/>
    <x v="0"/>
    <x v="4"/>
    <x v="370"/>
    <x v="330"/>
    <x v="53"/>
    <x v="341"/>
    <x v="1"/>
    <x v="1"/>
    <x v="341"/>
    <x v="370"/>
  </r>
  <r>
    <x v="371"/>
    <x v="260"/>
    <x v="6"/>
    <x v="4"/>
    <x v="371"/>
    <x v="331"/>
    <x v="26"/>
    <x v="342"/>
    <x v="1"/>
    <x v="1"/>
    <x v="342"/>
    <x v="371"/>
  </r>
  <r>
    <x v="372"/>
    <x v="166"/>
    <x v="1"/>
    <x v="1"/>
    <x v="372"/>
    <x v="332"/>
    <x v="55"/>
    <x v="343"/>
    <x v="0"/>
    <x v="1"/>
    <x v="343"/>
    <x v="372"/>
  </r>
  <r>
    <x v="373"/>
    <x v="312"/>
    <x v="1"/>
    <x v="0"/>
    <x v="373"/>
    <x v="333"/>
    <x v="59"/>
    <x v="344"/>
    <x v="0"/>
    <x v="73"/>
    <x v="344"/>
    <x v="373"/>
  </r>
  <r>
    <x v="374"/>
    <x v="313"/>
    <x v="4"/>
    <x v="3"/>
    <x v="374"/>
    <x v="334"/>
    <x v="155"/>
    <x v="345"/>
    <x v="0"/>
    <x v="1"/>
    <x v="345"/>
    <x v="374"/>
  </r>
  <r>
    <x v="375"/>
    <x v="314"/>
    <x v="1"/>
    <x v="4"/>
    <x v="375"/>
    <x v="335"/>
    <x v="37"/>
    <x v="346"/>
    <x v="1"/>
    <x v="1"/>
    <x v="346"/>
    <x v="375"/>
  </r>
  <r>
    <x v="376"/>
    <x v="315"/>
    <x v="0"/>
    <x v="4"/>
    <x v="376"/>
    <x v="336"/>
    <x v="16"/>
    <x v="240"/>
    <x v="0"/>
    <x v="1"/>
    <x v="240"/>
    <x v="376"/>
  </r>
  <r>
    <x v="377"/>
    <x v="316"/>
    <x v="3"/>
    <x v="1"/>
    <x v="377"/>
    <x v="337"/>
    <x v="97"/>
    <x v="347"/>
    <x v="0"/>
    <x v="64"/>
    <x v="347"/>
    <x v="377"/>
  </r>
  <r>
    <x v="378"/>
    <x v="317"/>
    <x v="2"/>
    <x v="2"/>
    <x v="378"/>
    <x v="338"/>
    <x v="23"/>
    <x v="348"/>
    <x v="1"/>
    <x v="1"/>
    <x v="348"/>
    <x v="378"/>
  </r>
  <r>
    <x v="379"/>
    <x v="318"/>
    <x v="4"/>
    <x v="4"/>
    <x v="379"/>
    <x v="339"/>
    <x v="50"/>
    <x v="349"/>
    <x v="0"/>
    <x v="1"/>
    <x v="349"/>
    <x v="379"/>
  </r>
  <r>
    <x v="380"/>
    <x v="319"/>
    <x v="3"/>
    <x v="3"/>
    <x v="380"/>
    <x v="340"/>
    <x v="156"/>
    <x v="350"/>
    <x v="0"/>
    <x v="1"/>
    <x v="350"/>
    <x v="380"/>
  </r>
  <r>
    <x v="381"/>
    <x v="161"/>
    <x v="0"/>
    <x v="1"/>
    <x v="381"/>
    <x v="341"/>
    <x v="9"/>
    <x v="351"/>
    <x v="0"/>
    <x v="1"/>
    <x v="351"/>
    <x v="381"/>
  </r>
  <r>
    <x v="382"/>
    <x v="70"/>
    <x v="5"/>
    <x v="4"/>
    <x v="382"/>
    <x v="342"/>
    <x v="150"/>
    <x v="273"/>
    <x v="1"/>
    <x v="1"/>
    <x v="273"/>
    <x v="382"/>
  </r>
  <r>
    <x v="383"/>
    <x v="320"/>
    <x v="5"/>
    <x v="1"/>
    <x v="383"/>
    <x v="343"/>
    <x v="3"/>
    <x v="352"/>
    <x v="0"/>
    <x v="1"/>
    <x v="352"/>
    <x v="383"/>
  </r>
  <r>
    <x v="384"/>
    <x v="27"/>
    <x v="4"/>
    <x v="1"/>
    <x v="384"/>
    <x v="344"/>
    <x v="55"/>
    <x v="353"/>
    <x v="0"/>
    <x v="1"/>
    <x v="353"/>
    <x v="384"/>
  </r>
  <r>
    <x v="385"/>
    <x v="277"/>
    <x v="0"/>
    <x v="3"/>
    <x v="385"/>
    <x v="72"/>
    <x v="157"/>
    <x v="50"/>
    <x v="0"/>
    <x v="1"/>
    <x v="50"/>
    <x v="385"/>
  </r>
  <r>
    <x v="386"/>
    <x v="321"/>
    <x v="5"/>
    <x v="1"/>
    <x v="386"/>
    <x v="91"/>
    <x v="9"/>
    <x v="354"/>
    <x v="0"/>
    <x v="1"/>
    <x v="354"/>
    <x v="386"/>
  </r>
  <r>
    <x v="387"/>
    <x v="322"/>
    <x v="0"/>
    <x v="1"/>
    <x v="387"/>
    <x v="345"/>
    <x v="23"/>
    <x v="355"/>
    <x v="1"/>
    <x v="1"/>
    <x v="355"/>
    <x v="387"/>
  </r>
  <r>
    <x v="388"/>
    <x v="323"/>
    <x v="0"/>
    <x v="1"/>
    <x v="388"/>
    <x v="346"/>
    <x v="21"/>
    <x v="356"/>
    <x v="0"/>
    <x v="1"/>
    <x v="356"/>
    <x v="388"/>
  </r>
  <r>
    <x v="389"/>
    <x v="23"/>
    <x v="5"/>
    <x v="1"/>
    <x v="389"/>
    <x v="347"/>
    <x v="50"/>
    <x v="357"/>
    <x v="0"/>
    <x v="1"/>
    <x v="357"/>
    <x v="389"/>
  </r>
  <r>
    <x v="390"/>
    <x v="324"/>
    <x v="0"/>
    <x v="3"/>
    <x v="390"/>
    <x v="348"/>
    <x v="158"/>
    <x v="358"/>
    <x v="0"/>
    <x v="1"/>
    <x v="358"/>
    <x v="390"/>
  </r>
  <r>
    <x v="391"/>
    <x v="325"/>
    <x v="2"/>
    <x v="4"/>
    <x v="391"/>
    <x v="349"/>
    <x v="129"/>
    <x v="204"/>
    <x v="0"/>
    <x v="1"/>
    <x v="204"/>
    <x v="391"/>
  </r>
  <r>
    <x v="392"/>
    <x v="88"/>
    <x v="2"/>
    <x v="0"/>
    <x v="392"/>
    <x v="350"/>
    <x v="119"/>
    <x v="359"/>
    <x v="1"/>
    <x v="1"/>
    <x v="359"/>
    <x v="392"/>
  </r>
  <r>
    <x v="393"/>
    <x v="326"/>
    <x v="0"/>
    <x v="2"/>
    <x v="393"/>
    <x v="351"/>
    <x v="89"/>
    <x v="360"/>
    <x v="2"/>
    <x v="74"/>
    <x v="360"/>
    <x v="393"/>
  </r>
  <r>
    <x v="394"/>
    <x v="327"/>
    <x v="4"/>
    <x v="2"/>
    <x v="394"/>
    <x v="352"/>
    <x v="44"/>
    <x v="361"/>
    <x v="0"/>
    <x v="24"/>
    <x v="361"/>
    <x v="394"/>
  </r>
  <r>
    <x v="395"/>
    <x v="328"/>
    <x v="4"/>
    <x v="2"/>
    <x v="395"/>
    <x v="217"/>
    <x v="24"/>
    <x v="362"/>
    <x v="0"/>
    <x v="1"/>
    <x v="362"/>
    <x v="395"/>
  </r>
  <r>
    <x v="396"/>
    <x v="329"/>
    <x v="2"/>
    <x v="4"/>
    <x v="396"/>
    <x v="353"/>
    <x v="46"/>
    <x v="363"/>
    <x v="0"/>
    <x v="1"/>
    <x v="363"/>
    <x v="396"/>
  </r>
  <r>
    <x v="397"/>
    <x v="330"/>
    <x v="6"/>
    <x v="0"/>
    <x v="397"/>
    <x v="354"/>
    <x v="35"/>
    <x v="364"/>
    <x v="0"/>
    <x v="1"/>
    <x v="364"/>
    <x v="397"/>
  </r>
  <r>
    <x v="398"/>
    <x v="331"/>
    <x v="5"/>
    <x v="1"/>
    <x v="398"/>
    <x v="107"/>
    <x v="26"/>
    <x v="365"/>
    <x v="0"/>
    <x v="1"/>
    <x v="365"/>
    <x v="398"/>
  </r>
  <r>
    <x v="399"/>
    <x v="270"/>
    <x v="4"/>
    <x v="2"/>
    <x v="399"/>
    <x v="355"/>
    <x v="7"/>
    <x v="303"/>
    <x v="0"/>
    <x v="1"/>
    <x v="303"/>
    <x v="399"/>
  </r>
  <r>
    <x v="400"/>
    <x v="75"/>
    <x v="5"/>
    <x v="3"/>
    <x v="400"/>
    <x v="141"/>
    <x v="159"/>
    <x v="366"/>
    <x v="0"/>
    <x v="1"/>
    <x v="366"/>
    <x v="400"/>
  </r>
  <r>
    <x v="401"/>
    <x v="332"/>
    <x v="3"/>
    <x v="2"/>
    <x v="401"/>
    <x v="356"/>
    <x v="31"/>
    <x v="127"/>
    <x v="0"/>
    <x v="55"/>
    <x v="127"/>
    <x v="401"/>
  </r>
  <r>
    <x v="402"/>
    <x v="333"/>
    <x v="1"/>
    <x v="0"/>
    <x v="402"/>
    <x v="357"/>
    <x v="3"/>
    <x v="367"/>
    <x v="0"/>
    <x v="1"/>
    <x v="367"/>
    <x v="402"/>
  </r>
  <r>
    <x v="403"/>
    <x v="20"/>
    <x v="6"/>
    <x v="3"/>
    <x v="403"/>
    <x v="358"/>
    <x v="110"/>
    <x v="60"/>
    <x v="2"/>
    <x v="75"/>
    <x v="60"/>
    <x v="403"/>
  </r>
  <r>
    <x v="404"/>
    <x v="334"/>
    <x v="5"/>
    <x v="2"/>
    <x v="404"/>
    <x v="359"/>
    <x v="27"/>
    <x v="368"/>
    <x v="1"/>
    <x v="1"/>
    <x v="368"/>
    <x v="404"/>
  </r>
  <r>
    <x v="405"/>
    <x v="335"/>
    <x v="3"/>
    <x v="1"/>
    <x v="405"/>
    <x v="360"/>
    <x v="27"/>
    <x v="369"/>
    <x v="2"/>
    <x v="9"/>
    <x v="369"/>
    <x v="405"/>
  </r>
  <r>
    <x v="406"/>
    <x v="336"/>
    <x v="1"/>
    <x v="0"/>
    <x v="406"/>
    <x v="361"/>
    <x v="160"/>
    <x v="370"/>
    <x v="0"/>
    <x v="1"/>
    <x v="370"/>
    <x v="406"/>
  </r>
  <r>
    <x v="407"/>
    <x v="67"/>
    <x v="6"/>
    <x v="0"/>
    <x v="407"/>
    <x v="362"/>
    <x v="36"/>
    <x v="371"/>
    <x v="0"/>
    <x v="1"/>
    <x v="371"/>
    <x v="407"/>
  </r>
  <r>
    <x v="408"/>
    <x v="337"/>
    <x v="2"/>
    <x v="1"/>
    <x v="408"/>
    <x v="66"/>
    <x v="36"/>
    <x v="372"/>
    <x v="1"/>
    <x v="1"/>
    <x v="372"/>
    <x v="408"/>
  </r>
  <r>
    <x v="409"/>
    <x v="145"/>
    <x v="0"/>
    <x v="2"/>
    <x v="409"/>
    <x v="363"/>
    <x v="84"/>
    <x v="373"/>
    <x v="0"/>
    <x v="1"/>
    <x v="373"/>
    <x v="409"/>
  </r>
  <r>
    <x v="410"/>
    <x v="338"/>
    <x v="3"/>
    <x v="3"/>
    <x v="410"/>
    <x v="364"/>
    <x v="161"/>
    <x v="374"/>
    <x v="0"/>
    <x v="1"/>
    <x v="374"/>
    <x v="410"/>
  </r>
  <r>
    <x v="411"/>
    <x v="339"/>
    <x v="2"/>
    <x v="0"/>
    <x v="411"/>
    <x v="365"/>
    <x v="125"/>
    <x v="375"/>
    <x v="0"/>
    <x v="1"/>
    <x v="375"/>
    <x v="411"/>
  </r>
  <r>
    <x v="412"/>
    <x v="340"/>
    <x v="3"/>
    <x v="3"/>
    <x v="412"/>
    <x v="366"/>
    <x v="162"/>
    <x v="376"/>
    <x v="1"/>
    <x v="1"/>
    <x v="376"/>
    <x v="412"/>
  </r>
  <r>
    <x v="413"/>
    <x v="341"/>
    <x v="6"/>
    <x v="4"/>
    <x v="413"/>
    <x v="367"/>
    <x v="72"/>
    <x v="377"/>
    <x v="1"/>
    <x v="1"/>
    <x v="377"/>
    <x v="413"/>
  </r>
  <r>
    <x v="414"/>
    <x v="60"/>
    <x v="1"/>
    <x v="4"/>
    <x v="414"/>
    <x v="368"/>
    <x v="125"/>
    <x v="378"/>
    <x v="0"/>
    <x v="1"/>
    <x v="378"/>
    <x v="414"/>
  </r>
  <r>
    <x v="415"/>
    <x v="207"/>
    <x v="3"/>
    <x v="0"/>
    <x v="415"/>
    <x v="369"/>
    <x v="75"/>
    <x v="379"/>
    <x v="1"/>
    <x v="1"/>
    <x v="379"/>
    <x v="415"/>
  </r>
  <r>
    <x v="416"/>
    <x v="342"/>
    <x v="5"/>
    <x v="3"/>
    <x v="416"/>
    <x v="370"/>
    <x v="163"/>
    <x v="380"/>
    <x v="0"/>
    <x v="1"/>
    <x v="380"/>
    <x v="416"/>
  </r>
  <r>
    <x v="417"/>
    <x v="343"/>
    <x v="0"/>
    <x v="1"/>
    <x v="417"/>
    <x v="371"/>
    <x v="68"/>
    <x v="381"/>
    <x v="1"/>
    <x v="1"/>
    <x v="381"/>
    <x v="417"/>
  </r>
  <r>
    <x v="418"/>
    <x v="11"/>
    <x v="4"/>
    <x v="1"/>
    <x v="418"/>
    <x v="372"/>
    <x v="7"/>
    <x v="382"/>
    <x v="0"/>
    <x v="1"/>
    <x v="382"/>
    <x v="418"/>
  </r>
  <r>
    <x v="419"/>
    <x v="98"/>
    <x v="5"/>
    <x v="3"/>
    <x v="419"/>
    <x v="373"/>
    <x v="164"/>
    <x v="383"/>
    <x v="0"/>
    <x v="1"/>
    <x v="383"/>
    <x v="419"/>
  </r>
  <r>
    <x v="420"/>
    <x v="323"/>
    <x v="0"/>
    <x v="3"/>
    <x v="420"/>
    <x v="374"/>
    <x v="165"/>
    <x v="384"/>
    <x v="1"/>
    <x v="1"/>
    <x v="384"/>
    <x v="420"/>
  </r>
  <r>
    <x v="421"/>
    <x v="344"/>
    <x v="4"/>
    <x v="0"/>
    <x v="421"/>
    <x v="375"/>
    <x v="9"/>
    <x v="374"/>
    <x v="1"/>
    <x v="1"/>
    <x v="374"/>
    <x v="421"/>
  </r>
  <r>
    <x v="422"/>
    <x v="345"/>
    <x v="1"/>
    <x v="4"/>
    <x v="422"/>
    <x v="376"/>
    <x v="29"/>
    <x v="385"/>
    <x v="0"/>
    <x v="1"/>
    <x v="385"/>
    <x v="422"/>
  </r>
  <r>
    <x v="423"/>
    <x v="346"/>
    <x v="2"/>
    <x v="3"/>
    <x v="423"/>
    <x v="218"/>
    <x v="166"/>
    <x v="386"/>
    <x v="0"/>
    <x v="1"/>
    <x v="386"/>
    <x v="423"/>
  </r>
  <r>
    <x v="424"/>
    <x v="307"/>
    <x v="0"/>
    <x v="1"/>
    <x v="424"/>
    <x v="377"/>
    <x v="28"/>
    <x v="387"/>
    <x v="1"/>
    <x v="1"/>
    <x v="387"/>
    <x v="424"/>
  </r>
  <r>
    <x v="425"/>
    <x v="347"/>
    <x v="3"/>
    <x v="2"/>
    <x v="425"/>
    <x v="378"/>
    <x v="88"/>
    <x v="388"/>
    <x v="1"/>
    <x v="1"/>
    <x v="388"/>
    <x v="425"/>
  </r>
  <r>
    <x v="426"/>
    <x v="348"/>
    <x v="3"/>
    <x v="3"/>
    <x v="426"/>
    <x v="379"/>
    <x v="167"/>
    <x v="389"/>
    <x v="0"/>
    <x v="1"/>
    <x v="389"/>
    <x v="426"/>
  </r>
  <r>
    <x v="427"/>
    <x v="274"/>
    <x v="4"/>
    <x v="3"/>
    <x v="427"/>
    <x v="380"/>
    <x v="168"/>
    <x v="390"/>
    <x v="0"/>
    <x v="1"/>
    <x v="390"/>
    <x v="427"/>
  </r>
  <r>
    <x v="428"/>
    <x v="349"/>
    <x v="6"/>
    <x v="4"/>
    <x v="428"/>
    <x v="381"/>
    <x v="150"/>
    <x v="391"/>
    <x v="0"/>
    <x v="1"/>
    <x v="391"/>
    <x v="428"/>
  </r>
  <r>
    <x v="429"/>
    <x v="184"/>
    <x v="5"/>
    <x v="1"/>
    <x v="429"/>
    <x v="382"/>
    <x v="129"/>
    <x v="392"/>
    <x v="0"/>
    <x v="1"/>
    <x v="392"/>
    <x v="429"/>
  </r>
  <r>
    <x v="430"/>
    <x v="350"/>
    <x v="4"/>
    <x v="3"/>
    <x v="430"/>
    <x v="383"/>
    <x v="169"/>
    <x v="189"/>
    <x v="0"/>
    <x v="1"/>
    <x v="189"/>
    <x v="430"/>
  </r>
  <r>
    <x v="431"/>
    <x v="351"/>
    <x v="2"/>
    <x v="4"/>
    <x v="431"/>
    <x v="384"/>
    <x v="128"/>
    <x v="393"/>
    <x v="1"/>
    <x v="1"/>
    <x v="393"/>
    <x v="431"/>
  </r>
  <r>
    <x v="432"/>
    <x v="352"/>
    <x v="4"/>
    <x v="3"/>
    <x v="432"/>
    <x v="385"/>
    <x v="170"/>
    <x v="394"/>
    <x v="0"/>
    <x v="76"/>
    <x v="394"/>
    <x v="432"/>
  </r>
  <r>
    <x v="433"/>
    <x v="32"/>
    <x v="0"/>
    <x v="0"/>
    <x v="433"/>
    <x v="53"/>
    <x v="119"/>
    <x v="395"/>
    <x v="0"/>
    <x v="1"/>
    <x v="395"/>
    <x v="433"/>
  </r>
  <r>
    <x v="434"/>
    <x v="353"/>
    <x v="5"/>
    <x v="1"/>
    <x v="434"/>
    <x v="149"/>
    <x v="75"/>
    <x v="396"/>
    <x v="0"/>
    <x v="1"/>
    <x v="396"/>
    <x v="434"/>
  </r>
  <r>
    <x v="435"/>
    <x v="354"/>
    <x v="6"/>
    <x v="3"/>
    <x v="435"/>
    <x v="386"/>
    <x v="131"/>
    <x v="397"/>
    <x v="0"/>
    <x v="1"/>
    <x v="397"/>
    <x v="435"/>
  </r>
  <r>
    <x v="436"/>
    <x v="355"/>
    <x v="1"/>
    <x v="4"/>
    <x v="436"/>
    <x v="387"/>
    <x v="13"/>
    <x v="272"/>
    <x v="0"/>
    <x v="1"/>
    <x v="272"/>
    <x v="436"/>
  </r>
  <r>
    <x v="437"/>
    <x v="356"/>
    <x v="5"/>
    <x v="2"/>
    <x v="437"/>
    <x v="388"/>
    <x v="89"/>
    <x v="398"/>
    <x v="0"/>
    <x v="1"/>
    <x v="398"/>
    <x v="437"/>
  </r>
  <r>
    <x v="438"/>
    <x v="163"/>
    <x v="6"/>
    <x v="1"/>
    <x v="438"/>
    <x v="389"/>
    <x v="30"/>
    <x v="399"/>
    <x v="0"/>
    <x v="1"/>
    <x v="399"/>
    <x v="438"/>
  </r>
  <r>
    <x v="439"/>
    <x v="52"/>
    <x v="0"/>
    <x v="0"/>
    <x v="439"/>
    <x v="390"/>
    <x v="2"/>
    <x v="400"/>
    <x v="0"/>
    <x v="1"/>
    <x v="400"/>
    <x v="439"/>
  </r>
  <r>
    <x v="440"/>
    <x v="357"/>
    <x v="2"/>
    <x v="2"/>
    <x v="440"/>
    <x v="391"/>
    <x v="45"/>
    <x v="401"/>
    <x v="2"/>
    <x v="77"/>
    <x v="401"/>
    <x v="440"/>
  </r>
  <r>
    <x v="441"/>
    <x v="358"/>
    <x v="2"/>
    <x v="2"/>
    <x v="441"/>
    <x v="354"/>
    <x v="32"/>
    <x v="402"/>
    <x v="1"/>
    <x v="1"/>
    <x v="402"/>
    <x v="441"/>
  </r>
  <r>
    <x v="442"/>
    <x v="229"/>
    <x v="1"/>
    <x v="1"/>
    <x v="442"/>
    <x v="392"/>
    <x v="27"/>
    <x v="403"/>
    <x v="1"/>
    <x v="1"/>
    <x v="403"/>
    <x v="442"/>
  </r>
  <r>
    <x v="443"/>
    <x v="359"/>
    <x v="2"/>
    <x v="0"/>
    <x v="443"/>
    <x v="393"/>
    <x v="52"/>
    <x v="404"/>
    <x v="2"/>
    <x v="78"/>
    <x v="404"/>
    <x v="443"/>
  </r>
  <r>
    <x v="444"/>
    <x v="360"/>
    <x v="6"/>
    <x v="2"/>
    <x v="444"/>
    <x v="335"/>
    <x v="9"/>
    <x v="405"/>
    <x v="0"/>
    <x v="79"/>
    <x v="405"/>
    <x v="444"/>
  </r>
  <r>
    <x v="445"/>
    <x v="361"/>
    <x v="3"/>
    <x v="4"/>
    <x v="445"/>
    <x v="394"/>
    <x v="51"/>
    <x v="406"/>
    <x v="0"/>
    <x v="1"/>
    <x v="406"/>
    <x v="445"/>
  </r>
  <r>
    <x v="446"/>
    <x v="362"/>
    <x v="1"/>
    <x v="3"/>
    <x v="446"/>
    <x v="395"/>
    <x v="171"/>
    <x v="407"/>
    <x v="0"/>
    <x v="1"/>
    <x v="407"/>
    <x v="446"/>
  </r>
  <r>
    <x v="447"/>
    <x v="126"/>
    <x v="5"/>
    <x v="4"/>
    <x v="447"/>
    <x v="185"/>
    <x v="172"/>
    <x v="408"/>
    <x v="0"/>
    <x v="80"/>
    <x v="408"/>
    <x v="447"/>
  </r>
  <r>
    <x v="448"/>
    <x v="363"/>
    <x v="5"/>
    <x v="1"/>
    <x v="448"/>
    <x v="396"/>
    <x v="55"/>
    <x v="409"/>
    <x v="0"/>
    <x v="1"/>
    <x v="409"/>
    <x v="448"/>
  </r>
  <r>
    <x v="449"/>
    <x v="282"/>
    <x v="6"/>
    <x v="1"/>
    <x v="449"/>
    <x v="57"/>
    <x v="21"/>
    <x v="305"/>
    <x v="1"/>
    <x v="1"/>
    <x v="305"/>
    <x v="449"/>
  </r>
  <r>
    <x v="450"/>
    <x v="92"/>
    <x v="4"/>
    <x v="4"/>
    <x v="450"/>
    <x v="397"/>
    <x v="62"/>
    <x v="410"/>
    <x v="0"/>
    <x v="1"/>
    <x v="410"/>
    <x v="450"/>
  </r>
  <r>
    <x v="451"/>
    <x v="126"/>
    <x v="5"/>
    <x v="1"/>
    <x v="451"/>
    <x v="151"/>
    <x v="88"/>
    <x v="411"/>
    <x v="0"/>
    <x v="1"/>
    <x v="411"/>
    <x v="451"/>
  </r>
  <r>
    <x v="452"/>
    <x v="288"/>
    <x v="5"/>
    <x v="0"/>
    <x v="452"/>
    <x v="398"/>
    <x v="113"/>
    <x v="3"/>
    <x v="0"/>
    <x v="1"/>
    <x v="3"/>
    <x v="452"/>
  </r>
  <r>
    <x v="453"/>
    <x v="364"/>
    <x v="4"/>
    <x v="1"/>
    <x v="453"/>
    <x v="399"/>
    <x v="38"/>
    <x v="412"/>
    <x v="0"/>
    <x v="71"/>
    <x v="412"/>
    <x v="453"/>
  </r>
  <r>
    <x v="454"/>
    <x v="365"/>
    <x v="4"/>
    <x v="1"/>
    <x v="454"/>
    <x v="400"/>
    <x v="20"/>
    <x v="413"/>
    <x v="0"/>
    <x v="1"/>
    <x v="413"/>
    <x v="454"/>
  </r>
  <r>
    <x v="455"/>
    <x v="189"/>
    <x v="4"/>
    <x v="1"/>
    <x v="455"/>
    <x v="315"/>
    <x v="43"/>
    <x v="301"/>
    <x v="0"/>
    <x v="1"/>
    <x v="301"/>
    <x v="455"/>
  </r>
  <r>
    <x v="456"/>
    <x v="366"/>
    <x v="6"/>
    <x v="4"/>
    <x v="456"/>
    <x v="401"/>
    <x v="29"/>
    <x v="414"/>
    <x v="0"/>
    <x v="1"/>
    <x v="414"/>
    <x v="456"/>
  </r>
  <r>
    <x v="457"/>
    <x v="150"/>
    <x v="6"/>
    <x v="2"/>
    <x v="457"/>
    <x v="291"/>
    <x v="32"/>
    <x v="95"/>
    <x v="0"/>
    <x v="1"/>
    <x v="95"/>
    <x v="457"/>
  </r>
  <r>
    <x v="458"/>
    <x v="50"/>
    <x v="6"/>
    <x v="1"/>
    <x v="458"/>
    <x v="402"/>
    <x v="45"/>
    <x v="415"/>
    <x v="1"/>
    <x v="1"/>
    <x v="415"/>
    <x v="458"/>
  </r>
  <r>
    <x v="459"/>
    <x v="367"/>
    <x v="0"/>
    <x v="3"/>
    <x v="459"/>
    <x v="403"/>
    <x v="173"/>
    <x v="416"/>
    <x v="0"/>
    <x v="1"/>
    <x v="416"/>
    <x v="459"/>
  </r>
  <r>
    <x v="460"/>
    <x v="368"/>
    <x v="0"/>
    <x v="4"/>
    <x v="460"/>
    <x v="404"/>
    <x v="97"/>
    <x v="417"/>
    <x v="0"/>
    <x v="1"/>
    <x v="417"/>
    <x v="460"/>
  </r>
  <r>
    <x v="461"/>
    <x v="85"/>
    <x v="5"/>
    <x v="1"/>
    <x v="461"/>
    <x v="405"/>
    <x v="5"/>
    <x v="418"/>
    <x v="1"/>
    <x v="1"/>
    <x v="418"/>
    <x v="461"/>
  </r>
  <r>
    <x v="462"/>
    <x v="147"/>
    <x v="0"/>
    <x v="3"/>
    <x v="462"/>
    <x v="406"/>
    <x v="174"/>
    <x v="419"/>
    <x v="2"/>
    <x v="81"/>
    <x v="419"/>
    <x v="462"/>
  </r>
  <r>
    <x v="463"/>
    <x v="369"/>
    <x v="4"/>
    <x v="2"/>
    <x v="463"/>
    <x v="407"/>
    <x v="13"/>
    <x v="420"/>
    <x v="0"/>
    <x v="1"/>
    <x v="420"/>
    <x v="463"/>
  </r>
  <r>
    <x v="464"/>
    <x v="370"/>
    <x v="0"/>
    <x v="3"/>
    <x v="464"/>
    <x v="408"/>
    <x v="175"/>
    <x v="421"/>
    <x v="0"/>
    <x v="1"/>
    <x v="421"/>
    <x v="464"/>
  </r>
  <r>
    <x v="465"/>
    <x v="371"/>
    <x v="5"/>
    <x v="1"/>
    <x v="465"/>
    <x v="10"/>
    <x v="32"/>
    <x v="422"/>
    <x v="1"/>
    <x v="1"/>
    <x v="422"/>
    <x v="465"/>
  </r>
  <r>
    <x v="466"/>
    <x v="372"/>
    <x v="3"/>
    <x v="0"/>
    <x v="466"/>
    <x v="165"/>
    <x v="24"/>
    <x v="254"/>
    <x v="0"/>
    <x v="1"/>
    <x v="254"/>
    <x v="466"/>
  </r>
  <r>
    <x v="467"/>
    <x v="279"/>
    <x v="5"/>
    <x v="4"/>
    <x v="467"/>
    <x v="409"/>
    <x v="86"/>
    <x v="423"/>
    <x v="0"/>
    <x v="1"/>
    <x v="423"/>
    <x v="467"/>
  </r>
  <r>
    <x v="468"/>
    <x v="373"/>
    <x v="5"/>
    <x v="4"/>
    <x v="468"/>
    <x v="82"/>
    <x v="31"/>
    <x v="424"/>
    <x v="0"/>
    <x v="1"/>
    <x v="424"/>
    <x v="468"/>
  </r>
  <r>
    <x v="469"/>
    <x v="374"/>
    <x v="4"/>
    <x v="1"/>
    <x v="469"/>
    <x v="410"/>
    <x v="68"/>
    <x v="425"/>
    <x v="1"/>
    <x v="1"/>
    <x v="425"/>
    <x v="469"/>
  </r>
  <r>
    <x v="470"/>
    <x v="199"/>
    <x v="0"/>
    <x v="0"/>
    <x v="470"/>
    <x v="411"/>
    <x v="20"/>
    <x v="426"/>
    <x v="1"/>
    <x v="1"/>
    <x v="426"/>
    <x v="470"/>
  </r>
  <r>
    <x v="471"/>
    <x v="375"/>
    <x v="3"/>
    <x v="4"/>
    <x v="471"/>
    <x v="412"/>
    <x v="172"/>
    <x v="427"/>
    <x v="0"/>
    <x v="1"/>
    <x v="427"/>
    <x v="471"/>
  </r>
  <r>
    <x v="472"/>
    <x v="376"/>
    <x v="5"/>
    <x v="1"/>
    <x v="472"/>
    <x v="413"/>
    <x v="64"/>
    <x v="356"/>
    <x v="0"/>
    <x v="1"/>
    <x v="356"/>
    <x v="472"/>
  </r>
  <r>
    <x v="473"/>
    <x v="377"/>
    <x v="3"/>
    <x v="3"/>
    <x v="473"/>
    <x v="198"/>
    <x v="139"/>
    <x v="428"/>
    <x v="0"/>
    <x v="1"/>
    <x v="428"/>
    <x v="473"/>
  </r>
  <r>
    <x v="474"/>
    <x v="378"/>
    <x v="2"/>
    <x v="1"/>
    <x v="474"/>
    <x v="414"/>
    <x v="4"/>
    <x v="429"/>
    <x v="0"/>
    <x v="1"/>
    <x v="429"/>
    <x v="474"/>
  </r>
  <r>
    <x v="475"/>
    <x v="58"/>
    <x v="2"/>
    <x v="4"/>
    <x v="475"/>
    <x v="415"/>
    <x v="55"/>
    <x v="430"/>
    <x v="0"/>
    <x v="1"/>
    <x v="430"/>
    <x v="475"/>
  </r>
  <r>
    <x v="476"/>
    <x v="58"/>
    <x v="2"/>
    <x v="0"/>
    <x v="476"/>
    <x v="186"/>
    <x v="31"/>
    <x v="431"/>
    <x v="0"/>
    <x v="1"/>
    <x v="431"/>
    <x v="476"/>
  </r>
  <r>
    <x v="477"/>
    <x v="379"/>
    <x v="2"/>
    <x v="2"/>
    <x v="477"/>
    <x v="416"/>
    <x v="9"/>
    <x v="81"/>
    <x v="0"/>
    <x v="38"/>
    <x v="81"/>
    <x v="477"/>
  </r>
  <r>
    <x v="478"/>
    <x v="380"/>
    <x v="1"/>
    <x v="0"/>
    <x v="478"/>
    <x v="417"/>
    <x v="172"/>
    <x v="432"/>
    <x v="0"/>
    <x v="1"/>
    <x v="432"/>
    <x v="478"/>
  </r>
  <r>
    <x v="479"/>
    <x v="227"/>
    <x v="6"/>
    <x v="3"/>
    <x v="479"/>
    <x v="418"/>
    <x v="176"/>
    <x v="433"/>
    <x v="0"/>
    <x v="1"/>
    <x v="433"/>
    <x v="479"/>
  </r>
  <r>
    <x v="480"/>
    <x v="381"/>
    <x v="0"/>
    <x v="4"/>
    <x v="480"/>
    <x v="419"/>
    <x v="46"/>
    <x v="434"/>
    <x v="1"/>
    <x v="1"/>
    <x v="434"/>
    <x v="480"/>
  </r>
  <r>
    <x v="481"/>
    <x v="382"/>
    <x v="0"/>
    <x v="0"/>
    <x v="481"/>
    <x v="420"/>
    <x v="177"/>
    <x v="435"/>
    <x v="1"/>
    <x v="1"/>
    <x v="435"/>
    <x v="481"/>
  </r>
  <r>
    <x v="482"/>
    <x v="46"/>
    <x v="5"/>
    <x v="4"/>
    <x v="482"/>
    <x v="421"/>
    <x v="153"/>
    <x v="436"/>
    <x v="0"/>
    <x v="1"/>
    <x v="436"/>
    <x v="482"/>
  </r>
  <r>
    <x v="483"/>
    <x v="140"/>
    <x v="1"/>
    <x v="2"/>
    <x v="483"/>
    <x v="422"/>
    <x v="48"/>
    <x v="344"/>
    <x v="0"/>
    <x v="1"/>
    <x v="344"/>
    <x v="483"/>
  </r>
  <r>
    <x v="484"/>
    <x v="5"/>
    <x v="1"/>
    <x v="4"/>
    <x v="484"/>
    <x v="423"/>
    <x v="92"/>
    <x v="437"/>
    <x v="0"/>
    <x v="1"/>
    <x v="437"/>
    <x v="484"/>
  </r>
  <r>
    <x v="485"/>
    <x v="383"/>
    <x v="1"/>
    <x v="2"/>
    <x v="485"/>
    <x v="218"/>
    <x v="68"/>
    <x v="104"/>
    <x v="1"/>
    <x v="1"/>
    <x v="104"/>
    <x v="485"/>
  </r>
  <r>
    <x v="486"/>
    <x v="384"/>
    <x v="6"/>
    <x v="4"/>
    <x v="486"/>
    <x v="424"/>
    <x v="100"/>
    <x v="438"/>
    <x v="1"/>
    <x v="1"/>
    <x v="438"/>
    <x v="486"/>
  </r>
  <r>
    <x v="487"/>
    <x v="385"/>
    <x v="2"/>
    <x v="1"/>
    <x v="487"/>
    <x v="425"/>
    <x v="16"/>
    <x v="400"/>
    <x v="1"/>
    <x v="1"/>
    <x v="400"/>
    <x v="487"/>
  </r>
  <r>
    <x v="488"/>
    <x v="386"/>
    <x v="1"/>
    <x v="3"/>
    <x v="488"/>
    <x v="351"/>
    <x v="168"/>
    <x v="439"/>
    <x v="0"/>
    <x v="1"/>
    <x v="439"/>
    <x v="488"/>
  </r>
  <r>
    <x v="489"/>
    <x v="158"/>
    <x v="3"/>
    <x v="1"/>
    <x v="489"/>
    <x v="426"/>
    <x v="89"/>
    <x v="440"/>
    <x v="2"/>
    <x v="74"/>
    <x v="440"/>
    <x v="489"/>
  </r>
  <r>
    <x v="490"/>
    <x v="387"/>
    <x v="6"/>
    <x v="3"/>
    <x v="490"/>
    <x v="427"/>
    <x v="178"/>
    <x v="243"/>
    <x v="1"/>
    <x v="1"/>
    <x v="243"/>
    <x v="490"/>
  </r>
  <r>
    <x v="491"/>
    <x v="363"/>
    <x v="5"/>
    <x v="1"/>
    <x v="491"/>
    <x v="383"/>
    <x v="52"/>
    <x v="441"/>
    <x v="0"/>
    <x v="1"/>
    <x v="441"/>
    <x v="491"/>
  </r>
  <r>
    <x v="492"/>
    <x v="388"/>
    <x v="2"/>
    <x v="3"/>
    <x v="492"/>
    <x v="428"/>
    <x v="179"/>
    <x v="442"/>
    <x v="1"/>
    <x v="1"/>
    <x v="442"/>
    <x v="492"/>
  </r>
  <r>
    <x v="493"/>
    <x v="389"/>
    <x v="0"/>
    <x v="4"/>
    <x v="493"/>
    <x v="429"/>
    <x v="129"/>
    <x v="443"/>
    <x v="0"/>
    <x v="82"/>
    <x v="443"/>
    <x v="493"/>
  </r>
  <r>
    <x v="494"/>
    <x v="390"/>
    <x v="6"/>
    <x v="1"/>
    <x v="494"/>
    <x v="317"/>
    <x v="43"/>
    <x v="444"/>
    <x v="0"/>
    <x v="83"/>
    <x v="444"/>
    <x v="494"/>
  </r>
  <r>
    <x v="495"/>
    <x v="334"/>
    <x v="5"/>
    <x v="1"/>
    <x v="495"/>
    <x v="430"/>
    <x v="27"/>
    <x v="445"/>
    <x v="1"/>
    <x v="1"/>
    <x v="445"/>
    <x v="495"/>
  </r>
  <r>
    <x v="496"/>
    <x v="391"/>
    <x v="3"/>
    <x v="4"/>
    <x v="496"/>
    <x v="431"/>
    <x v="63"/>
    <x v="446"/>
    <x v="0"/>
    <x v="1"/>
    <x v="446"/>
    <x v="496"/>
  </r>
  <r>
    <x v="497"/>
    <x v="318"/>
    <x v="4"/>
    <x v="4"/>
    <x v="497"/>
    <x v="432"/>
    <x v="23"/>
    <x v="447"/>
    <x v="1"/>
    <x v="1"/>
    <x v="447"/>
    <x v="497"/>
  </r>
  <r>
    <x v="498"/>
    <x v="392"/>
    <x v="5"/>
    <x v="3"/>
    <x v="498"/>
    <x v="433"/>
    <x v="180"/>
    <x v="448"/>
    <x v="0"/>
    <x v="1"/>
    <x v="448"/>
    <x v="498"/>
  </r>
  <r>
    <x v="499"/>
    <x v="144"/>
    <x v="0"/>
    <x v="4"/>
    <x v="499"/>
    <x v="434"/>
    <x v="26"/>
    <x v="449"/>
    <x v="2"/>
    <x v="84"/>
    <x v="449"/>
    <x v="499"/>
  </r>
  <r>
    <x v="500"/>
    <x v="393"/>
    <x v="0"/>
    <x v="1"/>
    <x v="500"/>
    <x v="435"/>
    <x v="91"/>
    <x v="450"/>
    <x v="0"/>
    <x v="1"/>
    <x v="450"/>
    <x v="500"/>
  </r>
  <r>
    <x v="501"/>
    <x v="394"/>
    <x v="5"/>
    <x v="2"/>
    <x v="501"/>
    <x v="436"/>
    <x v="23"/>
    <x v="451"/>
    <x v="0"/>
    <x v="1"/>
    <x v="451"/>
    <x v="501"/>
  </r>
  <r>
    <x v="502"/>
    <x v="395"/>
    <x v="2"/>
    <x v="4"/>
    <x v="502"/>
    <x v="437"/>
    <x v="4"/>
    <x v="405"/>
    <x v="1"/>
    <x v="1"/>
    <x v="405"/>
    <x v="502"/>
  </r>
  <r>
    <x v="503"/>
    <x v="396"/>
    <x v="2"/>
    <x v="3"/>
    <x v="503"/>
    <x v="438"/>
    <x v="56"/>
    <x v="452"/>
    <x v="0"/>
    <x v="1"/>
    <x v="452"/>
    <x v="503"/>
  </r>
  <r>
    <x v="504"/>
    <x v="397"/>
    <x v="2"/>
    <x v="4"/>
    <x v="504"/>
    <x v="439"/>
    <x v="35"/>
    <x v="453"/>
    <x v="0"/>
    <x v="44"/>
    <x v="453"/>
    <x v="504"/>
  </r>
  <r>
    <x v="505"/>
    <x v="398"/>
    <x v="5"/>
    <x v="4"/>
    <x v="505"/>
    <x v="440"/>
    <x v="181"/>
    <x v="454"/>
    <x v="0"/>
    <x v="85"/>
    <x v="454"/>
    <x v="505"/>
  </r>
  <r>
    <x v="506"/>
    <x v="124"/>
    <x v="0"/>
    <x v="0"/>
    <x v="506"/>
    <x v="441"/>
    <x v="26"/>
    <x v="455"/>
    <x v="0"/>
    <x v="1"/>
    <x v="455"/>
    <x v="506"/>
  </r>
  <r>
    <x v="507"/>
    <x v="365"/>
    <x v="4"/>
    <x v="0"/>
    <x v="507"/>
    <x v="329"/>
    <x v="83"/>
    <x v="456"/>
    <x v="2"/>
    <x v="9"/>
    <x v="456"/>
    <x v="507"/>
  </r>
  <r>
    <x v="508"/>
    <x v="399"/>
    <x v="4"/>
    <x v="4"/>
    <x v="508"/>
    <x v="338"/>
    <x v="26"/>
    <x v="457"/>
    <x v="0"/>
    <x v="1"/>
    <x v="457"/>
    <x v="508"/>
  </r>
  <r>
    <x v="509"/>
    <x v="400"/>
    <x v="5"/>
    <x v="4"/>
    <x v="509"/>
    <x v="442"/>
    <x v="117"/>
    <x v="263"/>
    <x v="1"/>
    <x v="1"/>
    <x v="263"/>
    <x v="509"/>
  </r>
  <r>
    <x v="510"/>
    <x v="401"/>
    <x v="4"/>
    <x v="0"/>
    <x v="510"/>
    <x v="58"/>
    <x v="59"/>
    <x v="29"/>
    <x v="0"/>
    <x v="1"/>
    <x v="29"/>
    <x v="510"/>
  </r>
  <r>
    <x v="511"/>
    <x v="338"/>
    <x v="3"/>
    <x v="0"/>
    <x v="511"/>
    <x v="443"/>
    <x v="78"/>
    <x v="269"/>
    <x v="0"/>
    <x v="1"/>
    <x v="269"/>
    <x v="511"/>
  </r>
  <r>
    <x v="512"/>
    <x v="402"/>
    <x v="1"/>
    <x v="0"/>
    <x v="512"/>
    <x v="444"/>
    <x v="46"/>
    <x v="458"/>
    <x v="0"/>
    <x v="1"/>
    <x v="458"/>
    <x v="512"/>
  </r>
  <r>
    <x v="513"/>
    <x v="403"/>
    <x v="3"/>
    <x v="3"/>
    <x v="513"/>
    <x v="445"/>
    <x v="90"/>
    <x v="242"/>
    <x v="0"/>
    <x v="1"/>
    <x v="242"/>
    <x v="513"/>
  </r>
  <r>
    <x v="514"/>
    <x v="404"/>
    <x v="4"/>
    <x v="2"/>
    <x v="514"/>
    <x v="446"/>
    <x v="79"/>
    <x v="360"/>
    <x v="0"/>
    <x v="1"/>
    <x v="360"/>
    <x v="514"/>
  </r>
  <r>
    <x v="515"/>
    <x v="405"/>
    <x v="0"/>
    <x v="4"/>
    <x v="515"/>
    <x v="272"/>
    <x v="30"/>
    <x v="122"/>
    <x v="0"/>
    <x v="12"/>
    <x v="122"/>
    <x v="515"/>
  </r>
  <r>
    <x v="516"/>
    <x v="406"/>
    <x v="3"/>
    <x v="3"/>
    <x v="516"/>
    <x v="447"/>
    <x v="109"/>
    <x v="459"/>
    <x v="1"/>
    <x v="1"/>
    <x v="459"/>
    <x v="516"/>
  </r>
  <r>
    <x v="517"/>
    <x v="407"/>
    <x v="4"/>
    <x v="1"/>
    <x v="517"/>
    <x v="448"/>
    <x v="41"/>
    <x v="460"/>
    <x v="0"/>
    <x v="1"/>
    <x v="460"/>
    <x v="517"/>
  </r>
  <r>
    <x v="518"/>
    <x v="408"/>
    <x v="0"/>
    <x v="4"/>
    <x v="518"/>
    <x v="449"/>
    <x v="4"/>
    <x v="461"/>
    <x v="2"/>
    <x v="86"/>
    <x v="461"/>
    <x v="518"/>
  </r>
  <r>
    <x v="519"/>
    <x v="145"/>
    <x v="0"/>
    <x v="4"/>
    <x v="519"/>
    <x v="214"/>
    <x v="13"/>
    <x v="462"/>
    <x v="0"/>
    <x v="1"/>
    <x v="462"/>
    <x v="519"/>
  </r>
  <r>
    <x v="520"/>
    <x v="85"/>
    <x v="5"/>
    <x v="1"/>
    <x v="520"/>
    <x v="59"/>
    <x v="41"/>
    <x v="463"/>
    <x v="0"/>
    <x v="1"/>
    <x v="463"/>
    <x v="520"/>
  </r>
  <r>
    <x v="521"/>
    <x v="409"/>
    <x v="5"/>
    <x v="4"/>
    <x v="521"/>
    <x v="450"/>
    <x v="55"/>
    <x v="464"/>
    <x v="0"/>
    <x v="1"/>
    <x v="464"/>
    <x v="521"/>
  </r>
  <r>
    <x v="522"/>
    <x v="410"/>
    <x v="3"/>
    <x v="1"/>
    <x v="522"/>
    <x v="286"/>
    <x v="91"/>
    <x v="465"/>
    <x v="0"/>
    <x v="19"/>
    <x v="465"/>
    <x v="522"/>
  </r>
  <r>
    <x v="523"/>
    <x v="411"/>
    <x v="6"/>
    <x v="4"/>
    <x v="523"/>
    <x v="451"/>
    <x v="43"/>
    <x v="123"/>
    <x v="0"/>
    <x v="87"/>
    <x v="123"/>
    <x v="523"/>
  </r>
  <r>
    <x v="524"/>
    <x v="412"/>
    <x v="5"/>
    <x v="2"/>
    <x v="524"/>
    <x v="452"/>
    <x v="46"/>
    <x v="466"/>
    <x v="1"/>
    <x v="1"/>
    <x v="466"/>
    <x v="524"/>
  </r>
  <r>
    <x v="525"/>
    <x v="115"/>
    <x v="1"/>
    <x v="2"/>
    <x v="525"/>
    <x v="453"/>
    <x v="79"/>
    <x v="467"/>
    <x v="0"/>
    <x v="1"/>
    <x v="467"/>
    <x v="525"/>
  </r>
  <r>
    <x v="526"/>
    <x v="413"/>
    <x v="4"/>
    <x v="4"/>
    <x v="526"/>
    <x v="297"/>
    <x v="19"/>
    <x v="468"/>
    <x v="0"/>
    <x v="1"/>
    <x v="468"/>
    <x v="526"/>
  </r>
  <r>
    <x v="527"/>
    <x v="383"/>
    <x v="1"/>
    <x v="3"/>
    <x v="527"/>
    <x v="454"/>
    <x v="131"/>
    <x v="469"/>
    <x v="0"/>
    <x v="1"/>
    <x v="469"/>
    <x v="527"/>
  </r>
  <r>
    <x v="528"/>
    <x v="414"/>
    <x v="1"/>
    <x v="4"/>
    <x v="528"/>
    <x v="455"/>
    <x v="150"/>
    <x v="470"/>
    <x v="0"/>
    <x v="1"/>
    <x v="470"/>
    <x v="528"/>
  </r>
  <r>
    <x v="529"/>
    <x v="124"/>
    <x v="0"/>
    <x v="1"/>
    <x v="529"/>
    <x v="456"/>
    <x v="59"/>
    <x v="471"/>
    <x v="2"/>
    <x v="29"/>
    <x v="471"/>
    <x v="529"/>
  </r>
  <r>
    <x v="530"/>
    <x v="415"/>
    <x v="2"/>
    <x v="1"/>
    <x v="530"/>
    <x v="47"/>
    <x v="117"/>
    <x v="472"/>
    <x v="0"/>
    <x v="1"/>
    <x v="472"/>
    <x v="530"/>
  </r>
  <r>
    <x v="531"/>
    <x v="416"/>
    <x v="4"/>
    <x v="3"/>
    <x v="531"/>
    <x v="457"/>
    <x v="182"/>
    <x v="473"/>
    <x v="0"/>
    <x v="64"/>
    <x v="473"/>
    <x v="531"/>
  </r>
  <r>
    <x v="532"/>
    <x v="417"/>
    <x v="0"/>
    <x v="2"/>
    <x v="532"/>
    <x v="250"/>
    <x v="21"/>
    <x v="398"/>
    <x v="0"/>
    <x v="1"/>
    <x v="398"/>
    <x v="532"/>
  </r>
  <r>
    <x v="533"/>
    <x v="319"/>
    <x v="3"/>
    <x v="3"/>
    <x v="533"/>
    <x v="213"/>
    <x v="183"/>
    <x v="474"/>
    <x v="0"/>
    <x v="1"/>
    <x v="474"/>
    <x v="533"/>
  </r>
  <r>
    <x v="534"/>
    <x v="233"/>
    <x v="2"/>
    <x v="4"/>
    <x v="534"/>
    <x v="458"/>
    <x v="36"/>
    <x v="475"/>
    <x v="1"/>
    <x v="1"/>
    <x v="475"/>
    <x v="534"/>
  </r>
  <r>
    <x v="535"/>
    <x v="418"/>
    <x v="6"/>
    <x v="4"/>
    <x v="535"/>
    <x v="75"/>
    <x v="23"/>
    <x v="13"/>
    <x v="0"/>
    <x v="1"/>
    <x v="13"/>
    <x v="535"/>
  </r>
  <r>
    <x v="536"/>
    <x v="419"/>
    <x v="3"/>
    <x v="3"/>
    <x v="536"/>
    <x v="459"/>
    <x v="184"/>
    <x v="476"/>
    <x v="1"/>
    <x v="1"/>
    <x v="476"/>
    <x v="536"/>
  </r>
  <r>
    <x v="537"/>
    <x v="420"/>
    <x v="0"/>
    <x v="1"/>
    <x v="537"/>
    <x v="460"/>
    <x v="5"/>
    <x v="260"/>
    <x v="0"/>
    <x v="1"/>
    <x v="260"/>
    <x v="537"/>
  </r>
  <r>
    <x v="538"/>
    <x v="421"/>
    <x v="5"/>
    <x v="3"/>
    <x v="538"/>
    <x v="388"/>
    <x v="185"/>
    <x v="477"/>
    <x v="1"/>
    <x v="1"/>
    <x v="477"/>
    <x v="538"/>
  </r>
  <r>
    <x v="539"/>
    <x v="170"/>
    <x v="5"/>
    <x v="1"/>
    <x v="539"/>
    <x v="461"/>
    <x v="75"/>
    <x v="478"/>
    <x v="0"/>
    <x v="1"/>
    <x v="478"/>
    <x v="539"/>
  </r>
  <r>
    <x v="540"/>
    <x v="283"/>
    <x v="2"/>
    <x v="3"/>
    <x v="540"/>
    <x v="421"/>
    <x v="186"/>
    <x v="479"/>
    <x v="0"/>
    <x v="1"/>
    <x v="479"/>
    <x v="540"/>
  </r>
  <r>
    <x v="541"/>
    <x v="115"/>
    <x v="1"/>
    <x v="4"/>
    <x v="541"/>
    <x v="181"/>
    <x v="41"/>
    <x v="480"/>
    <x v="0"/>
    <x v="1"/>
    <x v="480"/>
    <x v="541"/>
  </r>
  <r>
    <x v="542"/>
    <x v="422"/>
    <x v="5"/>
    <x v="1"/>
    <x v="542"/>
    <x v="375"/>
    <x v="36"/>
    <x v="213"/>
    <x v="0"/>
    <x v="1"/>
    <x v="213"/>
    <x v="542"/>
  </r>
  <r>
    <x v="543"/>
    <x v="423"/>
    <x v="1"/>
    <x v="2"/>
    <x v="543"/>
    <x v="356"/>
    <x v="28"/>
    <x v="481"/>
    <x v="1"/>
    <x v="1"/>
    <x v="481"/>
    <x v="543"/>
  </r>
  <r>
    <x v="544"/>
    <x v="424"/>
    <x v="4"/>
    <x v="2"/>
    <x v="544"/>
    <x v="462"/>
    <x v="9"/>
    <x v="482"/>
    <x v="1"/>
    <x v="1"/>
    <x v="482"/>
    <x v="544"/>
  </r>
  <r>
    <x v="545"/>
    <x v="392"/>
    <x v="5"/>
    <x v="4"/>
    <x v="545"/>
    <x v="463"/>
    <x v="43"/>
    <x v="483"/>
    <x v="0"/>
    <x v="1"/>
    <x v="483"/>
    <x v="545"/>
  </r>
  <r>
    <x v="546"/>
    <x v="425"/>
    <x v="0"/>
    <x v="3"/>
    <x v="546"/>
    <x v="464"/>
    <x v="187"/>
    <x v="484"/>
    <x v="0"/>
    <x v="1"/>
    <x v="484"/>
    <x v="546"/>
  </r>
  <r>
    <x v="547"/>
    <x v="426"/>
    <x v="3"/>
    <x v="3"/>
    <x v="547"/>
    <x v="281"/>
    <x v="188"/>
    <x v="485"/>
    <x v="0"/>
    <x v="1"/>
    <x v="485"/>
    <x v="547"/>
  </r>
  <r>
    <x v="548"/>
    <x v="242"/>
    <x v="0"/>
    <x v="0"/>
    <x v="548"/>
    <x v="465"/>
    <x v="35"/>
    <x v="486"/>
    <x v="0"/>
    <x v="1"/>
    <x v="486"/>
    <x v="548"/>
  </r>
  <r>
    <x v="549"/>
    <x v="427"/>
    <x v="6"/>
    <x v="0"/>
    <x v="549"/>
    <x v="270"/>
    <x v="189"/>
    <x v="487"/>
    <x v="0"/>
    <x v="88"/>
    <x v="487"/>
    <x v="549"/>
  </r>
  <r>
    <x v="550"/>
    <x v="428"/>
    <x v="2"/>
    <x v="3"/>
    <x v="550"/>
    <x v="466"/>
    <x v="165"/>
    <x v="488"/>
    <x v="0"/>
    <x v="89"/>
    <x v="488"/>
    <x v="550"/>
  </r>
  <r>
    <x v="551"/>
    <x v="169"/>
    <x v="6"/>
    <x v="1"/>
    <x v="551"/>
    <x v="467"/>
    <x v="48"/>
    <x v="115"/>
    <x v="2"/>
    <x v="90"/>
    <x v="115"/>
    <x v="551"/>
  </r>
  <r>
    <x v="552"/>
    <x v="181"/>
    <x v="5"/>
    <x v="3"/>
    <x v="552"/>
    <x v="380"/>
    <x v="190"/>
    <x v="489"/>
    <x v="1"/>
    <x v="1"/>
    <x v="489"/>
    <x v="552"/>
  </r>
  <r>
    <x v="553"/>
    <x v="187"/>
    <x v="2"/>
    <x v="3"/>
    <x v="553"/>
    <x v="468"/>
    <x v="191"/>
    <x v="490"/>
    <x v="1"/>
    <x v="1"/>
    <x v="490"/>
    <x v="553"/>
  </r>
  <r>
    <x v="554"/>
    <x v="429"/>
    <x v="6"/>
    <x v="4"/>
    <x v="554"/>
    <x v="469"/>
    <x v="55"/>
    <x v="491"/>
    <x v="0"/>
    <x v="1"/>
    <x v="491"/>
    <x v="554"/>
  </r>
  <r>
    <x v="555"/>
    <x v="430"/>
    <x v="1"/>
    <x v="2"/>
    <x v="555"/>
    <x v="470"/>
    <x v="23"/>
    <x v="492"/>
    <x v="0"/>
    <x v="30"/>
    <x v="492"/>
    <x v="555"/>
  </r>
  <r>
    <x v="556"/>
    <x v="431"/>
    <x v="5"/>
    <x v="2"/>
    <x v="556"/>
    <x v="471"/>
    <x v="45"/>
    <x v="493"/>
    <x v="0"/>
    <x v="1"/>
    <x v="493"/>
    <x v="556"/>
  </r>
  <r>
    <x v="557"/>
    <x v="432"/>
    <x v="6"/>
    <x v="3"/>
    <x v="557"/>
    <x v="472"/>
    <x v="192"/>
    <x v="290"/>
    <x v="2"/>
    <x v="91"/>
    <x v="290"/>
    <x v="557"/>
  </r>
  <r>
    <x v="558"/>
    <x v="165"/>
    <x v="1"/>
    <x v="0"/>
    <x v="558"/>
    <x v="473"/>
    <x v="30"/>
    <x v="494"/>
    <x v="0"/>
    <x v="1"/>
    <x v="494"/>
    <x v="558"/>
  </r>
  <r>
    <x v="559"/>
    <x v="433"/>
    <x v="1"/>
    <x v="2"/>
    <x v="559"/>
    <x v="474"/>
    <x v="96"/>
    <x v="495"/>
    <x v="0"/>
    <x v="1"/>
    <x v="495"/>
    <x v="559"/>
  </r>
  <r>
    <x v="560"/>
    <x v="434"/>
    <x v="0"/>
    <x v="4"/>
    <x v="560"/>
    <x v="257"/>
    <x v="63"/>
    <x v="316"/>
    <x v="0"/>
    <x v="1"/>
    <x v="316"/>
    <x v="560"/>
  </r>
  <r>
    <x v="561"/>
    <x v="429"/>
    <x v="6"/>
    <x v="0"/>
    <x v="561"/>
    <x v="475"/>
    <x v="136"/>
    <x v="496"/>
    <x v="1"/>
    <x v="1"/>
    <x v="496"/>
    <x v="561"/>
  </r>
  <r>
    <x v="562"/>
    <x v="435"/>
    <x v="3"/>
    <x v="2"/>
    <x v="562"/>
    <x v="476"/>
    <x v="13"/>
    <x v="497"/>
    <x v="0"/>
    <x v="1"/>
    <x v="497"/>
    <x v="562"/>
  </r>
  <r>
    <x v="563"/>
    <x v="112"/>
    <x v="1"/>
    <x v="2"/>
    <x v="563"/>
    <x v="477"/>
    <x v="27"/>
    <x v="498"/>
    <x v="1"/>
    <x v="1"/>
    <x v="498"/>
    <x v="563"/>
  </r>
  <r>
    <x v="564"/>
    <x v="358"/>
    <x v="2"/>
    <x v="4"/>
    <x v="564"/>
    <x v="478"/>
    <x v="19"/>
    <x v="499"/>
    <x v="0"/>
    <x v="1"/>
    <x v="499"/>
    <x v="564"/>
  </r>
  <r>
    <x v="565"/>
    <x v="436"/>
    <x v="5"/>
    <x v="3"/>
    <x v="565"/>
    <x v="479"/>
    <x v="193"/>
    <x v="500"/>
    <x v="2"/>
    <x v="69"/>
    <x v="500"/>
    <x v="565"/>
  </r>
  <r>
    <x v="566"/>
    <x v="207"/>
    <x v="3"/>
    <x v="3"/>
    <x v="566"/>
    <x v="480"/>
    <x v="194"/>
    <x v="501"/>
    <x v="1"/>
    <x v="1"/>
    <x v="501"/>
    <x v="566"/>
  </r>
  <r>
    <x v="567"/>
    <x v="406"/>
    <x v="3"/>
    <x v="2"/>
    <x v="567"/>
    <x v="481"/>
    <x v="75"/>
    <x v="193"/>
    <x v="2"/>
    <x v="92"/>
    <x v="193"/>
    <x v="567"/>
  </r>
  <r>
    <x v="568"/>
    <x v="437"/>
    <x v="3"/>
    <x v="3"/>
    <x v="568"/>
    <x v="482"/>
    <x v="82"/>
    <x v="502"/>
    <x v="0"/>
    <x v="1"/>
    <x v="502"/>
    <x v="568"/>
  </r>
  <r>
    <x v="569"/>
    <x v="438"/>
    <x v="0"/>
    <x v="3"/>
    <x v="569"/>
    <x v="483"/>
    <x v="195"/>
    <x v="503"/>
    <x v="0"/>
    <x v="93"/>
    <x v="503"/>
    <x v="569"/>
  </r>
  <r>
    <x v="570"/>
    <x v="439"/>
    <x v="3"/>
    <x v="4"/>
    <x v="570"/>
    <x v="484"/>
    <x v="86"/>
    <x v="95"/>
    <x v="1"/>
    <x v="1"/>
    <x v="95"/>
    <x v="570"/>
  </r>
  <r>
    <x v="571"/>
    <x v="440"/>
    <x v="1"/>
    <x v="4"/>
    <x v="571"/>
    <x v="419"/>
    <x v="30"/>
    <x v="182"/>
    <x v="0"/>
    <x v="1"/>
    <x v="182"/>
    <x v="571"/>
  </r>
  <r>
    <x v="572"/>
    <x v="296"/>
    <x v="5"/>
    <x v="4"/>
    <x v="572"/>
    <x v="485"/>
    <x v="27"/>
    <x v="504"/>
    <x v="0"/>
    <x v="31"/>
    <x v="504"/>
    <x v="572"/>
  </r>
  <r>
    <x v="573"/>
    <x v="441"/>
    <x v="6"/>
    <x v="3"/>
    <x v="573"/>
    <x v="201"/>
    <x v="122"/>
    <x v="505"/>
    <x v="0"/>
    <x v="1"/>
    <x v="505"/>
    <x v="573"/>
  </r>
  <r>
    <x v="574"/>
    <x v="106"/>
    <x v="2"/>
    <x v="0"/>
    <x v="574"/>
    <x v="153"/>
    <x v="160"/>
    <x v="506"/>
    <x v="0"/>
    <x v="1"/>
    <x v="506"/>
    <x v="574"/>
  </r>
  <r>
    <x v="575"/>
    <x v="339"/>
    <x v="2"/>
    <x v="2"/>
    <x v="575"/>
    <x v="486"/>
    <x v="38"/>
    <x v="507"/>
    <x v="0"/>
    <x v="1"/>
    <x v="507"/>
    <x v="575"/>
  </r>
  <r>
    <x v="576"/>
    <x v="442"/>
    <x v="0"/>
    <x v="0"/>
    <x v="576"/>
    <x v="487"/>
    <x v="117"/>
    <x v="508"/>
    <x v="0"/>
    <x v="1"/>
    <x v="508"/>
    <x v="576"/>
  </r>
  <r>
    <x v="577"/>
    <x v="182"/>
    <x v="2"/>
    <x v="4"/>
    <x v="577"/>
    <x v="488"/>
    <x v="3"/>
    <x v="346"/>
    <x v="0"/>
    <x v="1"/>
    <x v="346"/>
    <x v="577"/>
  </r>
  <r>
    <x v="578"/>
    <x v="443"/>
    <x v="6"/>
    <x v="3"/>
    <x v="578"/>
    <x v="489"/>
    <x v="196"/>
    <x v="509"/>
    <x v="0"/>
    <x v="1"/>
    <x v="509"/>
    <x v="578"/>
  </r>
  <r>
    <x v="579"/>
    <x v="122"/>
    <x v="6"/>
    <x v="4"/>
    <x v="579"/>
    <x v="490"/>
    <x v="5"/>
    <x v="510"/>
    <x v="1"/>
    <x v="1"/>
    <x v="510"/>
    <x v="579"/>
  </r>
  <r>
    <x v="580"/>
    <x v="444"/>
    <x v="6"/>
    <x v="0"/>
    <x v="580"/>
    <x v="404"/>
    <x v="35"/>
    <x v="166"/>
    <x v="2"/>
    <x v="94"/>
    <x v="166"/>
    <x v="580"/>
  </r>
  <r>
    <x v="581"/>
    <x v="445"/>
    <x v="2"/>
    <x v="3"/>
    <x v="581"/>
    <x v="114"/>
    <x v="197"/>
    <x v="511"/>
    <x v="0"/>
    <x v="1"/>
    <x v="511"/>
    <x v="581"/>
  </r>
  <r>
    <x v="582"/>
    <x v="446"/>
    <x v="6"/>
    <x v="2"/>
    <x v="582"/>
    <x v="491"/>
    <x v="31"/>
    <x v="512"/>
    <x v="1"/>
    <x v="1"/>
    <x v="512"/>
    <x v="582"/>
  </r>
  <r>
    <x v="583"/>
    <x v="330"/>
    <x v="6"/>
    <x v="4"/>
    <x v="583"/>
    <x v="492"/>
    <x v="53"/>
    <x v="513"/>
    <x v="0"/>
    <x v="1"/>
    <x v="513"/>
    <x v="583"/>
  </r>
  <r>
    <x v="584"/>
    <x v="447"/>
    <x v="0"/>
    <x v="3"/>
    <x v="584"/>
    <x v="493"/>
    <x v="144"/>
    <x v="248"/>
    <x v="0"/>
    <x v="1"/>
    <x v="248"/>
    <x v="584"/>
  </r>
  <r>
    <x v="585"/>
    <x v="39"/>
    <x v="0"/>
    <x v="2"/>
    <x v="585"/>
    <x v="494"/>
    <x v="68"/>
    <x v="514"/>
    <x v="0"/>
    <x v="1"/>
    <x v="514"/>
    <x v="585"/>
  </r>
  <r>
    <x v="586"/>
    <x v="78"/>
    <x v="0"/>
    <x v="2"/>
    <x v="586"/>
    <x v="82"/>
    <x v="7"/>
    <x v="226"/>
    <x v="0"/>
    <x v="1"/>
    <x v="226"/>
    <x v="586"/>
  </r>
  <r>
    <x v="587"/>
    <x v="448"/>
    <x v="1"/>
    <x v="2"/>
    <x v="587"/>
    <x v="326"/>
    <x v="103"/>
    <x v="131"/>
    <x v="0"/>
    <x v="1"/>
    <x v="131"/>
    <x v="587"/>
  </r>
  <r>
    <x v="588"/>
    <x v="449"/>
    <x v="4"/>
    <x v="3"/>
    <x v="588"/>
    <x v="269"/>
    <x v="191"/>
    <x v="515"/>
    <x v="0"/>
    <x v="1"/>
    <x v="515"/>
    <x v="588"/>
  </r>
  <r>
    <x v="589"/>
    <x v="450"/>
    <x v="4"/>
    <x v="3"/>
    <x v="589"/>
    <x v="278"/>
    <x v="198"/>
    <x v="516"/>
    <x v="0"/>
    <x v="1"/>
    <x v="516"/>
    <x v="589"/>
  </r>
  <r>
    <x v="590"/>
    <x v="402"/>
    <x v="1"/>
    <x v="2"/>
    <x v="590"/>
    <x v="495"/>
    <x v="75"/>
    <x v="415"/>
    <x v="0"/>
    <x v="1"/>
    <x v="415"/>
    <x v="590"/>
  </r>
  <r>
    <x v="591"/>
    <x v="451"/>
    <x v="5"/>
    <x v="3"/>
    <x v="591"/>
    <x v="17"/>
    <x v="199"/>
    <x v="517"/>
    <x v="0"/>
    <x v="1"/>
    <x v="517"/>
    <x v="591"/>
  </r>
  <r>
    <x v="592"/>
    <x v="452"/>
    <x v="2"/>
    <x v="0"/>
    <x v="592"/>
    <x v="496"/>
    <x v="153"/>
    <x v="354"/>
    <x v="2"/>
    <x v="95"/>
    <x v="354"/>
    <x v="592"/>
  </r>
  <r>
    <x v="593"/>
    <x v="453"/>
    <x v="5"/>
    <x v="4"/>
    <x v="593"/>
    <x v="497"/>
    <x v="31"/>
    <x v="518"/>
    <x v="0"/>
    <x v="1"/>
    <x v="518"/>
    <x v="593"/>
  </r>
  <r>
    <x v="594"/>
    <x v="428"/>
    <x v="2"/>
    <x v="3"/>
    <x v="594"/>
    <x v="498"/>
    <x v="179"/>
    <x v="519"/>
    <x v="0"/>
    <x v="1"/>
    <x v="519"/>
    <x v="594"/>
  </r>
  <r>
    <x v="595"/>
    <x v="454"/>
    <x v="6"/>
    <x v="1"/>
    <x v="595"/>
    <x v="499"/>
    <x v="43"/>
    <x v="520"/>
    <x v="0"/>
    <x v="96"/>
    <x v="520"/>
    <x v="595"/>
  </r>
  <r>
    <x v="596"/>
    <x v="396"/>
    <x v="2"/>
    <x v="4"/>
    <x v="596"/>
    <x v="318"/>
    <x v="3"/>
    <x v="521"/>
    <x v="0"/>
    <x v="1"/>
    <x v="521"/>
    <x v="596"/>
  </r>
  <r>
    <x v="597"/>
    <x v="438"/>
    <x v="0"/>
    <x v="1"/>
    <x v="597"/>
    <x v="500"/>
    <x v="40"/>
    <x v="522"/>
    <x v="1"/>
    <x v="1"/>
    <x v="522"/>
    <x v="597"/>
  </r>
  <r>
    <x v="598"/>
    <x v="455"/>
    <x v="3"/>
    <x v="3"/>
    <x v="598"/>
    <x v="501"/>
    <x v="114"/>
    <x v="495"/>
    <x v="0"/>
    <x v="59"/>
    <x v="495"/>
    <x v="598"/>
  </r>
  <r>
    <x v="599"/>
    <x v="456"/>
    <x v="3"/>
    <x v="4"/>
    <x v="599"/>
    <x v="2"/>
    <x v="72"/>
    <x v="523"/>
    <x v="2"/>
    <x v="97"/>
    <x v="523"/>
    <x v="599"/>
  </r>
  <r>
    <x v="600"/>
    <x v="99"/>
    <x v="6"/>
    <x v="1"/>
    <x v="600"/>
    <x v="134"/>
    <x v="6"/>
    <x v="524"/>
    <x v="2"/>
    <x v="98"/>
    <x v="524"/>
    <x v="600"/>
  </r>
  <r>
    <x v="601"/>
    <x v="209"/>
    <x v="3"/>
    <x v="4"/>
    <x v="601"/>
    <x v="502"/>
    <x v="150"/>
    <x v="524"/>
    <x v="0"/>
    <x v="1"/>
    <x v="524"/>
    <x v="601"/>
  </r>
  <r>
    <x v="602"/>
    <x v="55"/>
    <x v="6"/>
    <x v="1"/>
    <x v="602"/>
    <x v="503"/>
    <x v="88"/>
    <x v="525"/>
    <x v="0"/>
    <x v="1"/>
    <x v="525"/>
    <x v="602"/>
  </r>
  <r>
    <x v="603"/>
    <x v="52"/>
    <x v="0"/>
    <x v="4"/>
    <x v="603"/>
    <x v="504"/>
    <x v="6"/>
    <x v="526"/>
    <x v="0"/>
    <x v="1"/>
    <x v="526"/>
    <x v="603"/>
  </r>
  <r>
    <x v="604"/>
    <x v="212"/>
    <x v="4"/>
    <x v="3"/>
    <x v="604"/>
    <x v="505"/>
    <x v="200"/>
    <x v="467"/>
    <x v="2"/>
    <x v="99"/>
    <x v="467"/>
    <x v="604"/>
  </r>
  <r>
    <x v="605"/>
    <x v="457"/>
    <x v="4"/>
    <x v="3"/>
    <x v="605"/>
    <x v="415"/>
    <x v="201"/>
    <x v="352"/>
    <x v="1"/>
    <x v="1"/>
    <x v="352"/>
    <x v="605"/>
  </r>
  <r>
    <x v="606"/>
    <x v="458"/>
    <x v="6"/>
    <x v="2"/>
    <x v="606"/>
    <x v="410"/>
    <x v="32"/>
    <x v="398"/>
    <x v="0"/>
    <x v="1"/>
    <x v="398"/>
    <x v="606"/>
  </r>
  <r>
    <x v="607"/>
    <x v="459"/>
    <x v="0"/>
    <x v="2"/>
    <x v="607"/>
    <x v="506"/>
    <x v="38"/>
    <x v="291"/>
    <x v="0"/>
    <x v="1"/>
    <x v="291"/>
    <x v="607"/>
  </r>
  <r>
    <x v="608"/>
    <x v="174"/>
    <x v="1"/>
    <x v="4"/>
    <x v="608"/>
    <x v="10"/>
    <x v="50"/>
    <x v="527"/>
    <x v="0"/>
    <x v="64"/>
    <x v="527"/>
    <x v="608"/>
  </r>
  <r>
    <x v="609"/>
    <x v="423"/>
    <x v="1"/>
    <x v="2"/>
    <x v="609"/>
    <x v="507"/>
    <x v="28"/>
    <x v="528"/>
    <x v="1"/>
    <x v="1"/>
    <x v="528"/>
    <x v="609"/>
  </r>
  <r>
    <x v="610"/>
    <x v="33"/>
    <x v="4"/>
    <x v="3"/>
    <x v="610"/>
    <x v="508"/>
    <x v="94"/>
    <x v="529"/>
    <x v="0"/>
    <x v="1"/>
    <x v="529"/>
    <x v="610"/>
  </r>
  <r>
    <x v="611"/>
    <x v="460"/>
    <x v="1"/>
    <x v="4"/>
    <x v="611"/>
    <x v="392"/>
    <x v="181"/>
    <x v="530"/>
    <x v="0"/>
    <x v="1"/>
    <x v="530"/>
    <x v="611"/>
  </r>
  <r>
    <x v="612"/>
    <x v="461"/>
    <x v="4"/>
    <x v="0"/>
    <x v="612"/>
    <x v="509"/>
    <x v="9"/>
    <x v="531"/>
    <x v="1"/>
    <x v="1"/>
    <x v="531"/>
    <x v="612"/>
  </r>
  <r>
    <x v="613"/>
    <x v="462"/>
    <x v="4"/>
    <x v="1"/>
    <x v="613"/>
    <x v="510"/>
    <x v="84"/>
    <x v="532"/>
    <x v="1"/>
    <x v="1"/>
    <x v="532"/>
    <x v="613"/>
  </r>
  <r>
    <x v="614"/>
    <x v="436"/>
    <x v="5"/>
    <x v="4"/>
    <x v="614"/>
    <x v="511"/>
    <x v="12"/>
    <x v="533"/>
    <x v="0"/>
    <x v="1"/>
    <x v="533"/>
    <x v="614"/>
  </r>
  <r>
    <x v="615"/>
    <x v="212"/>
    <x v="4"/>
    <x v="2"/>
    <x v="615"/>
    <x v="208"/>
    <x v="103"/>
    <x v="534"/>
    <x v="2"/>
    <x v="100"/>
    <x v="534"/>
    <x v="615"/>
  </r>
  <r>
    <x v="616"/>
    <x v="178"/>
    <x v="6"/>
    <x v="0"/>
    <x v="616"/>
    <x v="512"/>
    <x v="125"/>
    <x v="535"/>
    <x v="0"/>
    <x v="1"/>
    <x v="535"/>
    <x v="616"/>
  </r>
  <r>
    <x v="617"/>
    <x v="110"/>
    <x v="1"/>
    <x v="3"/>
    <x v="617"/>
    <x v="513"/>
    <x v="180"/>
    <x v="30"/>
    <x v="0"/>
    <x v="2"/>
    <x v="30"/>
    <x v="617"/>
  </r>
  <r>
    <x v="618"/>
    <x v="117"/>
    <x v="0"/>
    <x v="4"/>
    <x v="618"/>
    <x v="130"/>
    <x v="26"/>
    <x v="536"/>
    <x v="0"/>
    <x v="101"/>
    <x v="536"/>
    <x v="618"/>
  </r>
  <r>
    <x v="619"/>
    <x v="463"/>
    <x v="4"/>
    <x v="0"/>
    <x v="619"/>
    <x v="514"/>
    <x v="14"/>
    <x v="284"/>
    <x v="1"/>
    <x v="1"/>
    <x v="284"/>
    <x v="619"/>
  </r>
  <r>
    <x v="620"/>
    <x v="464"/>
    <x v="6"/>
    <x v="4"/>
    <x v="620"/>
    <x v="115"/>
    <x v="150"/>
    <x v="537"/>
    <x v="1"/>
    <x v="1"/>
    <x v="537"/>
    <x v="620"/>
  </r>
  <r>
    <x v="621"/>
    <x v="62"/>
    <x v="1"/>
    <x v="3"/>
    <x v="621"/>
    <x v="251"/>
    <x v="168"/>
    <x v="298"/>
    <x v="0"/>
    <x v="1"/>
    <x v="298"/>
    <x v="621"/>
  </r>
  <r>
    <x v="622"/>
    <x v="433"/>
    <x v="1"/>
    <x v="2"/>
    <x v="622"/>
    <x v="515"/>
    <x v="49"/>
    <x v="538"/>
    <x v="0"/>
    <x v="1"/>
    <x v="538"/>
    <x v="622"/>
  </r>
  <r>
    <x v="623"/>
    <x v="362"/>
    <x v="1"/>
    <x v="2"/>
    <x v="623"/>
    <x v="224"/>
    <x v="9"/>
    <x v="539"/>
    <x v="2"/>
    <x v="102"/>
    <x v="539"/>
    <x v="623"/>
  </r>
  <r>
    <x v="624"/>
    <x v="465"/>
    <x v="4"/>
    <x v="4"/>
    <x v="624"/>
    <x v="516"/>
    <x v="53"/>
    <x v="209"/>
    <x v="1"/>
    <x v="1"/>
    <x v="209"/>
    <x v="624"/>
  </r>
  <r>
    <x v="625"/>
    <x v="466"/>
    <x v="4"/>
    <x v="1"/>
    <x v="625"/>
    <x v="517"/>
    <x v="92"/>
    <x v="540"/>
    <x v="1"/>
    <x v="1"/>
    <x v="540"/>
    <x v="625"/>
  </r>
  <r>
    <x v="626"/>
    <x v="467"/>
    <x v="1"/>
    <x v="4"/>
    <x v="626"/>
    <x v="518"/>
    <x v="100"/>
    <x v="504"/>
    <x v="1"/>
    <x v="1"/>
    <x v="504"/>
    <x v="626"/>
  </r>
  <r>
    <x v="627"/>
    <x v="10"/>
    <x v="1"/>
    <x v="3"/>
    <x v="627"/>
    <x v="455"/>
    <x v="202"/>
    <x v="541"/>
    <x v="0"/>
    <x v="1"/>
    <x v="541"/>
    <x v="627"/>
  </r>
  <r>
    <x v="628"/>
    <x v="110"/>
    <x v="1"/>
    <x v="0"/>
    <x v="628"/>
    <x v="340"/>
    <x v="145"/>
    <x v="542"/>
    <x v="0"/>
    <x v="1"/>
    <x v="542"/>
    <x v="628"/>
  </r>
  <r>
    <x v="629"/>
    <x v="273"/>
    <x v="3"/>
    <x v="0"/>
    <x v="629"/>
    <x v="313"/>
    <x v="36"/>
    <x v="286"/>
    <x v="0"/>
    <x v="1"/>
    <x v="286"/>
    <x v="629"/>
  </r>
  <r>
    <x v="630"/>
    <x v="468"/>
    <x v="0"/>
    <x v="3"/>
    <x v="630"/>
    <x v="270"/>
    <x v="186"/>
    <x v="148"/>
    <x v="1"/>
    <x v="1"/>
    <x v="148"/>
    <x v="630"/>
  </r>
  <r>
    <x v="631"/>
    <x v="469"/>
    <x v="5"/>
    <x v="3"/>
    <x v="631"/>
    <x v="79"/>
    <x v="66"/>
    <x v="543"/>
    <x v="0"/>
    <x v="1"/>
    <x v="543"/>
    <x v="631"/>
  </r>
  <r>
    <x v="632"/>
    <x v="470"/>
    <x v="2"/>
    <x v="0"/>
    <x v="632"/>
    <x v="519"/>
    <x v="35"/>
    <x v="544"/>
    <x v="0"/>
    <x v="1"/>
    <x v="544"/>
    <x v="632"/>
  </r>
  <r>
    <x v="633"/>
    <x v="5"/>
    <x v="1"/>
    <x v="0"/>
    <x v="633"/>
    <x v="520"/>
    <x v="125"/>
    <x v="545"/>
    <x v="0"/>
    <x v="88"/>
    <x v="545"/>
    <x v="633"/>
  </r>
  <r>
    <x v="634"/>
    <x v="2"/>
    <x v="2"/>
    <x v="1"/>
    <x v="634"/>
    <x v="123"/>
    <x v="86"/>
    <x v="546"/>
    <x v="0"/>
    <x v="76"/>
    <x v="546"/>
    <x v="634"/>
  </r>
  <r>
    <x v="635"/>
    <x v="112"/>
    <x v="1"/>
    <x v="2"/>
    <x v="635"/>
    <x v="353"/>
    <x v="79"/>
    <x v="547"/>
    <x v="0"/>
    <x v="55"/>
    <x v="547"/>
    <x v="635"/>
  </r>
  <r>
    <x v="636"/>
    <x v="471"/>
    <x v="5"/>
    <x v="3"/>
    <x v="636"/>
    <x v="521"/>
    <x v="203"/>
    <x v="94"/>
    <x v="0"/>
    <x v="103"/>
    <x v="94"/>
    <x v="636"/>
  </r>
  <r>
    <x v="637"/>
    <x v="472"/>
    <x v="1"/>
    <x v="0"/>
    <x v="637"/>
    <x v="522"/>
    <x v="57"/>
    <x v="548"/>
    <x v="0"/>
    <x v="76"/>
    <x v="548"/>
    <x v="637"/>
  </r>
  <r>
    <x v="638"/>
    <x v="467"/>
    <x v="1"/>
    <x v="0"/>
    <x v="638"/>
    <x v="523"/>
    <x v="41"/>
    <x v="549"/>
    <x v="0"/>
    <x v="104"/>
    <x v="549"/>
    <x v="638"/>
  </r>
  <r>
    <x v="639"/>
    <x v="473"/>
    <x v="2"/>
    <x v="3"/>
    <x v="639"/>
    <x v="524"/>
    <x v="171"/>
    <x v="550"/>
    <x v="0"/>
    <x v="1"/>
    <x v="550"/>
    <x v="639"/>
  </r>
  <r>
    <x v="640"/>
    <x v="282"/>
    <x v="6"/>
    <x v="4"/>
    <x v="640"/>
    <x v="525"/>
    <x v="19"/>
    <x v="311"/>
    <x v="1"/>
    <x v="1"/>
    <x v="311"/>
    <x v="640"/>
  </r>
  <r>
    <x v="641"/>
    <x v="474"/>
    <x v="5"/>
    <x v="0"/>
    <x v="641"/>
    <x v="526"/>
    <x v="14"/>
    <x v="97"/>
    <x v="0"/>
    <x v="1"/>
    <x v="97"/>
    <x v="641"/>
  </r>
  <r>
    <x v="642"/>
    <x v="475"/>
    <x v="1"/>
    <x v="4"/>
    <x v="642"/>
    <x v="120"/>
    <x v="81"/>
    <x v="551"/>
    <x v="0"/>
    <x v="1"/>
    <x v="551"/>
    <x v="642"/>
  </r>
  <r>
    <x v="643"/>
    <x v="42"/>
    <x v="6"/>
    <x v="1"/>
    <x v="643"/>
    <x v="527"/>
    <x v="26"/>
    <x v="552"/>
    <x v="2"/>
    <x v="105"/>
    <x v="552"/>
    <x v="643"/>
  </r>
  <r>
    <x v="644"/>
    <x v="389"/>
    <x v="0"/>
    <x v="1"/>
    <x v="644"/>
    <x v="509"/>
    <x v="81"/>
    <x v="553"/>
    <x v="0"/>
    <x v="1"/>
    <x v="553"/>
    <x v="644"/>
  </r>
  <r>
    <x v="645"/>
    <x v="476"/>
    <x v="4"/>
    <x v="1"/>
    <x v="645"/>
    <x v="528"/>
    <x v="41"/>
    <x v="554"/>
    <x v="2"/>
    <x v="63"/>
    <x v="554"/>
    <x v="645"/>
  </r>
  <r>
    <x v="646"/>
    <x v="106"/>
    <x v="2"/>
    <x v="1"/>
    <x v="646"/>
    <x v="529"/>
    <x v="36"/>
    <x v="555"/>
    <x v="0"/>
    <x v="24"/>
    <x v="555"/>
    <x v="646"/>
  </r>
  <r>
    <x v="647"/>
    <x v="425"/>
    <x v="0"/>
    <x v="1"/>
    <x v="647"/>
    <x v="530"/>
    <x v="91"/>
    <x v="556"/>
    <x v="0"/>
    <x v="1"/>
    <x v="556"/>
    <x v="647"/>
  </r>
  <r>
    <x v="648"/>
    <x v="186"/>
    <x v="3"/>
    <x v="1"/>
    <x v="648"/>
    <x v="415"/>
    <x v="64"/>
    <x v="130"/>
    <x v="0"/>
    <x v="1"/>
    <x v="130"/>
    <x v="648"/>
  </r>
  <r>
    <x v="649"/>
    <x v="222"/>
    <x v="6"/>
    <x v="3"/>
    <x v="649"/>
    <x v="402"/>
    <x v="165"/>
    <x v="414"/>
    <x v="0"/>
    <x v="1"/>
    <x v="414"/>
    <x v="649"/>
  </r>
  <r>
    <x v="650"/>
    <x v="477"/>
    <x v="0"/>
    <x v="3"/>
    <x v="650"/>
    <x v="53"/>
    <x v="204"/>
    <x v="557"/>
    <x v="0"/>
    <x v="1"/>
    <x v="557"/>
    <x v="650"/>
  </r>
  <r>
    <x v="651"/>
    <x v="478"/>
    <x v="2"/>
    <x v="1"/>
    <x v="651"/>
    <x v="389"/>
    <x v="38"/>
    <x v="558"/>
    <x v="1"/>
    <x v="1"/>
    <x v="558"/>
    <x v="651"/>
  </r>
  <r>
    <x v="652"/>
    <x v="479"/>
    <x v="3"/>
    <x v="4"/>
    <x v="652"/>
    <x v="212"/>
    <x v="129"/>
    <x v="559"/>
    <x v="0"/>
    <x v="1"/>
    <x v="559"/>
    <x v="652"/>
  </r>
  <r>
    <x v="653"/>
    <x v="480"/>
    <x v="0"/>
    <x v="4"/>
    <x v="653"/>
    <x v="531"/>
    <x v="115"/>
    <x v="560"/>
    <x v="0"/>
    <x v="1"/>
    <x v="560"/>
    <x v="653"/>
  </r>
  <r>
    <x v="654"/>
    <x v="481"/>
    <x v="6"/>
    <x v="0"/>
    <x v="654"/>
    <x v="241"/>
    <x v="64"/>
    <x v="561"/>
    <x v="0"/>
    <x v="1"/>
    <x v="561"/>
    <x v="654"/>
  </r>
  <r>
    <x v="655"/>
    <x v="127"/>
    <x v="1"/>
    <x v="3"/>
    <x v="655"/>
    <x v="30"/>
    <x v="205"/>
    <x v="562"/>
    <x v="0"/>
    <x v="1"/>
    <x v="562"/>
    <x v="655"/>
  </r>
  <r>
    <x v="656"/>
    <x v="38"/>
    <x v="0"/>
    <x v="2"/>
    <x v="656"/>
    <x v="532"/>
    <x v="88"/>
    <x v="29"/>
    <x v="0"/>
    <x v="1"/>
    <x v="29"/>
    <x v="656"/>
  </r>
  <r>
    <x v="657"/>
    <x v="40"/>
    <x v="3"/>
    <x v="4"/>
    <x v="657"/>
    <x v="275"/>
    <x v="46"/>
    <x v="101"/>
    <x v="0"/>
    <x v="1"/>
    <x v="101"/>
    <x v="657"/>
  </r>
  <r>
    <x v="658"/>
    <x v="482"/>
    <x v="0"/>
    <x v="3"/>
    <x v="658"/>
    <x v="533"/>
    <x v="193"/>
    <x v="563"/>
    <x v="0"/>
    <x v="106"/>
    <x v="563"/>
    <x v="658"/>
  </r>
  <r>
    <x v="659"/>
    <x v="483"/>
    <x v="6"/>
    <x v="3"/>
    <x v="659"/>
    <x v="534"/>
    <x v="156"/>
    <x v="564"/>
    <x v="0"/>
    <x v="1"/>
    <x v="564"/>
    <x v="659"/>
  </r>
  <r>
    <x v="660"/>
    <x v="484"/>
    <x v="0"/>
    <x v="3"/>
    <x v="660"/>
    <x v="535"/>
    <x v="206"/>
    <x v="565"/>
    <x v="0"/>
    <x v="107"/>
    <x v="565"/>
    <x v="660"/>
  </r>
  <r>
    <x v="661"/>
    <x v="485"/>
    <x v="0"/>
    <x v="0"/>
    <x v="661"/>
    <x v="536"/>
    <x v="207"/>
    <x v="566"/>
    <x v="0"/>
    <x v="1"/>
    <x v="566"/>
    <x v="661"/>
  </r>
  <r>
    <x v="662"/>
    <x v="486"/>
    <x v="0"/>
    <x v="1"/>
    <x v="662"/>
    <x v="537"/>
    <x v="36"/>
    <x v="567"/>
    <x v="1"/>
    <x v="1"/>
    <x v="567"/>
    <x v="662"/>
  </r>
  <r>
    <x v="663"/>
    <x v="487"/>
    <x v="3"/>
    <x v="0"/>
    <x v="663"/>
    <x v="453"/>
    <x v="138"/>
    <x v="568"/>
    <x v="0"/>
    <x v="1"/>
    <x v="568"/>
    <x v="663"/>
  </r>
  <r>
    <x v="664"/>
    <x v="488"/>
    <x v="4"/>
    <x v="1"/>
    <x v="664"/>
    <x v="538"/>
    <x v="57"/>
    <x v="569"/>
    <x v="0"/>
    <x v="1"/>
    <x v="569"/>
    <x v="664"/>
  </r>
  <r>
    <x v="665"/>
    <x v="489"/>
    <x v="1"/>
    <x v="3"/>
    <x v="665"/>
    <x v="125"/>
    <x v="208"/>
    <x v="570"/>
    <x v="1"/>
    <x v="1"/>
    <x v="570"/>
    <x v="665"/>
  </r>
  <r>
    <x v="666"/>
    <x v="490"/>
    <x v="0"/>
    <x v="4"/>
    <x v="666"/>
    <x v="10"/>
    <x v="172"/>
    <x v="571"/>
    <x v="1"/>
    <x v="1"/>
    <x v="571"/>
    <x v="666"/>
  </r>
  <r>
    <x v="667"/>
    <x v="491"/>
    <x v="6"/>
    <x v="2"/>
    <x v="667"/>
    <x v="539"/>
    <x v="46"/>
    <x v="572"/>
    <x v="0"/>
    <x v="108"/>
    <x v="572"/>
    <x v="667"/>
  </r>
  <r>
    <x v="668"/>
    <x v="492"/>
    <x v="0"/>
    <x v="3"/>
    <x v="668"/>
    <x v="540"/>
    <x v="155"/>
    <x v="573"/>
    <x v="0"/>
    <x v="1"/>
    <x v="573"/>
    <x v="668"/>
  </r>
  <r>
    <x v="669"/>
    <x v="409"/>
    <x v="5"/>
    <x v="4"/>
    <x v="669"/>
    <x v="541"/>
    <x v="72"/>
    <x v="574"/>
    <x v="0"/>
    <x v="1"/>
    <x v="574"/>
    <x v="669"/>
  </r>
  <r>
    <x v="670"/>
    <x v="493"/>
    <x v="4"/>
    <x v="2"/>
    <x v="670"/>
    <x v="542"/>
    <x v="84"/>
    <x v="575"/>
    <x v="0"/>
    <x v="106"/>
    <x v="575"/>
    <x v="670"/>
  </r>
  <r>
    <x v="671"/>
    <x v="494"/>
    <x v="5"/>
    <x v="3"/>
    <x v="671"/>
    <x v="543"/>
    <x v="209"/>
    <x v="11"/>
    <x v="0"/>
    <x v="1"/>
    <x v="11"/>
    <x v="671"/>
  </r>
  <r>
    <x v="672"/>
    <x v="333"/>
    <x v="1"/>
    <x v="0"/>
    <x v="672"/>
    <x v="398"/>
    <x v="62"/>
    <x v="576"/>
    <x v="2"/>
    <x v="109"/>
    <x v="576"/>
    <x v="672"/>
  </r>
  <r>
    <x v="673"/>
    <x v="495"/>
    <x v="3"/>
    <x v="0"/>
    <x v="673"/>
    <x v="544"/>
    <x v="62"/>
    <x v="577"/>
    <x v="2"/>
    <x v="110"/>
    <x v="577"/>
    <x v="673"/>
  </r>
  <r>
    <x v="674"/>
    <x v="496"/>
    <x v="5"/>
    <x v="0"/>
    <x v="674"/>
    <x v="545"/>
    <x v="36"/>
    <x v="578"/>
    <x v="0"/>
    <x v="1"/>
    <x v="578"/>
    <x v="674"/>
  </r>
  <r>
    <x v="675"/>
    <x v="497"/>
    <x v="3"/>
    <x v="4"/>
    <x v="675"/>
    <x v="546"/>
    <x v="29"/>
    <x v="579"/>
    <x v="0"/>
    <x v="1"/>
    <x v="579"/>
    <x v="675"/>
  </r>
  <r>
    <x v="676"/>
    <x v="498"/>
    <x v="1"/>
    <x v="2"/>
    <x v="676"/>
    <x v="547"/>
    <x v="84"/>
    <x v="580"/>
    <x v="0"/>
    <x v="1"/>
    <x v="580"/>
    <x v="676"/>
  </r>
  <r>
    <x v="677"/>
    <x v="265"/>
    <x v="2"/>
    <x v="4"/>
    <x v="677"/>
    <x v="217"/>
    <x v="92"/>
    <x v="508"/>
    <x v="0"/>
    <x v="1"/>
    <x v="508"/>
    <x v="677"/>
  </r>
  <r>
    <x v="678"/>
    <x v="303"/>
    <x v="1"/>
    <x v="4"/>
    <x v="678"/>
    <x v="548"/>
    <x v="23"/>
    <x v="581"/>
    <x v="0"/>
    <x v="1"/>
    <x v="581"/>
    <x v="678"/>
  </r>
  <r>
    <x v="679"/>
    <x v="499"/>
    <x v="0"/>
    <x v="4"/>
    <x v="679"/>
    <x v="549"/>
    <x v="12"/>
    <x v="582"/>
    <x v="0"/>
    <x v="1"/>
    <x v="582"/>
    <x v="679"/>
  </r>
  <r>
    <x v="680"/>
    <x v="155"/>
    <x v="3"/>
    <x v="4"/>
    <x v="680"/>
    <x v="550"/>
    <x v="150"/>
    <x v="583"/>
    <x v="0"/>
    <x v="1"/>
    <x v="583"/>
    <x v="680"/>
  </r>
  <r>
    <x v="681"/>
    <x v="500"/>
    <x v="2"/>
    <x v="4"/>
    <x v="681"/>
    <x v="551"/>
    <x v="125"/>
    <x v="392"/>
    <x v="0"/>
    <x v="1"/>
    <x v="392"/>
    <x v="681"/>
  </r>
  <r>
    <x v="682"/>
    <x v="121"/>
    <x v="6"/>
    <x v="1"/>
    <x v="682"/>
    <x v="65"/>
    <x v="64"/>
    <x v="354"/>
    <x v="0"/>
    <x v="1"/>
    <x v="354"/>
    <x v="682"/>
  </r>
  <r>
    <x v="683"/>
    <x v="501"/>
    <x v="1"/>
    <x v="0"/>
    <x v="683"/>
    <x v="552"/>
    <x v="17"/>
    <x v="584"/>
    <x v="0"/>
    <x v="1"/>
    <x v="584"/>
    <x v="683"/>
  </r>
  <r>
    <x v="684"/>
    <x v="502"/>
    <x v="2"/>
    <x v="3"/>
    <x v="684"/>
    <x v="68"/>
    <x v="151"/>
    <x v="458"/>
    <x v="0"/>
    <x v="1"/>
    <x v="458"/>
    <x v="684"/>
  </r>
  <r>
    <x v="685"/>
    <x v="503"/>
    <x v="1"/>
    <x v="2"/>
    <x v="685"/>
    <x v="553"/>
    <x v="27"/>
    <x v="585"/>
    <x v="0"/>
    <x v="1"/>
    <x v="585"/>
    <x v="685"/>
  </r>
  <r>
    <x v="686"/>
    <x v="504"/>
    <x v="3"/>
    <x v="4"/>
    <x v="686"/>
    <x v="115"/>
    <x v="96"/>
    <x v="586"/>
    <x v="0"/>
    <x v="1"/>
    <x v="586"/>
    <x v="686"/>
  </r>
  <r>
    <x v="687"/>
    <x v="505"/>
    <x v="6"/>
    <x v="1"/>
    <x v="687"/>
    <x v="470"/>
    <x v="40"/>
    <x v="129"/>
    <x v="0"/>
    <x v="1"/>
    <x v="129"/>
    <x v="687"/>
  </r>
  <r>
    <x v="688"/>
    <x v="506"/>
    <x v="1"/>
    <x v="1"/>
    <x v="688"/>
    <x v="554"/>
    <x v="44"/>
    <x v="587"/>
    <x v="0"/>
    <x v="1"/>
    <x v="587"/>
    <x v="688"/>
  </r>
  <r>
    <x v="689"/>
    <x v="386"/>
    <x v="1"/>
    <x v="0"/>
    <x v="689"/>
    <x v="555"/>
    <x v="177"/>
    <x v="588"/>
    <x v="0"/>
    <x v="1"/>
    <x v="588"/>
    <x v="689"/>
  </r>
  <r>
    <x v="690"/>
    <x v="507"/>
    <x v="6"/>
    <x v="4"/>
    <x v="690"/>
    <x v="556"/>
    <x v="37"/>
    <x v="589"/>
    <x v="0"/>
    <x v="1"/>
    <x v="589"/>
    <x v="690"/>
  </r>
  <r>
    <x v="691"/>
    <x v="378"/>
    <x v="2"/>
    <x v="1"/>
    <x v="691"/>
    <x v="557"/>
    <x v="4"/>
    <x v="470"/>
    <x v="0"/>
    <x v="1"/>
    <x v="470"/>
    <x v="691"/>
  </r>
  <r>
    <x v="692"/>
    <x v="340"/>
    <x v="3"/>
    <x v="4"/>
    <x v="692"/>
    <x v="558"/>
    <x v="59"/>
    <x v="590"/>
    <x v="0"/>
    <x v="1"/>
    <x v="590"/>
    <x v="692"/>
  </r>
  <r>
    <x v="693"/>
    <x v="112"/>
    <x v="1"/>
    <x v="2"/>
    <x v="693"/>
    <x v="108"/>
    <x v="27"/>
    <x v="49"/>
    <x v="1"/>
    <x v="1"/>
    <x v="49"/>
    <x v="693"/>
  </r>
  <r>
    <x v="694"/>
    <x v="508"/>
    <x v="0"/>
    <x v="3"/>
    <x v="694"/>
    <x v="559"/>
    <x v="146"/>
    <x v="591"/>
    <x v="0"/>
    <x v="1"/>
    <x v="591"/>
    <x v="694"/>
  </r>
  <r>
    <x v="695"/>
    <x v="355"/>
    <x v="1"/>
    <x v="3"/>
    <x v="695"/>
    <x v="560"/>
    <x v="210"/>
    <x v="592"/>
    <x v="0"/>
    <x v="111"/>
    <x v="592"/>
    <x v="695"/>
  </r>
  <r>
    <x v="696"/>
    <x v="466"/>
    <x v="4"/>
    <x v="1"/>
    <x v="696"/>
    <x v="561"/>
    <x v="97"/>
    <x v="144"/>
    <x v="0"/>
    <x v="28"/>
    <x v="144"/>
    <x v="696"/>
  </r>
  <r>
    <x v="697"/>
    <x v="509"/>
    <x v="0"/>
    <x v="1"/>
    <x v="697"/>
    <x v="562"/>
    <x v="16"/>
    <x v="593"/>
    <x v="1"/>
    <x v="1"/>
    <x v="593"/>
    <x v="697"/>
  </r>
  <r>
    <x v="698"/>
    <x v="301"/>
    <x v="3"/>
    <x v="3"/>
    <x v="698"/>
    <x v="71"/>
    <x v="211"/>
    <x v="17"/>
    <x v="0"/>
    <x v="1"/>
    <x v="17"/>
    <x v="698"/>
  </r>
  <r>
    <x v="699"/>
    <x v="94"/>
    <x v="1"/>
    <x v="3"/>
    <x v="699"/>
    <x v="488"/>
    <x v="187"/>
    <x v="594"/>
    <x v="0"/>
    <x v="1"/>
    <x v="594"/>
    <x v="699"/>
  </r>
  <r>
    <x v="700"/>
    <x v="510"/>
    <x v="2"/>
    <x v="0"/>
    <x v="700"/>
    <x v="187"/>
    <x v="49"/>
    <x v="595"/>
    <x v="0"/>
    <x v="1"/>
    <x v="595"/>
    <x v="700"/>
  </r>
  <r>
    <x v="701"/>
    <x v="136"/>
    <x v="1"/>
    <x v="3"/>
    <x v="701"/>
    <x v="563"/>
    <x v="34"/>
    <x v="596"/>
    <x v="0"/>
    <x v="112"/>
    <x v="596"/>
    <x v="701"/>
  </r>
  <r>
    <x v="702"/>
    <x v="296"/>
    <x v="5"/>
    <x v="4"/>
    <x v="702"/>
    <x v="564"/>
    <x v="92"/>
    <x v="597"/>
    <x v="1"/>
    <x v="1"/>
    <x v="597"/>
    <x v="702"/>
  </r>
  <r>
    <x v="703"/>
    <x v="511"/>
    <x v="5"/>
    <x v="4"/>
    <x v="703"/>
    <x v="565"/>
    <x v="55"/>
    <x v="223"/>
    <x v="0"/>
    <x v="1"/>
    <x v="223"/>
    <x v="703"/>
  </r>
  <r>
    <x v="704"/>
    <x v="238"/>
    <x v="1"/>
    <x v="3"/>
    <x v="704"/>
    <x v="566"/>
    <x v="143"/>
    <x v="598"/>
    <x v="0"/>
    <x v="1"/>
    <x v="598"/>
    <x v="704"/>
  </r>
  <r>
    <x v="705"/>
    <x v="464"/>
    <x v="6"/>
    <x v="3"/>
    <x v="705"/>
    <x v="379"/>
    <x v="212"/>
    <x v="599"/>
    <x v="0"/>
    <x v="1"/>
    <x v="599"/>
    <x v="705"/>
  </r>
  <r>
    <x v="706"/>
    <x v="512"/>
    <x v="1"/>
    <x v="0"/>
    <x v="706"/>
    <x v="567"/>
    <x v="38"/>
    <x v="600"/>
    <x v="2"/>
    <x v="113"/>
    <x v="600"/>
    <x v="706"/>
  </r>
  <r>
    <x v="707"/>
    <x v="513"/>
    <x v="0"/>
    <x v="1"/>
    <x v="707"/>
    <x v="27"/>
    <x v="16"/>
    <x v="601"/>
    <x v="0"/>
    <x v="1"/>
    <x v="601"/>
    <x v="707"/>
  </r>
  <r>
    <x v="708"/>
    <x v="125"/>
    <x v="3"/>
    <x v="4"/>
    <x v="708"/>
    <x v="568"/>
    <x v="41"/>
    <x v="602"/>
    <x v="0"/>
    <x v="1"/>
    <x v="602"/>
    <x v="708"/>
  </r>
  <r>
    <x v="709"/>
    <x v="122"/>
    <x v="6"/>
    <x v="4"/>
    <x v="709"/>
    <x v="569"/>
    <x v="59"/>
    <x v="603"/>
    <x v="1"/>
    <x v="1"/>
    <x v="603"/>
    <x v="709"/>
  </r>
  <r>
    <x v="710"/>
    <x v="373"/>
    <x v="5"/>
    <x v="2"/>
    <x v="710"/>
    <x v="570"/>
    <x v="38"/>
    <x v="604"/>
    <x v="0"/>
    <x v="1"/>
    <x v="604"/>
    <x v="710"/>
  </r>
  <r>
    <x v="711"/>
    <x v="514"/>
    <x v="4"/>
    <x v="0"/>
    <x v="711"/>
    <x v="571"/>
    <x v="44"/>
    <x v="605"/>
    <x v="0"/>
    <x v="1"/>
    <x v="605"/>
    <x v="711"/>
  </r>
  <r>
    <x v="712"/>
    <x v="515"/>
    <x v="0"/>
    <x v="1"/>
    <x v="712"/>
    <x v="379"/>
    <x v="128"/>
    <x v="535"/>
    <x v="0"/>
    <x v="1"/>
    <x v="535"/>
    <x v="712"/>
  </r>
  <r>
    <x v="713"/>
    <x v="516"/>
    <x v="5"/>
    <x v="3"/>
    <x v="713"/>
    <x v="572"/>
    <x v="173"/>
    <x v="606"/>
    <x v="1"/>
    <x v="1"/>
    <x v="606"/>
    <x v="713"/>
  </r>
  <r>
    <x v="714"/>
    <x v="517"/>
    <x v="3"/>
    <x v="3"/>
    <x v="714"/>
    <x v="573"/>
    <x v="213"/>
    <x v="607"/>
    <x v="2"/>
    <x v="8"/>
    <x v="607"/>
    <x v="714"/>
  </r>
  <r>
    <x v="715"/>
    <x v="123"/>
    <x v="5"/>
    <x v="3"/>
    <x v="715"/>
    <x v="43"/>
    <x v="169"/>
    <x v="608"/>
    <x v="0"/>
    <x v="1"/>
    <x v="608"/>
    <x v="715"/>
  </r>
  <r>
    <x v="716"/>
    <x v="149"/>
    <x v="1"/>
    <x v="4"/>
    <x v="716"/>
    <x v="574"/>
    <x v="35"/>
    <x v="259"/>
    <x v="1"/>
    <x v="1"/>
    <x v="259"/>
    <x v="716"/>
  </r>
  <r>
    <x v="717"/>
    <x v="232"/>
    <x v="0"/>
    <x v="1"/>
    <x v="717"/>
    <x v="128"/>
    <x v="26"/>
    <x v="307"/>
    <x v="0"/>
    <x v="0"/>
    <x v="307"/>
    <x v="717"/>
  </r>
  <r>
    <x v="718"/>
    <x v="394"/>
    <x v="5"/>
    <x v="0"/>
    <x v="718"/>
    <x v="232"/>
    <x v="189"/>
    <x v="609"/>
    <x v="0"/>
    <x v="1"/>
    <x v="609"/>
    <x v="718"/>
  </r>
  <r>
    <x v="719"/>
    <x v="518"/>
    <x v="2"/>
    <x v="3"/>
    <x v="719"/>
    <x v="575"/>
    <x v="214"/>
    <x v="610"/>
    <x v="0"/>
    <x v="1"/>
    <x v="610"/>
    <x v="719"/>
  </r>
  <r>
    <x v="720"/>
    <x v="293"/>
    <x v="3"/>
    <x v="4"/>
    <x v="720"/>
    <x v="31"/>
    <x v="27"/>
    <x v="611"/>
    <x v="0"/>
    <x v="1"/>
    <x v="611"/>
    <x v="720"/>
  </r>
  <r>
    <x v="721"/>
    <x v="393"/>
    <x v="0"/>
    <x v="1"/>
    <x v="721"/>
    <x v="576"/>
    <x v="128"/>
    <x v="612"/>
    <x v="0"/>
    <x v="1"/>
    <x v="612"/>
    <x v="721"/>
  </r>
  <r>
    <x v="722"/>
    <x v="217"/>
    <x v="3"/>
    <x v="0"/>
    <x v="722"/>
    <x v="491"/>
    <x v="27"/>
    <x v="613"/>
    <x v="0"/>
    <x v="1"/>
    <x v="613"/>
    <x v="722"/>
  </r>
  <r>
    <x v="723"/>
    <x v="519"/>
    <x v="2"/>
    <x v="1"/>
    <x v="723"/>
    <x v="577"/>
    <x v="57"/>
    <x v="614"/>
    <x v="0"/>
    <x v="52"/>
    <x v="614"/>
    <x v="723"/>
  </r>
  <r>
    <x v="724"/>
    <x v="75"/>
    <x v="5"/>
    <x v="1"/>
    <x v="724"/>
    <x v="578"/>
    <x v="43"/>
    <x v="23"/>
    <x v="1"/>
    <x v="1"/>
    <x v="23"/>
    <x v="724"/>
  </r>
  <r>
    <x v="725"/>
    <x v="381"/>
    <x v="0"/>
    <x v="4"/>
    <x v="725"/>
    <x v="579"/>
    <x v="100"/>
    <x v="32"/>
    <x v="0"/>
    <x v="1"/>
    <x v="32"/>
    <x v="725"/>
  </r>
  <r>
    <x v="726"/>
    <x v="18"/>
    <x v="4"/>
    <x v="4"/>
    <x v="726"/>
    <x v="580"/>
    <x v="115"/>
    <x v="69"/>
    <x v="1"/>
    <x v="1"/>
    <x v="69"/>
    <x v="726"/>
  </r>
  <r>
    <x v="727"/>
    <x v="520"/>
    <x v="2"/>
    <x v="3"/>
    <x v="727"/>
    <x v="28"/>
    <x v="215"/>
    <x v="615"/>
    <x v="0"/>
    <x v="1"/>
    <x v="615"/>
    <x v="727"/>
  </r>
  <r>
    <x v="728"/>
    <x v="521"/>
    <x v="1"/>
    <x v="3"/>
    <x v="728"/>
    <x v="11"/>
    <x v="151"/>
    <x v="270"/>
    <x v="0"/>
    <x v="1"/>
    <x v="270"/>
    <x v="728"/>
  </r>
  <r>
    <x v="729"/>
    <x v="402"/>
    <x v="1"/>
    <x v="3"/>
    <x v="729"/>
    <x v="581"/>
    <x v="216"/>
    <x v="616"/>
    <x v="0"/>
    <x v="1"/>
    <x v="616"/>
    <x v="729"/>
  </r>
  <r>
    <x v="730"/>
    <x v="71"/>
    <x v="2"/>
    <x v="3"/>
    <x v="730"/>
    <x v="582"/>
    <x v="167"/>
    <x v="617"/>
    <x v="2"/>
    <x v="92"/>
    <x v="617"/>
    <x v="730"/>
  </r>
  <r>
    <x v="731"/>
    <x v="221"/>
    <x v="5"/>
    <x v="3"/>
    <x v="731"/>
    <x v="583"/>
    <x v="152"/>
    <x v="618"/>
    <x v="0"/>
    <x v="1"/>
    <x v="618"/>
    <x v="731"/>
  </r>
  <r>
    <x v="732"/>
    <x v="70"/>
    <x v="5"/>
    <x v="4"/>
    <x v="732"/>
    <x v="208"/>
    <x v="59"/>
    <x v="574"/>
    <x v="1"/>
    <x v="1"/>
    <x v="574"/>
    <x v="732"/>
  </r>
  <r>
    <x v="733"/>
    <x v="145"/>
    <x v="0"/>
    <x v="3"/>
    <x v="733"/>
    <x v="584"/>
    <x v="217"/>
    <x v="619"/>
    <x v="0"/>
    <x v="1"/>
    <x v="619"/>
    <x v="733"/>
  </r>
  <r>
    <x v="734"/>
    <x v="482"/>
    <x v="0"/>
    <x v="3"/>
    <x v="734"/>
    <x v="311"/>
    <x v="218"/>
    <x v="101"/>
    <x v="0"/>
    <x v="1"/>
    <x v="101"/>
    <x v="734"/>
  </r>
  <r>
    <x v="735"/>
    <x v="303"/>
    <x v="1"/>
    <x v="4"/>
    <x v="735"/>
    <x v="85"/>
    <x v="57"/>
    <x v="393"/>
    <x v="0"/>
    <x v="1"/>
    <x v="393"/>
    <x v="735"/>
  </r>
  <r>
    <x v="736"/>
    <x v="255"/>
    <x v="4"/>
    <x v="1"/>
    <x v="736"/>
    <x v="162"/>
    <x v="30"/>
    <x v="186"/>
    <x v="0"/>
    <x v="1"/>
    <x v="186"/>
    <x v="736"/>
  </r>
  <r>
    <x v="737"/>
    <x v="488"/>
    <x v="4"/>
    <x v="2"/>
    <x v="737"/>
    <x v="571"/>
    <x v="9"/>
    <x v="510"/>
    <x v="0"/>
    <x v="1"/>
    <x v="510"/>
    <x v="737"/>
  </r>
  <r>
    <x v="738"/>
    <x v="522"/>
    <x v="6"/>
    <x v="3"/>
    <x v="738"/>
    <x v="585"/>
    <x v="132"/>
    <x v="620"/>
    <x v="0"/>
    <x v="1"/>
    <x v="620"/>
    <x v="738"/>
  </r>
  <r>
    <x v="739"/>
    <x v="523"/>
    <x v="3"/>
    <x v="0"/>
    <x v="739"/>
    <x v="586"/>
    <x v="108"/>
    <x v="621"/>
    <x v="0"/>
    <x v="1"/>
    <x v="621"/>
    <x v="739"/>
  </r>
  <r>
    <x v="740"/>
    <x v="524"/>
    <x v="6"/>
    <x v="2"/>
    <x v="740"/>
    <x v="213"/>
    <x v="61"/>
    <x v="351"/>
    <x v="1"/>
    <x v="1"/>
    <x v="351"/>
    <x v="740"/>
  </r>
  <r>
    <x v="741"/>
    <x v="100"/>
    <x v="2"/>
    <x v="3"/>
    <x v="741"/>
    <x v="587"/>
    <x v="219"/>
    <x v="622"/>
    <x v="0"/>
    <x v="1"/>
    <x v="622"/>
    <x v="741"/>
  </r>
  <r>
    <x v="742"/>
    <x v="525"/>
    <x v="1"/>
    <x v="4"/>
    <x v="742"/>
    <x v="264"/>
    <x v="48"/>
    <x v="623"/>
    <x v="1"/>
    <x v="1"/>
    <x v="623"/>
    <x v="742"/>
  </r>
  <r>
    <x v="743"/>
    <x v="526"/>
    <x v="0"/>
    <x v="0"/>
    <x v="743"/>
    <x v="588"/>
    <x v="220"/>
    <x v="372"/>
    <x v="0"/>
    <x v="1"/>
    <x v="372"/>
    <x v="743"/>
  </r>
  <r>
    <x v="744"/>
    <x v="527"/>
    <x v="2"/>
    <x v="4"/>
    <x v="744"/>
    <x v="589"/>
    <x v="125"/>
    <x v="624"/>
    <x v="0"/>
    <x v="1"/>
    <x v="624"/>
    <x v="744"/>
  </r>
  <r>
    <x v="745"/>
    <x v="528"/>
    <x v="1"/>
    <x v="1"/>
    <x v="745"/>
    <x v="590"/>
    <x v="7"/>
    <x v="625"/>
    <x v="0"/>
    <x v="1"/>
    <x v="625"/>
    <x v="745"/>
  </r>
  <r>
    <x v="746"/>
    <x v="529"/>
    <x v="3"/>
    <x v="4"/>
    <x v="746"/>
    <x v="47"/>
    <x v="96"/>
    <x v="626"/>
    <x v="0"/>
    <x v="1"/>
    <x v="626"/>
    <x v="746"/>
  </r>
  <r>
    <x v="747"/>
    <x v="530"/>
    <x v="0"/>
    <x v="2"/>
    <x v="747"/>
    <x v="591"/>
    <x v="32"/>
    <x v="627"/>
    <x v="0"/>
    <x v="1"/>
    <x v="627"/>
    <x v="747"/>
  </r>
  <r>
    <x v="748"/>
    <x v="531"/>
    <x v="6"/>
    <x v="2"/>
    <x v="748"/>
    <x v="592"/>
    <x v="89"/>
    <x v="410"/>
    <x v="0"/>
    <x v="1"/>
    <x v="410"/>
    <x v="748"/>
  </r>
  <r>
    <x v="749"/>
    <x v="532"/>
    <x v="1"/>
    <x v="1"/>
    <x v="749"/>
    <x v="593"/>
    <x v="79"/>
    <x v="277"/>
    <x v="0"/>
    <x v="1"/>
    <x v="277"/>
    <x v="749"/>
  </r>
  <r>
    <x v="750"/>
    <x v="112"/>
    <x v="1"/>
    <x v="1"/>
    <x v="750"/>
    <x v="594"/>
    <x v="129"/>
    <x v="628"/>
    <x v="0"/>
    <x v="1"/>
    <x v="628"/>
    <x v="750"/>
  </r>
  <r>
    <x v="751"/>
    <x v="243"/>
    <x v="1"/>
    <x v="1"/>
    <x v="751"/>
    <x v="595"/>
    <x v="50"/>
    <x v="320"/>
    <x v="0"/>
    <x v="1"/>
    <x v="320"/>
    <x v="751"/>
  </r>
  <r>
    <x v="752"/>
    <x v="533"/>
    <x v="3"/>
    <x v="3"/>
    <x v="752"/>
    <x v="596"/>
    <x v="221"/>
    <x v="629"/>
    <x v="0"/>
    <x v="1"/>
    <x v="629"/>
    <x v="752"/>
  </r>
  <r>
    <x v="753"/>
    <x v="534"/>
    <x v="6"/>
    <x v="3"/>
    <x v="753"/>
    <x v="597"/>
    <x v="151"/>
    <x v="630"/>
    <x v="2"/>
    <x v="114"/>
    <x v="630"/>
    <x v="753"/>
  </r>
  <r>
    <x v="754"/>
    <x v="535"/>
    <x v="4"/>
    <x v="2"/>
    <x v="754"/>
    <x v="588"/>
    <x v="23"/>
    <x v="631"/>
    <x v="1"/>
    <x v="1"/>
    <x v="631"/>
    <x v="754"/>
  </r>
  <r>
    <x v="755"/>
    <x v="536"/>
    <x v="0"/>
    <x v="1"/>
    <x v="755"/>
    <x v="598"/>
    <x v="84"/>
    <x v="632"/>
    <x v="0"/>
    <x v="1"/>
    <x v="632"/>
    <x v="755"/>
  </r>
  <r>
    <x v="756"/>
    <x v="521"/>
    <x v="1"/>
    <x v="3"/>
    <x v="756"/>
    <x v="205"/>
    <x v="221"/>
    <x v="633"/>
    <x v="0"/>
    <x v="1"/>
    <x v="633"/>
    <x v="756"/>
  </r>
  <r>
    <x v="757"/>
    <x v="416"/>
    <x v="4"/>
    <x v="1"/>
    <x v="757"/>
    <x v="349"/>
    <x v="128"/>
    <x v="634"/>
    <x v="0"/>
    <x v="1"/>
    <x v="634"/>
    <x v="757"/>
  </r>
  <r>
    <x v="758"/>
    <x v="537"/>
    <x v="2"/>
    <x v="4"/>
    <x v="758"/>
    <x v="244"/>
    <x v="43"/>
    <x v="592"/>
    <x v="1"/>
    <x v="1"/>
    <x v="592"/>
    <x v="758"/>
  </r>
  <r>
    <x v="759"/>
    <x v="537"/>
    <x v="2"/>
    <x v="1"/>
    <x v="759"/>
    <x v="599"/>
    <x v="128"/>
    <x v="635"/>
    <x v="0"/>
    <x v="1"/>
    <x v="635"/>
    <x v="759"/>
  </r>
  <r>
    <x v="760"/>
    <x v="538"/>
    <x v="3"/>
    <x v="1"/>
    <x v="760"/>
    <x v="109"/>
    <x v="23"/>
    <x v="636"/>
    <x v="0"/>
    <x v="1"/>
    <x v="636"/>
    <x v="760"/>
  </r>
  <r>
    <x v="761"/>
    <x v="539"/>
    <x v="3"/>
    <x v="4"/>
    <x v="761"/>
    <x v="350"/>
    <x v="172"/>
    <x v="368"/>
    <x v="0"/>
    <x v="1"/>
    <x v="368"/>
    <x v="761"/>
  </r>
  <r>
    <x v="762"/>
    <x v="265"/>
    <x v="2"/>
    <x v="2"/>
    <x v="762"/>
    <x v="296"/>
    <x v="75"/>
    <x v="637"/>
    <x v="2"/>
    <x v="115"/>
    <x v="637"/>
    <x v="762"/>
  </r>
  <r>
    <x v="763"/>
    <x v="540"/>
    <x v="6"/>
    <x v="1"/>
    <x v="763"/>
    <x v="600"/>
    <x v="3"/>
    <x v="323"/>
    <x v="2"/>
    <x v="116"/>
    <x v="323"/>
    <x v="763"/>
  </r>
  <r>
    <x v="764"/>
    <x v="85"/>
    <x v="5"/>
    <x v="3"/>
    <x v="764"/>
    <x v="277"/>
    <x v="222"/>
    <x v="314"/>
    <x v="0"/>
    <x v="1"/>
    <x v="314"/>
    <x v="764"/>
  </r>
  <r>
    <x v="765"/>
    <x v="456"/>
    <x v="3"/>
    <x v="4"/>
    <x v="765"/>
    <x v="601"/>
    <x v="41"/>
    <x v="638"/>
    <x v="0"/>
    <x v="1"/>
    <x v="638"/>
    <x v="765"/>
  </r>
  <r>
    <x v="766"/>
    <x v="278"/>
    <x v="3"/>
    <x v="0"/>
    <x v="766"/>
    <x v="602"/>
    <x v="28"/>
    <x v="639"/>
    <x v="0"/>
    <x v="1"/>
    <x v="639"/>
    <x v="766"/>
  </r>
  <r>
    <x v="767"/>
    <x v="533"/>
    <x v="3"/>
    <x v="4"/>
    <x v="767"/>
    <x v="603"/>
    <x v="172"/>
    <x v="29"/>
    <x v="0"/>
    <x v="1"/>
    <x v="29"/>
    <x v="767"/>
  </r>
  <r>
    <x v="768"/>
    <x v="442"/>
    <x v="0"/>
    <x v="4"/>
    <x v="768"/>
    <x v="117"/>
    <x v="16"/>
    <x v="640"/>
    <x v="0"/>
    <x v="1"/>
    <x v="640"/>
    <x v="768"/>
  </r>
  <r>
    <x v="769"/>
    <x v="541"/>
    <x v="6"/>
    <x v="0"/>
    <x v="769"/>
    <x v="604"/>
    <x v="108"/>
    <x v="641"/>
    <x v="0"/>
    <x v="1"/>
    <x v="641"/>
    <x v="769"/>
  </r>
  <r>
    <x v="770"/>
    <x v="20"/>
    <x v="6"/>
    <x v="2"/>
    <x v="770"/>
    <x v="605"/>
    <x v="96"/>
    <x v="642"/>
    <x v="1"/>
    <x v="1"/>
    <x v="642"/>
    <x v="770"/>
  </r>
  <r>
    <x v="771"/>
    <x v="501"/>
    <x v="1"/>
    <x v="1"/>
    <x v="771"/>
    <x v="606"/>
    <x v="4"/>
    <x v="643"/>
    <x v="0"/>
    <x v="71"/>
    <x v="643"/>
    <x v="771"/>
  </r>
  <r>
    <x v="772"/>
    <x v="542"/>
    <x v="3"/>
    <x v="1"/>
    <x v="772"/>
    <x v="607"/>
    <x v="43"/>
    <x v="644"/>
    <x v="0"/>
    <x v="1"/>
    <x v="644"/>
    <x v="772"/>
  </r>
  <r>
    <x v="773"/>
    <x v="90"/>
    <x v="6"/>
    <x v="0"/>
    <x v="773"/>
    <x v="156"/>
    <x v="223"/>
    <x v="645"/>
    <x v="0"/>
    <x v="1"/>
    <x v="645"/>
    <x v="773"/>
  </r>
  <r>
    <x v="774"/>
    <x v="74"/>
    <x v="0"/>
    <x v="3"/>
    <x v="774"/>
    <x v="608"/>
    <x v="224"/>
    <x v="136"/>
    <x v="0"/>
    <x v="117"/>
    <x v="136"/>
    <x v="774"/>
  </r>
  <r>
    <x v="775"/>
    <x v="516"/>
    <x v="5"/>
    <x v="2"/>
    <x v="775"/>
    <x v="478"/>
    <x v="7"/>
    <x v="646"/>
    <x v="1"/>
    <x v="1"/>
    <x v="646"/>
    <x v="775"/>
  </r>
  <r>
    <x v="776"/>
    <x v="287"/>
    <x v="2"/>
    <x v="4"/>
    <x v="776"/>
    <x v="56"/>
    <x v="52"/>
    <x v="209"/>
    <x v="0"/>
    <x v="1"/>
    <x v="209"/>
    <x v="776"/>
  </r>
  <r>
    <x v="777"/>
    <x v="543"/>
    <x v="6"/>
    <x v="4"/>
    <x v="777"/>
    <x v="609"/>
    <x v="172"/>
    <x v="4"/>
    <x v="1"/>
    <x v="1"/>
    <x v="4"/>
    <x v="777"/>
  </r>
  <r>
    <x v="778"/>
    <x v="405"/>
    <x v="0"/>
    <x v="2"/>
    <x v="778"/>
    <x v="610"/>
    <x v="84"/>
    <x v="647"/>
    <x v="0"/>
    <x v="1"/>
    <x v="647"/>
    <x v="778"/>
  </r>
  <r>
    <x v="779"/>
    <x v="544"/>
    <x v="5"/>
    <x v="1"/>
    <x v="779"/>
    <x v="611"/>
    <x v="13"/>
    <x v="648"/>
    <x v="1"/>
    <x v="1"/>
    <x v="648"/>
    <x v="779"/>
  </r>
  <r>
    <x v="780"/>
    <x v="545"/>
    <x v="4"/>
    <x v="0"/>
    <x v="780"/>
    <x v="151"/>
    <x v="17"/>
    <x v="649"/>
    <x v="1"/>
    <x v="1"/>
    <x v="649"/>
    <x v="780"/>
  </r>
  <r>
    <x v="781"/>
    <x v="419"/>
    <x v="3"/>
    <x v="1"/>
    <x v="781"/>
    <x v="119"/>
    <x v="40"/>
    <x v="206"/>
    <x v="0"/>
    <x v="1"/>
    <x v="206"/>
    <x v="781"/>
  </r>
  <r>
    <x v="782"/>
    <x v="219"/>
    <x v="2"/>
    <x v="0"/>
    <x v="782"/>
    <x v="353"/>
    <x v="2"/>
    <x v="650"/>
    <x v="0"/>
    <x v="1"/>
    <x v="650"/>
    <x v="782"/>
  </r>
  <r>
    <x v="783"/>
    <x v="507"/>
    <x v="6"/>
    <x v="4"/>
    <x v="783"/>
    <x v="612"/>
    <x v="115"/>
    <x v="651"/>
    <x v="0"/>
    <x v="1"/>
    <x v="651"/>
    <x v="783"/>
  </r>
  <r>
    <x v="784"/>
    <x v="546"/>
    <x v="4"/>
    <x v="1"/>
    <x v="784"/>
    <x v="613"/>
    <x v="49"/>
    <x v="148"/>
    <x v="0"/>
    <x v="1"/>
    <x v="148"/>
    <x v="784"/>
  </r>
  <r>
    <x v="785"/>
    <x v="547"/>
    <x v="0"/>
    <x v="0"/>
    <x v="785"/>
    <x v="530"/>
    <x v="4"/>
    <x v="652"/>
    <x v="0"/>
    <x v="1"/>
    <x v="652"/>
    <x v="785"/>
  </r>
  <r>
    <x v="786"/>
    <x v="548"/>
    <x v="6"/>
    <x v="4"/>
    <x v="786"/>
    <x v="563"/>
    <x v="86"/>
    <x v="653"/>
    <x v="0"/>
    <x v="1"/>
    <x v="653"/>
    <x v="786"/>
  </r>
  <r>
    <x v="787"/>
    <x v="549"/>
    <x v="5"/>
    <x v="4"/>
    <x v="787"/>
    <x v="614"/>
    <x v="57"/>
    <x v="654"/>
    <x v="0"/>
    <x v="1"/>
    <x v="654"/>
    <x v="787"/>
  </r>
  <r>
    <x v="788"/>
    <x v="550"/>
    <x v="4"/>
    <x v="1"/>
    <x v="788"/>
    <x v="492"/>
    <x v="3"/>
    <x v="281"/>
    <x v="1"/>
    <x v="1"/>
    <x v="281"/>
    <x v="788"/>
  </r>
  <r>
    <x v="789"/>
    <x v="551"/>
    <x v="4"/>
    <x v="1"/>
    <x v="789"/>
    <x v="248"/>
    <x v="86"/>
    <x v="583"/>
    <x v="0"/>
    <x v="1"/>
    <x v="583"/>
    <x v="789"/>
  </r>
  <r>
    <x v="790"/>
    <x v="312"/>
    <x v="1"/>
    <x v="1"/>
    <x v="790"/>
    <x v="246"/>
    <x v="103"/>
    <x v="34"/>
    <x v="0"/>
    <x v="1"/>
    <x v="34"/>
    <x v="790"/>
  </r>
  <r>
    <x v="791"/>
    <x v="552"/>
    <x v="3"/>
    <x v="3"/>
    <x v="791"/>
    <x v="615"/>
    <x v="225"/>
    <x v="655"/>
    <x v="0"/>
    <x v="1"/>
    <x v="655"/>
    <x v="791"/>
  </r>
  <r>
    <x v="792"/>
    <x v="33"/>
    <x v="4"/>
    <x v="4"/>
    <x v="792"/>
    <x v="616"/>
    <x v="0"/>
    <x v="465"/>
    <x v="0"/>
    <x v="1"/>
    <x v="465"/>
    <x v="792"/>
  </r>
  <r>
    <x v="793"/>
    <x v="308"/>
    <x v="3"/>
    <x v="1"/>
    <x v="793"/>
    <x v="617"/>
    <x v="4"/>
    <x v="656"/>
    <x v="0"/>
    <x v="1"/>
    <x v="656"/>
    <x v="793"/>
  </r>
  <r>
    <x v="794"/>
    <x v="157"/>
    <x v="6"/>
    <x v="2"/>
    <x v="794"/>
    <x v="618"/>
    <x v="26"/>
    <x v="657"/>
    <x v="0"/>
    <x v="1"/>
    <x v="657"/>
    <x v="794"/>
  </r>
  <r>
    <x v="795"/>
    <x v="541"/>
    <x v="6"/>
    <x v="4"/>
    <x v="795"/>
    <x v="619"/>
    <x v="48"/>
    <x v="658"/>
    <x v="0"/>
    <x v="82"/>
    <x v="658"/>
    <x v="795"/>
  </r>
  <r>
    <x v="796"/>
    <x v="30"/>
    <x v="5"/>
    <x v="3"/>
    <x v="796"/>
    <x v="516"/>
    <x v="120"/>
    <x v="659"/>
    <x v="0"/>
    <x v="1"/>
    <x v="659"/>
    <x v="796"/>
  </r>
  <r>
    <x v="797"/>
    <x v="22"/>
    <x v="2"/>
    <x v="4"/>
    <x v="797"/>
    <x v="620"/>
    <x v="35"/>
    <x v="527"/>
    <x v="0"/>
    <x v="117"/>
    <x v="527"/>
    <x v="797"/>
  </r>
  <r>
    <x v="798"/>
    <x v="553"/>
    <x v="1"/>
    <x v="1"/>
    <x v="798"/>
    <x v="82"/>
    <x v="46"/>
    <x v="660"/>
    <x v="1"/>
    <x v="1"/>
    <x v="660"/>
    <x v="798"/>
  </r>
  <r>
    <x v="799"/>
    <x v="504"/>
    <x v="3"/>
    <x v="4"/>
    <x v="799"/>
    <x v="621"/>
    <x v="226"/>
    <x v="600"/>
    <x v="2"/>
    <x v="9"/>
    <x v="600"/>
    <x v="799"/>
  </r>
  <r>
    <x v="800"/>
    <x v="193"/>
    <x v="0"/>
    <x v="2"/>
    <x v="800"/>
    <x v="622"/>
    <x v="31"/>
    <x v="661"/>
    <x v="0"/>
    <x v="1"/>
    <x v="661"/>
    <x v="800"/>
  </r>
  <r>
    <x v="801"/>
    <x v="41"/>
    <x v="6"/>
    <x v="3"/>
    <x v="801"/>
    <x v="245"/>
    <x v="143"/>
    <x v="662"/>
    <x v="0"/>
    <x v="1"/>
    <x v="662"/>
    <x v="801"/>
  </r>
  <r>
    <x v="802"/>
    <x v="554"/>
    <x v="4"/>
    <x v="0"/>
    <x v="802"/>
    <x v="623"/>
    <x v="89"/>
    <x v="663"/>
    <x v="0"/>
    <x v="1"/>
    <x v="663"/>
    <x v="802"/>
  </r>
  <r>
    <x v="803"/>
    <x v="71"/>
    <x v="2"/>
    <x v="4"/>
    <x v="803"/>
    <x v="624"/>
    <x v="81"/>
    <x v="664"/>
    <x v="0"/>
    <x v="1"/>
    <x v="664"/>
    <x v="803"/>
  </r>
  <r>
    <x v="804"/>
    <x v="555"/>
    <x v="2"/>
    <x v="4"/>
    <x v="804"/>
    <x v="625"/>
    <x v="91"/>
    <x v="665"/>
    <x v="0"/>
    <x v="1"/>
    <x v="665"/>
    <x v="804"/>
  </r>
  <r>
    <x v="805"/>
    <x v="556"/>
    <x v="3"/>
    <x v="0"/>
    <x v="805"/>
    <x v="622"/>
    <x v="181"/>
    <x v="666"/>
    <x v="2"/>
    <x v="118"/>
    <x v="666"/>
    <x v="805"/>
  </r>
  <r>
    <x v="806"/>
    <x v="557"/>
    <x v="3"/>
    <x v="3"/>
    <x v="806"/>
    <x v="626"/>
    <x v="222"/>
    <x v="667"/>
    <x v="0"/>
    <x v="1"/>
    <x v="667"/>
    <x v="806"/>
  </r>
  <r>
    <x v="807"/>
    <x v="558"/>
    <x v="6"/>
    <x v="3"/>
    <x v="807"/>
    <x v="67"/>
    <x v="227"/>
    <x v="428"/>
    <x v="0"/>
    <x v="1"/>
    <x v="428"/>
    <x v="807"/>
  </r>
  <r>
    <x v="808"/>
    <x v="140"/>
    <x v="1"/>
    <x v="2"/>
    <x v="808"/>
    <x v="627"/>
    <x v="59"/>
    <x v="668"/>
    <x v="1"/>
    <x v="1"/>
    <x v="668"/>
    <x v="808"/>
  </r>
  <r>
    <x v="809"/>
    <x v="559"/>
    <x v="0"/>
    <x v="1"/>
    <x v="809"/>
    <x v="352"/>
    <x v="40"/>
    <x v="669"/>
    <x v="0"/>
    <x v="1"/>
    <x v="669"/>
    <x v="809"/>
  </r>
  <r>
    <x v="810"/>
    <x v="504"/>
    <x v="3"/>
    <x v="4"/>
    <x v="810"/>
    <x v="628"/>
    <x v="19"/>
    <x v="415"/>
    <x v="0"/>
    <x v="1"/>
    <x v="415"/>
    <x v="810"/>
  </r>
  <r>
    <x v="811"/>
    <x v="325"/>
    <x v="2"/>
    <x v="4"/>
    <x v="811"/>
    <x v="629"/>
    <x v="64"/>
    <x v="670"/>
    <x v="2"/>
    <x v="119"/>
    <x v="670"/>
    <x v="811"/>
  </r>
  <r>
    <x v="812"/>
    <x v="216"/>
    <x v="5"/>
    <x v="0"/>
    <x v="812"/>
    <x v="630"/>
    <x v="3"/>
    <x v="671"/>
    <x v="1"/>
    <x v="1"/>
    <x v="671"/>
    <x v="812"/>
  </r>
  <r>
    <x v="813"/>
    <x v="560"/>
    <x v="0"/>
    <x v="0"/>
    <x v="813"/>
    <x v="631"/>
    <x v="172"/>
    <x v="672"/>
    <x v="0"/>
    <x v="1"/>
    <x v="672"/>
    <x v="813"/>
  </r>
  <r>
    <x v="814"/>
    <x v="561"/>
    <x v="5"/>
    <x v="1"/>
    <x v="814"/>
    <x v="564"/>
    <x v="3"/>
    <x v="476"/>
    <x v="0"/>
    <x v="1"/>
    <x v="476"/>
    <x v="814"/>
  </r>
  <r>
    <x v="815"/>
    <x v="562"/>
    <x v="4"/>
    <x v="2"/>
    <x v="815"/>
    <x v="632"/>
    <x v="31"/>
    <x v="673"/>
    <x v="0"/>
    <x v="1"/>
    <x v="673"/>
    <x v="815"/>
  </r>
  <r>
    <x v="816"/>
    <x v="288"/>
    <x v="5"/>
    <x v="4"/>
    <x v="816"/>
    <x v="633"/>
    <x v="14"/>
    <x v="674"/>
    <x v="0"/>
    <x v="1"/>
    <x v="674"/>
    <x v="816"/>
  </r>
  <r>
    <x v="817"/>
    <x v="563"/>
    <x v="5"/>
    <x v="1"/>
    <x v="817"/>
    <x v="634"/>
    <x v="16"/>
    <x v="675"/>
    <x v="2"/>
    <x v="120"/>
    <x v="675"/>
    <x v="817"/>
  </r>
  <r>
    <x v="818"/>
    <x v="85"/>
    <x v="5"/>
    <x v="3"/>
    <x v="818"/>
    <x v="635"/>
    <x v="228"/>
    <x v="676"/>
    <x v="0"/>
    <x v="1"/>
    <x v="676"/>
    <x v="818"/>
  </r>
  <r>
    <x v="819"/>
    <x v="458"/>
    <x v="6"/>
    <x v="0"/>
    <x v="819"/>
    <x v="636"/>
    <x v="96"/>
    <x v="677"/>
    <x v="0"/>
    <x v="1"/>
    <x v="677"/>
    <x v="819"/>
  </r>
  <r>
    <x v="820"/>
    <x v="564"/>
    <x v="5"/>
    <x v="2"/>
    <x v="820"/>
    <x v="295"/>
    <x v="26"/>
    <x v="368"/>
    <x v="0"/>
    <x v="1"/>
    <x v="368"/>
    <x v="820"/>
  </r>
  <r>
    <x v="821"/>
    <x v="565"/>
    <x v="1"/>
    <x v="0"/>
    <x v="821"/>
    <x v="637"/>
    <x v="111"/>
    <x v="678"/>
    <x v="0"/>
    <x v="1"/>
    <x v="678"/>
    <x v="821"/>
  </r>
  <r>
    <x v="822"/>
    <x v="566"/>
    <x v="2"/>
    <x v="1"/>
    <x v="822"/>
    <x v="137"/>
    <x v="86"/>
    <x v="679"/>
    <x v="0"/>
    <x v="1"/>
    <x v="679"/>
    <x v="822"/>
  </r>
  <r>
    <x v="823"/>
    <x v="567"/>
    <x v="6"/>
    <x v="4"/>
    <x v="823"/>
    <x v="638"/>
    <x v="81"/>
    <x v="589"/>
    <x v="2"/>
    <x v="27"/>
    <x v="589"/>
    <x v="823"/>
  </r>
  <r>
    <x v="824"/>
    <x v="140"/>
    <x v="1"/>
    <x v="1"/>
    <x v="824"/>
    <x v="639"/>
    <x v="20"/>
    <x v="680"/>
    <x v="1"/>
    <x v="1"/>
    <x v="680"/>
    <x v="824"/>
  </r>
  <r>
    <x v="825"/>
    <x v="450"/>
    <x v="4"/>
    <x v="0"/>
    <x v="825"/>
    <x v="97"/>
    <x v="48"/>
    <x v="591"/>
    <x v="0"/>
    <x v="1"/>
    <x v="591"/>
    <x v="825"/>
  </r>
  <r>
    <x v="826"/>
    <x v="311"/>
    <x v="0"/>
    <x v="4"/>
    <x v="826"/>
    <x v="158"/>
    <x v="35"/>
    <x v="269"/>
    <x v="0"/>
    <x v="1"/>
    <x v="269"/>
    <x v="826"/>
  </r>
  <r>
    <x v="827"/>
    <x v="222"/>
    <x v="6"/>
    <x v="4"/>
    <x v="827"/>
    <x v="474"/>
    <x v="43"/>
    <x v="313"/>
    <x v="0"/>
    <x v="1"/>
    <x v="313"/>
    <x v="827"/>
  </r>
  <r>
    <x v="828"/>
    <x v="525"/>
    <x v="1"/>
    <x v="4"/>
    <x v="828"/>
    <x v="640"/>
    <x v="108"/>
    <x v="681"/>
    <x v="1"/>
    <x v="1"/>
    <x v="681"/>
    <x v="828"/>
  </r>
  <r>
    <x v="829"/>
    <x v="234"/>
    <x v="3"/>
    <x v="0"/>
    <x v="829"/>
    <x v="641"/>
    <x v="81"/>
    <x v="550"/>
    <x v="2"/>
    <x v="121"/>
    <x v="550"/>
    <x v="829"/>
  </r>
  <r>
    <x v="830"/>
    <x v="374"/>
    <x v="4"/>
    <x v="1"/>
    <x v="830"/>
    <x v="459"/>
    <x v="84"/>
    <x v="682"/>
    <x v="0"/>
    <x v="1"/>
    <x v="682"/>
    <x v="830"/>
  </r>
  <r>
    <x v="831"/>
    <x v="25"/>
    <x v="3"/>
    <x v="0"/>
    <x v="831"/>
    <x v="642"/>
    <x v="138"/>
    <x v="214"/>
    <x v="0"/>
    <x v="1"/>
    <x v="214"/>
    <x v="831"/>
  </r>
  <r>
    <x v="832"/>
    <x v="201"/>
    <x v="5"/>
    <x v="4"/>
    <x v="832"/>
    <x v="643"/>
    <x v="37"/>
    <x v="683"/>
    <x v="0"/>
    <x v="1"/>
    <x v="683"/>
    <x v="832"/>
  </r>
  <r>
    <x v="833"/>
    <x v="568"/>
    <x v="5"/>
    <x v="4"/>
    <x v="833"/>
    <x v="644"/>
    <x v="52"/>
    <x v="684"/>
    <x v="2"/>
    <x v="40"/>
    <x v="684"/>
    <x v="833"/>
  </r>
  <r>
    <x v="834"/>
    <x v="569"/>
    <x v="6"/>
    <x v="4"/>
    <x v="834"/>
    <x v="645"/>
    <x v="51"/>
    <x v="685"/>
    <x v="0"/>
    <x v="1"/>
    <x v="685"/>
    <x v="834"/>
  </r>
  <r>
    <x v="835"/>
    <x v="570"/>
    <x v="3"/>
    <x v="0"/>
    <x v="835"/>
    <x v="491"/>
    <x v="229"/>
    <x v="686"/>
    <x v="0"/>
    <x v="87"/>
    <x v="686"/>
    <x v="835"/>
  </r>
  <r>
    <x v="836"/>
    <x v="571"/>
    <x v="2"/>
    <x v="4"/>
    <x v="836"/>
    <x v="646"/>
    <x v="3"/>
    <x v="273"/>
    <x v="0"/>
    <x v="1"/>
    <x v="273"/>
    <x v="836"/>
  </r>
  <r>
    <x v="837"/>
    <x v="413"/>
    <x v="4"/>
    <x v="4"/>
    <x v="837"/>
    <x v="647"/>
    <x v="108"/>
    <x v="687"/>
    <x v="0"/>
    <x v="122"/>
    <x v="687"/>
    <x v="837"/>
  </r>
  <r>
    <x v="838"/>
    <x v="369"/>
    <x v="4"/>
    <x v="1"/>
    <x v="838"/>
    <x v="648"/>
    <x v="3"/>
    <x v="688"/>
    <x v="2"/>
    <x v="123"/>
    <x v="688"/>
    <x v="838"/>
  </r>
  <r>
    <x v="839"/>
    <x v="425"/>
    <x v="0"/>
    <x v="2"/>
    <x v="839"/>
    <x v="506"/>
    <x v="49"/>
    <x v="689"/>
    <x v="0"/>
    <x v="1"/>
    <x v="689"/>
    <x v="839"/>
  </r>
  <r>
    <x v="840"/>
    <x v="572"/>
    <x v="3"/>
    <x v="4"/>
    <x v="840"/>
    <x v="326"/>
    <x v="52"/>
    <x v="684"/>
    <x v="0"/>
    <x v="1"/>
    <x v="684"/>
    <x v="840"/>
  </r>
  <r>
    <x v="841"/>
    <x v="364"/>
    <x v="4"/>
    <x v="3"/>
    <x v="841"/>
    <x v="649"/>
    <x v="230"/>
    <x v="298"/>
    <x v="1"/>
    <x v="1"/>
    <x v="298"/>
    <x v="841"/>
  </r>
  <r>
    <x v="842"/>
    <x v="404"/>
    <x v="4"/>
    <x v="1"/>
    <x v="842"/>
    <x v="650"/>
    <x v="129"/>
    <x v="177"/>
    <x v="1"/>
    <x v="1"/>
    <x v="177"/>
    <x v="842"/>
  </r>
  <r>
    <x v="843"/>
    <x v="90"/>
    <x v="6"/>
    <x v="3"/>
    <x v="843"/>
    <x v="457"/>
    <x v="148"/>
    <x v="690"/>
    <x v="1"/>
    <x v="1"/>
    <x v="690"/>
    <x v="843"/>
  </r>
  <r>
    <x v="844"/>
    <x v="194"/>
    <x v="3"/>
    <x v="3"/>
    <x v="844"/>
    <x v="252"/>
    <x v="231"/>
    <x v="691"/>
    <x v="0"/>
    <x v="1"/>
    <x v="691"/>
    <x v="844"/>
  </r>
  <r>
    <x v="845"/>
    <x v="573"/>
    <x v="3"/>
    <x v="3"/>
    <x v="845"/>
    <x v="651"/>
    <x v="140"/>
    <x v="692"/>
    <x v="0"/>
    <x v="1"/>
    <x v="692"/>
    <x v="845"/>
  </r>
  <r>
    <x v="846"/>
    <x v="574"/>
    <x v="3"/>
    <x v="4"/>
    <x v="846"/>
    <x v="303"/>
    <x v="25"/>
    <x v="693"/>
    <x v="2"/>
    <x v="124"/>
    <x v="693"/>
    <x v="846"/>
  </r>
  <r>
    <x v="847"/>
    <x v="575"/>
    <x v="4"/>
    <x v="4"/>
    <x v="847"/>
    <x v="652"/>
    <x v="36"/>
    <x v="694"/>
    <x v="0"/>
    <x v="1"/>
    <x v="694"/>
    <x v="847"/>
  </r>
  <r>
    <x v="848"/>
    <x v="546"/>
    <x v="4"/>
    <x v="4"/>
    <x v="848"/>
    <x v="653"/>
    <x v="43"/>
    <x v="695"/>
    <x v="1"/>
    <x v="1"/>
    <x v="695"/>
    <x v="848"/>
  </r>
  <r>
    <x v="849"/>
    <x v="214"/>
    <x v="3"/>
    <x v="2"/>
    <x v="849"/>
    <x v="654"/>
    <x v="88"/>
    <x v="689"/>
    <x v="0"/>
    <x v="125"/>
    <x v="689"/>
    <x v="849"/>
  </r>
  <r>
    <x v="850"/>
    <x v="265"/>
    <x v="2"/>
    <x v="4"/>
    <x v="850"/>
    <x v="150"/>
    <x v="12"/>
    <x v="696"/>
    <x v="0"/>
    <x v="1"/>
    <x v="696"/>
    <x v="850"/>
  </r>
  <r>
    <x v="851"/>
    <x v="576"/>
    <x v="6"/>
    <x v="3"/>
    <x v="851"/>
    <x v="655"/>
    <x v="232"/>
    <x v="697"/>
    <x v="0"/>
    <x v="1"/>
    <x v="697"/>
    <x v="851"/>
  </r>
  <r>
    <x v="852"/>
    <x v="497"/>
    <x v="3"/>
    <x v="3"/>
    <x v="852"/>
    <x v="343"/>
    <x v="233"/>
    <x v="698"/>
    <x v="1"/>
    <x v="1"/>
    <x v="698"/>
    <x v="852"/>
  </r>
  <r>
    <x v="853"/>
    <x v="417"/>
    <x v="0"/>
    <x v="2"/>
    <x v="853"/>
    <x v="463"/>
    <x v="88"/>
    <x v="699"/>
    <x v="2"/>
    <x v="126"/>
    <x v="699"/>
    <x v="853"/>
  </r>
  <r>
    <x v="854"/>
    <x v="577"/>
    <x v="1"/>
    <x v="1"/>
    <x v="854"/>
    <x v="268"/>
    <x v="32"/>
    <x v="417"/>
    <x v="1"/>
    <x v="1"/>
    <x v="417"/>
    <x v="854"/>
  </r>
  <r>
    <x v="855"/>
    <x v="298"/>
    <x v="0"/>
    <x v="1"/>
    <x v="855"/>
    <x v="187"/>
    <x v="57"/>
    <x v="700"/>
    <x v="0"/>
    <x v="1"/>
    <x v="700"/>
    <x v="855"/>
  </r>
  <r>
    <x v="856"/>
    <x v="433"/>
    <x v="1"/>
    <x v="4"/>
    <x v="856"/>
    <x v="656"/>
    <x v="52"/>
    <x v="701"/>
    <x v="0"/>
    <x v="1"/>
    <x v="701"/>
    <x v="856"/>
  </r>
  <r>
    <x v="857"/>
    <x v="578"/>
    <x v="0"/>
    <x v="1"/>
    <x v="857"/>
    <x v="580"/>
    <x v="26"/>
    <x v="702"/>
    <x v="0"/>
    <x v="1"/>
    <x v="702"/>
    <x v="857"/>
  </r>
  <r>
    <x v="858"/>
    <x v="101"/>
    <x v="0"/>
    <x v="2"/>
    <x v="858"/>
    <x v="217"/>
    <x v="79"/>
    <x v="703"/>
    <x v="1"/>
    <x v="1"/>
    <x v="703"/>
    <x v="858"/>
  </r>
  <r>
    <x v="859"/>
    <x v="207"/>
    <x v="3"/>
    <x v="4"/>
    <x v="859"/>
    <x v="619"/>
    <x v="72"/>
    <x v="400"/>
    <x v="0"/>
    <x v="1"/>
    <x v="400"/>
    <x v="859"/>
  </r>
  <r>
    <x v="860"/>
    <x v="78"/>
    <x v="0"/>
    <x v="2"/>
    <x v="860"/>
    <x v="26"/>
    <x v="26"/>
    <x v="704"/>
    <x v="0"/>
    <x v="1"/>
    <x v="704"/>
    <x v="860"/>
  </r>
  <r>
    <x v="861"/>
    <x v="40"/>
    <x v="3"/>
    <x v="1"/>
    <x v="861"/>
    <x v="98"/>
    <x v="20"/>
    <x v="705"/>
    <x v="0"/>
    <x v="1"/>
    <x v="705"/>
    <x v="861"/>
  </r>
  <r>
    <x v="862"/>
    <x v="579"/>
    <x v="4"/>
    <x v="1"/>
    <x v="862"/>
    <x v="657"/>
    <x v="7"/>
    <x v="706"/>
    <x v="0"/>
    <x v="1"/>
    <x v="706"/>
    <x v="862"/>
  </r>
  <r>
    <x v="863"/>
    <x v="222"/>
    <x v="6"/>
    <x v="4"/>
    <x v="863"/>
    <x v="658"/>
    <x v="48"/>
    <x v="707"/>
    <x v="0"/>
    <x v="1"/>
    <x v="707"/>
    <x v="863"/>
  </r>
  <r>
    <x v="864"/>
    <x v="101"/>
    <x v="0"/>
    <x v="4"/>
    <x v="864"/>
    <x v="659"/>
    <x v="27"/>
    <x v="708"/>
    <x v="0"/>
    <x v="1"/>
    <x v="708"/>
    <x v="864"/>
  </r>
  <r>
    <x v="865"/>
    <x v="580"/>
    <x v="1"/>
    <x v="4"/>
    <x v="865"/>
    <x v="660"/>
    <x v="2"/>
    <x v="709"/>
    <x v="1"/>
    <x v="1"/>
    <x v="709"/>
    <x v="865"/>
  </r>
  <r>
    <x v="866"/>
    <x v="62"/>
    <x v="1"/>
    <x v="0"/>
    <x v="866"/>
    <x v="661"/>
    <x v="83"/>
    <x v="528"/>
    <x v="0"/>
    <x v="59"/>
    <x v="528"/>
    <x v="866"/>
  </r>
  <r>
    <x v="867"/>
    <x v="581"/>
    <x v="4"/>
    <x v="3"/>
    <x v="867"/>
    <x v="662"/>
    <x v="234"/>
    <x v="375"/>
    <x v="0"/>
    <x v="1"/>
    <x v="375"/>
    <x v="867"/>
  </r>
  <r>
    <x v="868"/>
    <x v="203"/>
    <x v="2"/>
    <x v="4"/>
    <x v="868"/>
    <x v="370"/>
    <x v="36"/>
    <x v="171"/>
    <x v="0"/>
    <x v="37"/>
    <x v="171"/>
    <x v="868"/>
  </r>
  <r>
    <x v="869"/>
    <x v="582"/>
    <x v="0"/>
    <x v="1"/>
    <x v="869"/>
    <x v="83"/>
    <x v="61"/>
    <x v="710"/>
    <x v="0"/>
    <x v="1"/>
    <x v="710"/>
    <x v="869"/>
  </r>
  <r>
    <x v="870"/>
    <x v="542"/>
    <x v="3"/>
    <x v="0"/>
    <x v="870"/>
    <x v="339"/>
    <x v="207"/>
    <x v="711"/>
    <x v="0"/>
    <x v="1"/>
    <x v="711"/>
    <x v="870"/>
  </r>
  <r>
    <x v="871"/>
    <x v="437"/>
    <x v="3"/>
    <x v="1"/>
    <x v="871"/>
    <x v="364"/>
    <x v="45"/>
    <x v="148"/>
    <x v="0"/>
    <x v="1"/>
    <x v="148"/>
    <x v="871"/>
  </r>
  <r>
    <x v="872"/>
    <x v="457"/>
    <x v="4"/>
    <x v="0"/>
    <x v="872"/>
    <x v="386"/>
    <x v="235"/>
    <x v="336"/>
    <x v="0"/>
    <x v="1"/>
    <x v="336"/>
    <x v="872"/>
  </r>
  <r>
    <x v="873"/>
    <x v="583"/>
    <x v="1"/>
    <x v="4"/>
    <x v="873"/>
    <x v="196"/>
    <x v="96"/>
    <x v="712"/>
    <x v="0"/>
    <x v="1"/>
    <x v="712"/>
    <x v="873"/>
  </r>
  <r>
    <x v="874"/>
    <x v="584"/>
    <x v="1"/>
    <x v="1"/>
    <x v="874"/>
    <x v="663"/>
    <x v="88"/>
    <x v="556"/>
    <x v="0"/>
    <x v="1"/>
    <x v="556"/>
    <x v="874"/>
  </r>
  <r>
    <x v="875"/>
    <x v="585"/>
    <x v="0"/>
    <x v="2"/>
    <x v="875"/>
    <x v="664"/>
    <x v="75"/>
    <x v="713"/>
    <x v="0"/>
    <x v="1"/>
    <x v="713"/>
    <x v="875"/>
  </r>
  <r>
    <x v="876"/>
    <x v="339"/>
    <x v="2"/>
    <x v="4"/>
    <x v="876"/>
    <x v="424"/>
    <x v="6"/>
    <x v="606"/>
    <x v="0"/>
    <x v="127"/>
    <x v="606"/>
    <x v="876"/>
  </r>
  <r>
    <x v="877"/>
    <x v="97"/>
    <x v="3"/>
    <x v="2"/>
    <x v="877"/>
    <x v="665"/>
    <x v="79"/>
    <x v="665"/>
    <x v="2"/>
    <x v="128"/>
    <x v="665"/>
    <x v="877"/>
  </r>
  <r>
    <x v="878"/>
    <x v="282"/>
    <x v="6"/>
    <x v="4"/>
    <x v="878"/>
    <x v="388"/>
    <x v="16"/>
    <x v="714"/>
    <x v="2"/>
    <x v="129"/>
    <x v="714"/>
    <x v="878"/>
  </r>
  <r>
    <x v="879"/>
    <x v="586"/>
    <x v="5"/>
    <x v="3"/>
    <x v="879"/>
    <x v="666"/>
    <x v="205"/>
    <x v="188"/>
    <x v="1"/>
    <x v="1"/>
    <x v="188"/>
    <x v="879"/>
  </r>
  <r>
    <x v="880"/>
    <x v="587"/>
    <x v="5"/>
    <x v="1"/>
    <x v="880"/>
    <x v="667"/>
    <x v="4"/>
    <x v="497"/>
    <x v="1"/>
    <x v="1"/>
    <x v="497"/>
    <x v="880"/>
  </r>
  <r>
    <x v="881"/>
    <x v="588"/>
    <x v="1"/>
    <x v="4"/>
    <x v="881"/>
    <x v="321"/>
    <x v="5"/>
    <x v="711"/>
    <x v="0"/>
    <x v="1"/>
    <x v="711"/>
    <x v="881"/>
  </r>
  <r>
    <x v="882"/>
    <x v="589"/>
    <x v="3"/>
    <x v="1"/>
    <x v="882"/>
    <x v="655"/>
    <x v="26"/>
    <x v="46"/>
    <x v="0"/>
    <x v="1"/>
    <x v="46"/>
    <x v="882"/>
  </r>
  <r>
    <x v="883"/>
    <x v="111"/>
    <x v="4"/>
    <x v="3"/>
    <x v="883"/>
    <x v="668"/>
    <x v="236"/>
    <x v="715"/>
    <x v="0"/>
    <x v="1"/>
    <x v="715"/>
    <x v="883"/>
  </r>
  <r>
    <x v="884"/>
    <x v="590"/>
    <x v="6"/>
    <x v="4"/>
    <x v="884"/>
    <x v="669"/>
    <x v="43"/>
    <x v="716"/>
    <x v="1"/>
    <x v="1"/>
    <x v="716"/>
    <x v="884"/>
  </r>
  <r>
    <x v="885"/>
    <x v="2"/>
    <x v="2"/>
    <x v="1"/>
    <x v="885"/>
    <x v="670"/>
    <x v="52"/>
    <x v="717"/>
    <x v="0"/>
    <x v="1"/>
    <x v="717"/>
    <x v="885"/>
  </r>
  <r>
    <x v="886"/>
    <x v="591"/>
    <x v="0"/>
    <x v="4"/>
    <x v="886"/>
    <x v="671"/>
    <x v="153"/>
    <x v="520"/>
    <x v="0"/>
    <x v="1"/>
    <x v="520"/>
    <x v="886"/>
  </r>
  <r>
    <x v="887"/>
    <x v="187"/>
    <x v="2"/>
    <x v="0"/>
    <x v="887"/>
    <x v="672"/>
    <x v="118"/>
    <x v="718"/>
    <x v="2"/>
    <x v="130"/>
    <x v="718"/>
    <x v="887"/>
  </r>
  <r>
    <x v="888"/>
    <x v="138"/>
    <x v="5"/>
    <x v="0"/>
    <x v="888"/>
    <x v="673"/>
    <x v="229"/>
    <x v="719"/>
    <x v="0"/>
    <x v="1"/>
    <x v="719"/>
    <x v="888"/>
  </r>
  <r>
    <x v="889"/>
    <x v="13"/>
    <x v="5"/>
    <x v="0"/>
    <x v="889"/>
    <x v="674"/>
    <x v="92"/>
    <x v="406"/>
    <x v="0"/>
    <x v="1"/>
    <x v="406"/>
    <x v="889"/>
  </r>
  <r>
    <x v="890"/>
    <x v="581"/>
    <x v="4"/>
    <x v="0"/>
    <x v="890"/>
    <x v="29"/>
    <x v="100"/>
    <x v="720"/>
    <x v="0"/>
    <x v="1"/>
    <x v="720"/>
    <x v="890"/>
  </r>
  <r>
    <x v="891"/>
    <x v="97"/>
    <x v="3"/>
    <x v="3"/>
    <x v="891"/>
    <x v="617"/>
    <x v="144"/>
    <x v="721"/>
    <x v="0"/>
    <x v="1"/>
    <x v="721"/>
    <x v="891"/>
  </r>
  <r>
    <x v="892"/>
    <x v="212"/>
    <x v="4"/>
    <x v="1"/>
    <x v="892"/>
    <x v="675"/>
    <x v="128"/>
    <x v="722"/>
    <x v="0"/>
    <x v="1"/>
    <x v="722"/>
    <x v="892"/>
  </r>
  <r>
    <x v="893"/>
    <x v="216"/>
    <x v="5"/>
    <x v="2"/>
    <x v="893"/>
    <x v="676"/>
    <x v="49"/>
    <x v="723"/>
    <x v="0"/>
    <x v="1"/>
    <x v="723"/>
    <x v="893"/>
  </r>
  <r>
    <x v="894"/>
    <x v="592"/>
    <x v="0"/>
    <x v="4"/>
    <x v="894"/>
    <x v="677"/>
    <x v="31"/>
    <x v="108"/>
    <x v="0"/>
    <x v="1"/>
    <x v="108"/>
    <x v="894"/>
  </r>
  <r>
    <x v="895"/>
    <x v="593"/>
    <x v="4"/>
    <x v="1"/>
    <x v="895"/>
    <x v="224"/>
    <x v="89"/>
    <x v="724"/>
    <x v="0"/>
    <x v="1"/>
    <x v="724"/>
    <x v="895"/>
  </r>
  <r>
    <x v="896"/>
    <x v="219"/>
    <x v="2"/>
    <x v="3"/>
    <x v="896"/>
    <x v="363"/>
    <x v="208"/>
    <x v="210"/>
    <x v="0"/>
    <x v="1"/>
    <x v="210"/>
    <x v="896"/>
  </r>
  <r>
    <x v="897"/>
    <x v="594"/>
    <x v="5"/>
    <x v="1"/>
    <x v="897"/>
    <x v="678"/>
    <x v="75"/>
    <x v="725"/>
    <x v="2"/>
    <x v="131"/>
    <x v="725"/>
    <x v="897"/>
  </r>
  <r>
    <x v="898"/>
    <x v="595"/>
    <x v="3"/>
    <x v="2"/>
    <x v="898"/>
    <x v="679"/>
    <x v="96"/>
    <x v="565"/>
    <x v="0"/>
    <x v="1"/>
    <x v="565"/>
    <x v="898"/>
  </r>
  <r>
    <x v="899"/>
    <x v="380"/>
    <x v="1"/>
    <x v="2"/>
    <x v="899"/>
    <x v="680"/>
    <x v="103"/>
    <x v="562"/>
    <x v="0"/>
    <x v="1"/>
    <x v="562"/>
    <x v="899"/>
  </r>
  <r>
    <x v="900"/>
    <x v="554"/>
    <x v="4"/>
    <x v="0"/>
    <x v="900"/>
    <x v="80"/>
    <x v="72"/>
    <x v="726"/>
    <x v="0"/>
    <x v="1"/>
    <x v="726"/>
    <x v="900"/>
  </r>
  <r>
    <x v="901"/>
    <x v="137"/>
    <x v="2"/>
    <x v="4"/>
    <x v="901"/>
    <x v="681"/>
    <x v="40"/>
    <x v="274"/>
    <x v="0"/>
    <x v="1"/>
    <x v="274"/>
    <x v="901"/>
  </r>
  <r>
    <x v="902"/>
    <x v="382"/>
    <x v="0"/>
    <x v="0"/>
    <x v="902"/>
    <x v="0"/>
    <x v="57"/>
    <x v="332"/>
    <x v="0"/>
    <x v="1"/>
    <x v="332"/>
    <x v="902"/>
  </r>
  <r>
    <x v="903"/>
    <x v="0"/>
    <x v="0"/>
    <x v="1"/>
    <x v="903"/>
    <x v="181"/>
    <x v="31"/>
    <x v="132"/>
    <x v="1"/>
    <x v="1"/>
    <x v="132"/>
    <x v="903"/>
  </r>
  <r>
    <x v="904"/>
    <x v="253"/>
    <x v="0"/>
    <x v="4"/>
    <x v="904"/>
    <x v="631"/>
    <x v="37"/>
    <x v="727"/>
    <x v="0"/>
    <x v="1"/>
    <x v="727"/>
    <x v="904"/>
  </r>
  <r>
    <x v="905"/>
    <x v="596"/>
    <x v="3"/>
    <x v="4"/>
    <x v="905"/>
    <x v="682"/>
    <x v="72"/>
    <x v="728"/>
    <x v="0"/>
    <x v="1"/>
    <x v="728"/>
    <x v="905"/>
  </r>
  <r>
    <x v="906"/>
    <x v="597"/>
    <x v="6"/>
    <x v="1"/>
    <x v="906"/>
    <x v="683"/>
    <x v="117"/>
    <x v="729"/>
    <x v="0"/>
    <x v="1"/>
    <x v="729"/>
    <x v="906"/>
  </r>
  <r>
    <x v="907"/>
    <x v="575"/>
    <x v="4"/>
    <x v="4"/>
    <x v="907"/>
    <x v="684"/>
    <x v="91"/>
    <x v="600"/>
    <x v="0"/>
    <x v="132"/>
    <x v="600"/>
    <x v="907"/>
  </r>
  <r>
    <x v="908"/>
    <x v="345"/>
    <x v="1"/>
    <x v="3"/>
    <x v="908"/>
    <x v="619"/>
    <x v="237"/>
    <x v="93"/>
    <x v="0"/>
    <x v="1"/>
    <x v="93"/>
    <x v="908"/>
  </r>
  <r>
    <x v="909"/>
    <x v="323"/>
    <x v="0"/>
    <x v="2"/>
    <x v="909"/>
    <x v="685"/>
    <x v="38"/>
    <x v="402"/>
    <x v="0"/>
    <x v="1"/>
    <x v="402"/>
    <x v="909"/>
  </r>
  <r>
    <x v="910"/>
    <x v="598"/>
    <x v="5"/>
    <x v="1"/>
    <x v="910"/>
    <x v="686"/>
    <x v="43"/>
    <x v="122"/>
    <x v="1"/>
    <x v="1"/>
    <x v="122"/>
    <x v="910"/>
  </r>
  <r>
    <x v="911"/>
    <x v="213"/>
    <x v="2"/>
    <x v="4"/>
    <x v="911"/>
    <x v="412"/>
    <x v="129"/>
    <x v="730"/>
    <x v="0"/>
    <x v="1"/>
    <x v="730"/>
    <x v="911"/>
  </r>
  <r>
    <x v="912"/>
    <x v="286"/>
    <x v="0"/>
    <x v="2"/>
    <x v="912"/>
    <x v="673"/>
    <x v="89"/>
    <x v="731"/>
    <x v="2"/>
    <x v="133"/>
    <x v="731"/>
    <x v="912"/>
  </r>
  <r>
    <x v="913"/>
    <x v="243"/>
    <x v="1"/>
    <x v="1"/>
    <x v="913"/>
    <x v="687"/>
    <x v="81"/>
    <x v="326"/>
    <x v="1"/>
    <x v="1"/>
    <x v="326"/>
    <x v="913"/>
  </r>
  <r>
    <x v="914"/>
    <x v="599"/>
    <x v="6"/>
    <x v="0"/>
    <x v="914"/>
    <x v="688"/>
    <x v="223"/>
    <x v="337"/>
    <x v="0"/>
    <x v="1"/>
    <x v="337"/>
    <x v="914"/>
  </r>
  <r>
    <x v="915"/>
    <x v="600"/>
    <x v="2"/>
    <x v="3"/>
    <x v="915"/>
    <x v="384"/>
    <x v="146"/>
    <x v="672"/>
    <x v="0"/>
    <x v="1"/>
    <x v="672"/>
    <x v="915"/>
  </r>
  <r>
    <x v="916"/>
    <x v="601"/>
    <x v="2"/>
    <x v="1"/>
    <x v="916"/>
    <x v="238"/>
    <x v="45"/>
    <x v="732"/>
    <x v="0"/>
    <x v="1"/>
    <x v="732"/>
    <x v="916"/>
  </r>
  <r>
    <x v="917"/>
    <x v="602"/>
    <x v="5"/>
    <x v="3"/>
    <x v="917"/>
    <x v="689"/>
    <x v="238"/>
    <x v="733"/>
    <x v="0"/>
    <x v="1"/>
    <x v="733"/>
    <x v="917"/>
  </r>
  <r>
    <x v="918"/>
    <x v="3"/>
    <x v="3"/>
    <x v="2"/>
    <x v="918"/>
    <x v="690"/>
    <x v="45"/>
    <x v="734"/>
    <x v="0"/>
    <x v="24"/>
    <x v="734"/>
    <x v="918"/>
  </r>
  <r>
    <x v="919"/>
    <x v="603"/>
    <x v="3"/>
    <x v="1"/>
    <x v="919"/>
    <x v="691"/>
    <x v="64"/>
    <x v="735"/>
    <x v="2"/>
    <x v="68"/>
    <x v="735"/>
    <x v="919"/>
  </r>
  <r>
    <x v="920"/>
    <x v="472"/>
    <x v="1"/>
    <x v="1"/>
    <x v="920"/>
    <x v="692"/>
    <x v="68"/>
    <x v="736"/>
    <x v="0"/>
    <x v="1"/>
    <x v="736"/>
    <x v="920"/>
  </r>
  <r>
    <x v="921"/>
    <x v="377"/>
    <x v="3"/>
    <x v="1"/>
    <x v="921"/>
    <x v="693"/>
    <x v="32"/>
    <x v="348"/>
    <x v="0"/>
    <x v="54"/>
    <x v="348"/>
    <x v="921"/>
  </r>
  <r>
    <x v="922"/>
    <x v="524"/>
    <x v="6"/>
    <x v="1"/>
    <x v="922"/>
    <x v="694"/>
    <x v="30"/>
    <x v="737"/>
    <x v="0"/>
    <x v="1"/>
    <x v="737"/>
    <x v="922"/>
  </r>
  <r>
    <x v="923"/>
    <x v="455"/>
    <x v="3"/>
    <x v="0"/>
    <x v="923"/>
    <x v="695"/>
    <x v="3"/>
    <x v="646"/>
    <x v="1"/>
    <x v="1"/>
    <x v="646"/>
    <x v="923"/>
  </r>
  <r>
    <x v="924"/>
    <x v="604"/>
    <x v="5"/>
    <x v="1"/>
    <x v="924"/>
    <x v="640"/>
    <x v="38"/>
    <x v="738"/>
    <x v="0"/>
    <x v="1"/>
    <x v="738"/>
    <x v="924"/>
  </r>
  <r>
    <x v="925"/>
    <x v="605"/>
    <x v="1"/>
    <x v="0"/>
    <x v="925"/>
    <x v="696"/>
    <x v="51"/>
    <x v="606"/>
    <x v="2"/>
    <x v="110"/>
    <x v="606"/>
    <x v="925"/>
  </r>
  <r>
    <x v="926"/>
    <x v="471"/>
    <x v="5"/>
    <x v="0"/>
    <x v="926"/>
    <x v="697"/>
    <x v="239"/>
    <x v="739"/>
    <x v="0"/>
    <x v="1"/>
    <x v="739"/>
    <x v="926"/>
  </r>
  <r>
    <x v="927"/>
    <x v="606"/>
    <x v="1"/>
    <x v="1"/>
    <x v="927"/>
    <x v="698"/>
    <x v="103"/>
    <x v="740"/>
    <x v="0"/>
    <x v="1"/>
    <x v="740"/>
    <x v="927"/>
  </r>
  <r>
    <x v="928"/>
    <x v="71"/>
    <x v="2"/>
    <x v="4"/>
    <x v="928"/>
    <x v="699"/>
    <x v="100"/>
    <x v="545"/>
    <x v="2"/>
    <x v="14"/>
    <x v="545"/>
    <x v="928"/>
  </r>
  <r>
    <x v="929"/>
    <x v="149"/>
    <x v="1"/>
    <x v="3"/>
    <x v="929"/>
    <x v="0"/>
    <x v="132"/>
    <x v="741"/>
    <x v="0"/>
    <x v="1"/>
    <x v="741"/>
    <x v="929"/>
  </r>
  <r>
    <x v="930"/>
    <x v="397"/>
    <x v="2"/>
    <x v="2"/>
    <x v="930"/>
    <x v="700"/>
    <x v="28"/>
    <x v="742"/>
    <x v="0"/>
    <x v="1"/>
    <x v="742"/>
    <x v="930"/>
  </r>
  <r>
    <x v="931"/>
    <x v="533"/>
    <x v="3"/>
    <x v="4"/>
    <x v="931"/>
    <x v="62"/>
    <x v="97"/>
    <x v="743"/>
    <x v="0"/>
    <x v="24"/>
    <x v="743"/>
    <x v="931"/>
  </r>
  <r>
    <x v="932"/>
    <x v="607"/>
    <x v="2"/>
    <x v="0"/>
    <x v="932"/>
    <x v="701"/>
    <x v="27"/>
    <x v="744"/>
    <x v="2"/>
    <x v="134"/>
    <x v="744"/>
    <x v="932"/>
  </r>
  <r>
    <x v="933"/>
    <x v="608"/>
    <x v="2"/>
    <x v="1"/>
    <x v="933"/>
    <x v="702"/>
    <x v="27"/>
    <x v="205"/>
    <x v="2"/>
    <x v="135"/>
    <x v="205"/>
    <x v="933"/>
  </r>
  <r>
    <x v="934"/>
    <x v="609"/>
    <x v="4"/>
    <x v="0"/>
    <x v="934"/>
    <x v="33"/>
    <x v="46"/>
    <x v="745"/>
    <x v="1"/>
    <x v="1"/>
    <x v="745"/>
    <x v="934"/>
  </r>
  <r>
    <x v="935"/>
    <x v="482"/>
    <x v="0"/>
    <x v="1"/>
    <x v="935"/>
    <x v="703"/>
    <x v="24"/>
    <x v="746"/>
    <x v="1"/>
    <x v="1"/>
    <x v="746"/>
    <x v="935"/>
  </r>
  <r>
    <x v="936"/>
    <x v="26"/>
    <x v="4"/>
    <x v="3"/>
    <x v="936"/>
    <x v="209"/>
    <x v="69"/>
    <x v="747"/>
    <x v="0"/>
    <x v="1"/>
    <x v="747"/>
    <x v="936"/>
  </r>
  <r>
    <x v="937"/>
    <x v="45"/>
    <x v="5"/>
    <x v="4"/>
    <x v="937"/>
    <x v="198"/>
    <x v="6"/>
    <x v="119"/>
    <x v="1"/>
    <x v="1"/>
    <x v="119"/>
    <x v="937"/>
  </r>
  <r>
    <x v="938"/>
    <x v="430"/>
    <x v="1"/>
    <x v="1"/>
    <x v="938"/>
    <x v="704"/>
    <x v="61"/>
    <x v="748"/>
    <x v="0"/>
    <x v="1"/>
    <x v="748"/>
    <x v="938"/>
  </r>
  <r>
    <x v="939"/>
    <x v="610"/>
    <x v="5"/>
    <x v="1"/>
    <x v="939"/>
    <x v="705"/>
    <x v="5"/>
    <x v="749"/>
    <x v="0"/>
    <x v="1"/>
    <x v="749"/>
    <x v="939"/>
  </r>
  <r>
    <x v="940"/>
    <x v="611"/>
    <x v="5"/>
    <x v="0"/>
    <x v="940"/>
    <x v="706"/>
    <x v="88"/>
    <x v="750"/>
    <x v="0"/>
    <x v="1"/>
    <x v="750"/>
    <x v="940"/>
  </r>
  <r>
    <x v="941"/>
    <x v="612"/>
    <x v="3"/>
    <x v="2"/>
    <x v="941"/>
    <x v="707"/>
    <x v="24"/>
    <x v="750"/>
    <x v="0"/>
    <x v="52"/>
    <x v="750"/>
    <x v="941"/>
  </r>
  <r>
    <x v="942"/>
    <x v="172"/>
    <x v="4"/>
    <x v="0"/>
    <x v="942"/>
    <x v="109"/>
    <x v="240"/>
    <x v="488"/>
    <x v="0"/>
    <x v="1"/>
    <x v="488"/>
    <x v="942"/>
  </r>
  <r>
    <x v="943"/>
    <x v="601"/>
    <x v="2"/>
    <x v="2"/>
    <x v="943"/>
    <x v="702"/>
    <x v="61"/>
    <x v="751"/>
    <x v="1"/>
    <x v="1"/>
    <x v="751"/>
    <x v="943"/>
  </r>
  <r>
    <x v="944"/>
    <x v="424"/>
    <x v="4"/>
    <x v="0"/>
    <x v="944"/>
    <x v="708"/>
    <x v="75"/>
    <x v="752"/>
    <x v="0"/>
    <x v="1"/>
    <x v="752"/>
    <x v="944"/>
  </r>
  <r>
    <x v="945"/>
    <x v="613"/>
    <x v="3"/>
    <x v="4"/>
    <x v="945"/>
    <x v="694"/>
    <x v="63"/>
    <x v="753"/>
    <x v="0"/>
    <x v="1"/>
    <x v="753"/>
    <x v="945"/>
  </r>
  <r>
    <x v="946"/>
    <x v="461"/>
    <x v="4"/>
    <x v="4"/>
    <x v="946"/>
    <x v="138"/>
    <x v="12"/>
    <x v="754"/>
    <x v="1"/>
    <x v="1"/>
    <x v="754"/>
    <x v="946"/>
  </r>
  <r>
    <x v="947"/>
    <x v="453"/>
    <x v="5"/>
    <x v="1"/>
    <x v="947"/>
    <x v="709"/>
    <x v="49"/>
    <x v="755"/>
    <x v="0"/>
    <x v="1"/>
    <x v="755"/>
    <x v="947"/>
  </r>
  <r>
    <x v="948"/>
    <x v="493"/>
    <x v="4"/>
    <x v="0"/>
    <x v="948"/>
    <x v="710"/>
    <x v="6"/>
    <x v="756"/>
    <x v="0"/>
    <x v="1"/>
    <x v="756"/>
    <x v="948"/>
  </r>
  <r>
    <x v="949"/>
    <x v="614"/>
    <x v="2"/>
    <x v="4"/>
    <x v="949"/>
    <x v="711"/>
    <x v="153"/>
    <x v="757"/>
    <x v="0"/>
    <x v="1"/>
    <x v="757"/>
    <x v="949"/>
  </r>
  <r>
    <x v="950"/>
    <x v="503"/>
    <x v="1"/>
    <x v="3"/>
    <x v="950"/>
    <x v="712"/>
    <x v="241"/>
    <x v="758"/>
    <x v="0"/>
    <x v="1"/>
    <x v="758"/>
    <x v="950"/>
  </r>
  <r>
    <x v="951"/>
    <x v="205"/>
    <x v="6"/>
    <x v="4"/>
    <x v="951"/>
    <x v="713"/>
    <x v="181"/>
    <x v="759"/>
    <x v="0"/>
    <x v="1"/>
    <x v="759"/>
    <x v="951"/>
  </r>
  <r>
    <x v="952"/>
    <x v="400"/>
    <x v="5"/>
    <x v="4"/>
    <x v="952"/>
    <x v="714"/>
    <x v="145"/>
    <x v="306"/>
    <x v="0"/>
    <x v="1"/>
    <x v="306"/>
    <x v="952"/>
  </r>
  <r>
    <x v="953"/>
    <x v="615"/>
    <x v="1"/>
    <x v="4"/>
    <x v="953"/>
    <x v="82"/>
    <x v="91"/>
    <x v="760"/>
    <x v="0"/>
    <x v="1"/>
    <x v="760"/>
    <x v="953"/>
  </r>
  <r>
    <x v="954"/>
    <x v="90"/>
    <x v="6"/>
    <x v="4"/>
    <x v="954"/>
    <x v="143"/>
    <x v="72"/>
    <x v="761"/>
    <x v="0"/>
    <x v="1"/>
    <x v="761"/>
    <x v="954"/>
  </r>
  <r>
    <x v="955"/>
    <x v="483"/>
    <x v="6"/>
    <x v="4"/>
    <x v="955"/>
    <x v="715"/>
    <x v="2"/>
    <x v="669"/>
    <x v="0"/>
    <x v="1"/>
    <x v="669"/>
    <x v="955"/>
  </r>
  <r>
    <x v="956"/>
    <x v="563"/>
    <x v="5"/>
    <x v="0"/>
    <x v="956"/>
    <x v="716"/>
    <x v="153"/>
    <x v="54"/>
    <x v="0"/>
    <x v="1"/>
    <x v="54"/>
    <x v="956"/>
  </r>
  <r>
    <x v="957"/>
    <x v="616"/>
    <x v="3"/>
    <x v="1"/>
    <x v="957"/>
    <x v="156"/>
    <x v="43"/>
    <x v="762"/>
    <x v="0"/>
    <x v="66"/>
    <x v="762"/>
    <x v="957"/>
  </r>
  <r>
    <x v="958"/>
    <x v="604"/>
    <x v="5"/>
    <x v="1"/>
    <x v="958"/>
    <x v="157"/>
    <x v="13"/>
    <x v="128"/>
    <x v="0"/>
    <x v="1"/>
    <x v="128"/>
    <x v="958"/>
  </r>
  <r>
    <x v="959"/>
    <x v="617"/>
    <x v="4"/>
    <x v="1"/>
    <x v="959"/>
    <x v="450"/>
    <x v="52"/>
    <x v="180"/>
    <x v="0"/>
    <x v="1"/>
    <x v="180"/>
    <x v="959"/>
  </r>
  <r>
    <x v="960"/>
    <x v="74"/>
    <x v="0"/>
    <x v="1"/>
    <x v="960"/>
    <x v="717"/>
    <x v="28"/>
    <x v="763"/>
    <x v="2"/>
    <x v="136"/>
    <x v="763"/>
    <x v="960"/>
  </r>
  <r>
    <x v="961"/>
    <x v="618"/>
    <x v="1"/>
    <x v="1"/>
    <x v="961"/>
    <x v="718"/>
    <x v="68"/>
    <x v="764"/>
    <x v="0"/>
    <x v="1"/>
    <x v="764"/>
    <x v="961"/>
  </r>
  <r>
    <x v="962"/>
    <x v="619"/>
    <x v="6"/>
    <x v="1"/>
    <x v="962"/>
    <x v="719"/>
    <x v="88"/>
    <x v="765"/>
    <x v="0"/>
    <x v="1"/>
    <x v="765"/>
    <x v="962"/>
  </r>
  <r>
    <x v="963"/>
    <x v="291"/>
    <x v="3"/>
    <x v="1"/>
    <x v="963"/>
    <x v="720"/>
    <x v="32"/>
    <x v="766"/>
    <x v="1"/>
    <x v="1"/>
    <x v="766"/>
    <x v="963"/>
  </r>
  <r>
    <x v="964"/>
    <x v="620"/>
    <x v="1"/>
    <x v="1"/>
    <x v="964"/>
    <x v="208"/>
    <x v="43"/>
    <x v="767"/>
    <x v="2"/>
    <x v="137"/>
    <x v="767"/>
    <x v="964"/>
  </r>
  <r>
    <x v="965"/>
    <x v="428"/>
    <x v="2"/>
    <x v="4"/>
    <x v="965"/>
    <x v="721"/>
    <x v="6"/>
    <x v="768"/>
    <x v="1"/>
    <x v="1"/>
    <x v="768"/>
    <x v="965"/>
  </r>
  <r>
    <x v="966"/>
    <x v="200"/>
    <x v="1"/>
    <x v="1"/>
    <x v="966"/>
    <x v="722"/>
    <x v="31"/>
    <x v="769"/>
    <x v="0"/>
    <x v="1"/>
    <x v="769"/>
    <x v="966"/>
  </r>
  <r>
    <x v="967"/>
    <x v="607"/>
    <x v="2"/>
    <x v="1"/>
    <x v="967"/>
    <x v="723"/>
    <x v="88"/>
    <x v="674"/>
    <x v="0"/>
    <x v="1"/>
    <x v="674"/>
    <x v="967"/>
  </r>
  <r>
    <x v="968"/>
    <x v="621"/>
    <x v="1"/>
    <x v="2"/>
    <x v="968"/>
    <x v="627"/>
    <x v="128"/>
    <x v="254"/>
    <x v="0"/>
    <x v="1"/>
    <x v="254"/>
    <x v="968"/>
  </r>
  <r>
    <x v="969"/>
    <x v="494"/>
    <x v="5"/>
    <x v="3"/>
    <x v="969"/>
    <x v="526"/>
    <x v="132"/>
    <x v="770"/>
    <x v="0"/>
    <x v="1"/>
    <x v="770"/>
    <x v="969"/>
  </r>
  <r>
    <x v="970"/>
    <x v="383"/>
    <x v="1"/>
    <x v="3"/>
    <x v="970"/>
    <x v="173"/>
    <x v="70"/>
    <x v="771"/>
    <x v="0"/>
    <x v="1"/>
    <x v="771"/>
    <x v="970"/>
  </r>
  <r>
    <x v="971"/>
    <x v="622"/>
    <x v="3"/>
    <x v="0"/>
    <x v="971"/>
    <x v="724"/>
    <x v="38"/>
    <x v="523"/>
    <x v="1"/>
    <x v="1"/>
    <x v="523"/>
    <x v="971"/>
  </r>
  <r>
    <x v="972"/>
    <x v="154"/>
    <x v="6"/>
    <x v="1"/>
    <x v="972"/>
    <x v="725"/>
    <x v="32"/>
    <x v="772"/>
    <x v="1"/>
    <x v="1"/>
    <x v="772"/>
    <x v="972"/>
  </r>
  <r>
    <x v="973"/>
    <x v="82"/>
    <x v="3"/>
    <x v="2"/>
    <x v="973"/>
    <x v="554"/>
    <x v="96"/>
    <x v="773"/>
    <x v="1"/>
    <x v="1"/>
    <x v="773"/>
    <x v="973"/>
  </r>
  <r>
    <x v="974"/>
    <x v="82"/>
    <x v="3"/>
    <x v="1"/>
    <x v="974"/>
    <x v="726"/>
    <x v="16"/>
    <x v="774"/>
    <x v="0"/>
    <x v="19"/>
    <x v="774"/>
    <x v="974"/>
  </r>
  <r>
    <x v="975"/>
    <x v="59"/>
    <x v="6"/>
    <x v="3"/>
    <x v="975"/>
    <x v="493"/>
    <x v="169"/>
    <x v="775"/>
    <x v="0"/>
    <x v="1"/>
    <x v="775"/>
    <x v="975"/>
  </r>
  <r>
    <x v="976"/>
    <x v="623"/>
    <x v="6"/>
    <x v="4"/>
    <x v="976"/>
    <x v="33"/>
    <x v="108"/>
    <x v="776"/>
    <x v="0"/>
    <x v="1"/>
    <x v="776"/>
    <x v="976"/>
  </r>
  <r>
    <x v="977"/>
    <x v="469"/>
    <x v="5"/>
    <x v="3"/>
    <x v="977"/>
    <x v="293"/>
    <x v="242"/>
    <x v="397"/>
    <x v="0"/>
    <x v="79"/>
    <x v="397"/>
    <x v="977"/>
  </r>
  <r>
    <x v="978"/>
    <x v="399"/>
    <x v="4"/>
    <x v="2"/>
    <x v="978"/>
    <x v="727"/>
    <x v="91"/>
    <x v="777"/>
    <x v="0"/>
    <x v="1"/>
    <x v="777"/>
    <x v="978"/>
  </r>
  <r>
    <x v="979"/>
    <x v="268"/>
    <x v="2"/>
    <x v="0"/>
    <x v="979"/>
    <x v="173"/>
    <x v="25"/>
    <x v="778"/>
    <x v="1"/>
    <x v="1"/>
    <x v="778"/>
    <x v="979"/>
  </r>
  <r>
    <x v="980"/>
    <x v="287"/>
    <x v="2"/>
    <x v="4"/>
    <x v="980"/>
    <x v="728"/>
    <x v="172"/>
    <x v="779"/>
    <x v="2"/>
    <x v="49"/>
    <x v="779"/>
    <x v="980"/>
  </r>
  <r>
    <x v="981"/>
    <x v="624"/>
    <x v="0"/>
    <x v="1"/>
    <x v="981"/>
    <x v="552"/>
    <x v="27"/>
    <x v="780"/>
    <x v="0"/>
    <x v="1"/>
    <x v="780"/>
    <x v="981"/>
  </r>
  <r>
    <x v="982"/>
    <x v="249"/>
    <x v="6"/>
    <x v="1"/>
    <x v="982"/>
    <x v="282"/>
    <x v="16"/>
    <x v="781"/>
    <x v="0"/>
    <x v="1"/>
    <x v="781"/>
    <x v="982"/>
  </r>
  <r>
    <x v="983"/>
    <x v="282"/>
    <x v="6"/>
    <x v="1"/>
    <x v="983"/>
    <x v="729"/>
    <x v="75"/>
    <x v="782"/>
    <x v="0"/>
    <x v="1"/>
    <x v="782"/>
    <x v="983"/>
  </r>
  <r>
    <x v="984"/>
    <x v="625"/>
    <x v="2"/>
    <x v="3"/>
    <x v="984"/>
    <x v="730"/>
    <x v="241"/>
    <x v="540"/>
    <x v="0"/>
    <x v="1"/>
    <x v="540"/>
    <x v="984"/>
  </r>
  <r>
    <x v="985"/>
    <x v="531"/>
    <x v="6"/>
    <x v="1"/>
    <x v="985"/>
    <x v="148"/>
    <x v="13"/>
    <x v="273"/>
    <x v="0"/>
    <x v="1"/>
    <x v="273"/>
    <x v="985"/>
  </r>
  <r>
    <x v="986"/>
    <x v="607"/>
    <x v="2"/>
    <x v="3"/>
    <x v="986"/>
    <x v="459"/>
    <x v="243"/>
    <x v="783"/>
    <x v="0"/>
    <x v="1"/>
    <x v="783"/>
    <x v="986"/>
  </r>
  <r>
    <x v="987"/>
    <x v="16"/>
    <x v="5"/>
    <x v="2"/>
    <x v="987"/>
    <x v="318"/>
    <x v="91"/>
    <x v="784"/>
    <x v="0"/>
    <x v="1"/>
    <x v="784"/>
    <x v="987"/>
  </r>
  <r>
    <x v="988"/>
    <x v="626"/>
    <x v="6"/>
    <x v="1"/>
    <x v="988"/>
    <x v="731"/>
    <x v="40"/>
    <x v="785"/>
    <x v="2"/>
    <x v="94"/>
    <x v="785"/>
    <x v="988"/>
  </r>
  <r>
    <x v="989"/>
    <x v="627"/>
    <x v="6"/>
    <x v="1"/>
    <x v="989"/>
    <x v="732"/>
    <x v="31"/>
    <x v="786"/>
    <x v="0"/>
    <x v="1"/>
    <x v="786"/>
    <x v="989"/>
  </r>
  <r>
    <x v="990"/>
    <x v="66"/>
    <x v="6"/>
    <x v="4"/>
    <x v="990"/>
    <x v="649"/>
    <x v="117"/>
    <x v="787"/>
    <x v="0"/>
    <x v="1"/>
    <x v="787"/>
    <x v="990"/>
  </r>
  <r>
    <x v="991"/>
    <x v="439"/>
    <x v="3"/>
    <x v="3"/>
    <x v="991"/>
    <x v="359"/>
    <x v="244"/>
    <x v="788"/>
    <x v="0"/>
    <x v="82"/>
    <x v="788"/>
    <x v="991"/>
  </r>
  <r>
    <x v="992"/>
    <x v="628"/>
    <x v="6"/>
    <x v="3"/>
    <x v="992"/>
    <x v="534"/>
    <x v="208"/>
    <x v="789"/>
    <x v="0"/>
    <x v="1"/>
    <x v="789"/>
    <x v="992"/>
  </r>
  <r>
    <x v="993"/>
    <x v="1"/>
    <x v="1"/>
    <x v="4"/>
    <x v="993"/>
    <x v="733"/>
    <x v="25"/>
    <x v="790"/>
    <x v="0"/>
    <x v="1"/>
    <x v="790"/>
    <x v="993"/>
  </r>
  <r>
    <x v="994"/>
    <x v="68"/>
    <x v="4"/>
    <x v="4"/>
    <x v="994"/>
    <x v="212"/>
    <x v="30"/>
    <x v="665"/>
    <x v="1"/>
    <x v="1"/>
    <x v="665"/>
    <x v="994"/>
  </r>
  <r>
    <x v="995"/>
    <x v="146"/>
    <x v="6"/>
    <x v="3"/>
    <x v="995"/>
    <x v="540"/>
    <x v="42"/>
    <x v="547"/>
    <x v="1"/>
    <x v="1"/>
    <x v="547"/>
    <x v="995"/>
  </r>
  <r>
    <x v="996"/>
    <x v="629"/>
    <x v="1"/>
    <x v="1"/>
    <x v="996"/>
    <x v="434"/>
    <x v="41"/>
    <x v="791"/>
    <x v="0"/>
    <x v="1"/>
    <x v="791"/>
    <x v="996"/>
  </r>
  <r>
    <x v="997"/>
    <x v="49"/>
    <x v="0"/>
    <x v="3"/>
    <x v="997"/>
    <x v="581"/>
    <x v="155"/>
    <x v="792"/>
    <x v="2"/>
    <x v="138"/>
    <x v="792"/>
    <x v="997"/>
  </r>
  <r>
    <x v="998"/>
    <x v="630"/>
    <x v="3"/>
    <x v="4"/>
    <x v="998"/>
    <x v="678"/>
    <x v="20"/>
    <x v="567"/>
    <x v="0"/>
    <x v="1"/>
    <x v="567"/>
    <x v="998"/>
  </r>
  <r>
    <x v="999"/>
    <x v="41"/>
    <x v="6"/>
    <x v="3"/>
    <x v="999"/>
    <x v="639"/>
    <x v="221"/>
    <x v="793"/>
    <x v="0"/>
    <x v="1"/>
    <x v="793"/>
    <x v="999"/>
  </r>
  <r>
    <x v="1000"/>
    <x v="397"/>
    <x v="2"/>
    <x v="0"/>
    <x v="1000"/>
    <x v="734"/>
    <x v="13"/>
    <x v="794"/>
    <x v="2"/>
    <x v="139"/>
    <x v="794"/>
    <x v="1000"/>
  </r>
  <r>
    <x v="1001"/>
    <x v="631"/>
    <x v="5"/>
    <x v="0"/>
    <x v="1001"/>
    <x v="735"/>
    <x v="64"/>
    <x v="795"/>
    <x v="0"/>
    <x v="1"/>
    <x v="795"/>
    <x v="1001"/>
  </r>
  <r>
    <x v="1002"/>
    <x v="110"/>
    <x v="1"/>
    <x v="3"/>
    <x v="1002"/>
    <x v="311"/>
    <x v="245"/>
    <x v="448"/>
    <x v="1"/>
    <x v="1"/>
    <x v="448"/>
    <x v="1002"/>
  </r>
  <r>
    <x v="1003"/>
    <x v="37"/>
    <x v="2"/>
    <x v="1"/>
    <x v="1003"/>
    <x v="736"/>
    <x v="64"/>
    <x v="715"/>
    <x v="0"/>
    <x v="1"/>
    <x v="715"/>
    <x v="1003"/>
  </r>
  <r>
    <x v="1004"/>
    <x v="254"/>
    <x v="0"/>
    <x v="0"/>
    <x v="1004"/>
    <x v="737"/>
    <x v="49"/>
    <x v="796"/>
    <x v="1"/>
    <x v="1"/>
    <x v="796"/>
    <x v="1004"/>
  </r>
  <r>
    <x v="1005"/>
    <x v="516"/>
    <x v="5"/>
    <x v="0"/>
    <x v="1005"/>
    <x v="738"/>
    <x v="9"/>
    <x v="409"/>
    <x v="0"/>
    <x v="1"/>
    <x v="409"/>
    <x v="1005"/>
  </r>
  <r>
    <x v="1006"/>
    <x v="632"/>
    <x v="2"/>
    <x v="1"/>
    <x v="1006"/>
    <x v="739"/>
    <x v="45"/>
    <x v="797"/>
    <x v="0"/>
    <x v="1"/>
    <x v="797"/>
    <x v="1006"/>
  </r>
  <r>
    <x v="1007"/>
    <x v="633"/>
    <x v="3"/>
    <x v="3"/>
    <x v="1007"/>
    <x v="740"/>
    <x v="246"/>
    <x v="390"/>
    <x v="0"/>
    <x v="1"/>
    <x v="390"/>
    <x v="1007"/>
  </r>
  <r>
    <x v="1008"/>
    <x v="589"/>
    <x v="3"/>
    <x v="3"/>
    <x v="1008"/>
    <x v="741"/>
    <x v="130"/>
    <x v="798"/>
    <x v="0"/>
    <x v="87"/>
    <x v="798"/>
    <x v="1008"/>
  </r>
  <r>
    <x v="1009"/>
    <x v="486"/>
    <x v="0"/>
    <x v="3"/>
    <x v="1009"/>
    <x v="742"/>
    <x v="247"/>
    <x v="491"/>
    <x v="1"/>
    <x v="1"/>
    <x v="491"/>
    <x v="1009"/>
  </r>
  <r>
    <x v="1010"/>
    <x v="634"/>
    <x v="1"/>
    <x v="0"/>
    <x v="1010"/>
    <x v="743"/>
    <x v="108"/>
    <x v="91"/>
    <x v="0"/>
    <x v="1"/>
    <x v="91"/>
    <x v="1010"/>
  </r>
  <r>
    <x v="1011"/>
    <x v="139"/>
    <x v="0"/>
    <x v="4"/>
    <x v="1011"/>
    <x v="652"/>
    <x v="13"/>
    <x v="799"/>
    <x v="0"/>
    <x v="1"/>
    <x v="799"/>
    <x v="1011"/>
  </r>
  <r>
    <x v="1012"/>
    <x v="635"/>
    <x v="6"/>
    <x v="1"/>
    <x v="1012"/>
    <x v="397"/>
    <x v="57"/>
    <x v="169"/>
    <x v="0"/>
    <x v="140"/>
    <x v="169"/>
    <x v="1012"/>
  </r>
  <r>
    <x v="1013"/>
    <x v="636"/>
    <x v="5"/>
    <x v="3"/>
    <x v="1013"/>
    <x v="744"/>
    <x v="114"/>
    <x v="684"/>
    <x v="0"/>
    <x v="1"/>
    <x v="684"/>
    <x v="1013"/>
  </r>
  <r>
    <x v="1014"/>
    <x v="605"/>
    <x v="1"/>
    <x v="4"/>
    <x v="1014"/>
    <x v="154"/>
    <x v="77"/>
    <x v="800"/>
    <x v="0"/>
    <x v="1"/>
    <x v="800"/>
    <x v="1014"/>
  </r>
  <r>
    <x v="1015"/>
    <x v="148"/>
    <x v="0"/>
    <x v="4"/>
    <x v="1015"/>
    <x v="745"/>
    <x v="92"/>
    <x v="801"/>
    <x v="1"/>
    <x v="1"/>
    <x v="801"/>
    <x v="1015"/>
  </r>
  <r>
    <x v="1016"/>
    <x v="280"/>
    <x v="5"/>
    <x v="4"/>
    <x v="1016"/>
    <x v="135"/>
    <x v="40"/>
    <x v="802"/>
    <x v="1"/>
    <x v="1"/>
    <x v="802"/>
    <x v="1016"/>
  </r>
  <r>
    <x v="1017"/>
    <x v="637"/>
    <x v="4"/>
    <x v="2"/>
    <x v="1017"/>
    <x v="188"/>
    <x v="26"/>
    <x v="803"/>
    <x v="2"/>
    <x v="141"/>
    <x v="803"/>
    <x v="1017"/>
  </r>
  <r>
    <x v="1018"/>
    <x v="638"/>
    <x v="1"/>
    <x v="2"/>
    <x v="1018"/>
    <x v="643"/>
    <x v="21"/>
    <x v="30"/>
    <x v="0"/>
    <x v="1"/>
    <x v="30"/>
    <x v="1018"/>
  </r>
  <r>
    <x v="1019"/>
    <x v="639"/>
    <x v="4"/>
    <x v="3"/>
    <x v="1019"/>
    <x v="746"/>
    <x v="201"/>
    <x v="334"/>
    <x v="0"/>
    <x v="1"/>
    <x v="334"/>
    <x v="1019"/>
  </r>
  <r>
    <x v="1020"/>
    <x v="3"/>
    <x v="3"/>
    <x v="1"/>
    <x v="1020"/>
    <x v="92"/>
    <x v="55"/>
    <x v="543"/>
    <x v="0"/>
    <x v="1"/>
    <x v="543"/>
    <x v="1020"/>
  </r>
  <r>
    <x v="1021"/>
    <x v="155"/>
    <x v="3"/>
    <x v="1"/>
    <x v="1021"/>
    <x v="747"/>
    <x v="31"/>
    <x v="804"/>
    <x v="0"/>
    <x v="1"/>
    <x v="804"/>
    <x v="1021"/>
  </r>
  <r>
    <x v="1022"/>
    <x v="604"/>
    <x v="5"/>
    <x v="3"/>
    <x v="1022"/>
    <x v="748"/>
    <x v="174"/>
    <x v="712"/>
    <x v="0"/>
    <x v="142"/>
    <x v="712"/>
    <x v="1022"/>
  </r>
  <r>
    <x v="1023"/>
    <x v="369"/>
    <x v="4"/>
    <x v="1"/>
    <x v="1023"/>
    <x v="749"/>
    <x v="46"/>
    <x v="805"/>
    <x v="0"/>
    <x v="1"/>
    <x v="805"/>
    <x v="1023"/>
  </r>
  <r>
    <x v="1024"/>
    <x v="640"/>
    <x v="3"/>
    <x v="1"/>
    <x v="1024"/>
    <x v="750"/>
    <x v="84"/>
    <x v="806"/>
    <x v="0"/>
    <x v="1"/>
    <x v="806"/>
    <x v="1024"/>
  </r>
  <r>
    <x v="1025"/>
    <x v="626"/>
    <x v="6"/>
    <x v="0"/>
    <x v="1025"/>
    <x v="751"/>
    <x v="154"/>
    <x v="456"/>
    <x v="1"/>
    <x v="1"/>
    <x v="456"/>
    <x v="1025"/>
  </r>
  <r>
    <x v="1026"/>
    <x v="557"/>
    <x v="3"/>
    <x v="3"/>
    <x v="1026"/>
    <x v="572"/>
    <x v="144"/>
    <x v="807"/>
    <x v="1"/>
    <x v="1"/>
    <x v="807"/>
    <x v="1026"/>
  </r>
  <r>
    <x v="1027"/>
    <x v="641"/>
    <x v="5"/>
    <x v="1"/>
    <x v="1027"/>
    <x v="752"/>
    <x v="86"/>
    <x v="808"/>
    <x v="0"/>
    <x v="1"/>
    <x v="808"/>
    <x v="1027"/>
  </r>
  <r>
    <x v="1028"/>
    <x v="642"/>
    <x v="4"/>
    <x v="4"/>
    <x v="1028"/>
    <x v="753"/>
    <x v="226"/>
    <x v="306"/>
    <x v="0"/>
    <x v="1"/>
    <x v="306"/>
    <x v="1028"/>
  </r>
  <r>
    <x v="1029"/>
    <x v="643"/>
    <x v="5"/>
    <x v="0"/>
    <x v="1029"/>
    <x v="754"/>
    <x v="119"/>
    <x v="809"/>
    <x v="2"/>
    <x v="143"/>
    <x v="809"/>
    <x v="1029"/>
  </r>
  <r>
    <x v="1030"/>
    <x v="496"/>
    <x v="5"/>
    <x v="3"/>
    <x v="1030"/>
    <x v="18"/>
    <x v="182"/>
    <x v="810"/>
    <x v="0"/>
    <x v="1"/>
    <x v="810"/>
    <x v="1030"/>
  </r>
  <r>
    <x v="1031"/>
    <x v="644"/>
    <x v="2"/>
    <x v="4"/>
    <x v="1031"/>
    <x v="525"/>
    <x v="46"/>
    <x v="247"/>
    <x v="1"/>
    <x v="1"/>
    <x v="247"/>
    <x v="1031"/>
  </r>
  <r>
    <x v="1032"/>
    <x v="382"/>
    <x v="0"/>
    <x v="2"/>
    <x v="1032"/>
    <x v="587"/>
    <x v="89"/>
    <x v="811"/>
    <x v="0"/>
    <x v="111"/>
    <x v="811"/>
    <x v="1032"/>
  </r>
  <r>
    <x v="1033"/>
    <x v="145"/>
    <x v="0"/>
    <x v="4"/>
    <x v="1033"/>
    <x v="755"/>
    <x v="53"/>
    <x v="812"/>
    <x v="1"/>
    <x v="1"/>
    <x v="812"/>
    <x v="1033"/>
  </r>
  <r>
    <x v="1034"/>
    <x v="85"/>
    <x v="5"/>
    <x v="1"/>
    <x v="1034"/>
    <x v="534"/>
    <x v="91"/>
    <x v="786"/>
    <x v="0"/>
    <x v="52"/>
    <x v="786"/>
    <x v="1034"/>
  </r>
  <r>
    <x v="1035"/>
    <x v="645"/>
    <x v="2"/>
    <x v="4"/>
    <x v="1035"/>
    <x v="263"/>
    <x v="46"/>
    <x v="371"/>
    <x v="2"/>
    <x v="144"/>
    <x v="371"/>
    <x v="1035"/>
  </r>
  <r>
    <x v="1036"/>
    <x v="646"/>
    <x v="5"/>
    <x v="0"/>
    <x v="1036"/>
    <x v="475"/>
    <x v="81"/>
    <x v="1"/>
    <x v="1"/>
    <x v="1"/>
    <x v="1"/>
    <x v="1036"/>
  </r>
  <r>
    <x v="1037"/>
    <x v="255"/>
    <x v="4"/>
    <x v="1"/>
    <x v="1037"/>
    <x v="756"/>
    <x v="89"/>
    <x v="813"/>
    <x v="0"/>
    <x v="1"/>
    <x v="813"/>
    <x v="1037"/>
  </r>
  <r>
    <x v="1038"/>
    <x v="647"/>
    <x v="6"/>
    <x v="1"/>
    <x v="1038"/>
    <x v="757"/>
    <x v="52"/>
    <x v="442"/>
    <x v="1"/>
    <x v="1"/>
    <x v="442"/>
    <x v="1038"/>
  </r>
  <r>
    <x v="1039"/>
    <x v="88"/>
    <x v="2"/>
    <x v="2"/>
    <x v="749"/>
    <x v="758"/>
    <x v="28"/>
    <x v="814"/>
    <x v="0"/>
    <x v="145"/>
    <x v="814"/>
    <x v="749"/>
  </r>
  <r>
    <x v="1040"/>
    <x v="648"/>
    <x v="5"/>
    <x v="4"/>
    <x v="1039"/>
    <x v="759"/>
    <x v="46"/>
    <x v="815"/>
    <x v="0"/>
    <x v="146"/>
    <x v="815"/>
    <x v="1039"/>
  </r>
  <r>
    <x v="1041"/>
    <x v="538"/>
    <x v="3"/>
    <x v="1"/>
    <x v="1040"/>
    <x v="760"/>
    <x v="86"/>
    <x v="816"/>
    <x v="0"/>
    <x v="1"/>
    <x v="816"/>
    <x v="1040"/>
  </r>
  <r>
    <x v="1042"/>
    <x v="154"/>
    <x v="6"/>
    <x v="1"/>
    <x v="1041"/>
    <x v="761"/>
    <x v="0"/>
    <x v="817"/>
    <x v="1"/>
    <x v="1"/>
    <x v="817"/>
    <x v="1041"/>
  </r>
  <r>
    <x v="1043"/>
    <x v="452"/>
    <x v="2"/>
    <x v="4"/>
    <x v="1042"/>
    <x v="517"/>
    <x v="119"/>
    <x v="818"/>
    <x v="0"/>
    <x v="1"/>
    <x v="818"/>
    <x v="1042"/>
  </r>
  <r>
    <x v="1044"/>
    <x v="38"/>
    <x v="0"/>
    <x v="1"/>
    <x v="1043"/>
    <x v="341"/>
    <x v="61"/>
    <x v="114"/>
    <x v="0"/>
    <x v="60"/>
    <x v="114"/>
    <x v="1043"/>
  </r>
  <r>
    <x v="1045"/>
    <x v="80"/>
    <x v="6"/>
    <x v="4"/>
    <x v="1044"/>
    <x v="399"/>
    <x v="53"/>
    <x v="422"/>
    <x v="0"/>
    <x v="146"/>
    <x v="422"/>
    <x v="1044"/>
  </r>
  <r>
    <x v="1046"/>
    <x v="284"/>
    <x v="5"/>
    <x v="3"/>
    <x v="1045"/>
    <x v="762"/>
    <x v="47"/>
    <x v="398"/>
    <x v="0"/>
    <x v="1"/>
    <x v="398"/>
    <x v="1045"/>
  </r>
  <r>
    <x v="1047"/>
    <x v="649"/>
    <x v="5"/>
    <x v="3"/>
    <x v="1046"/>
    <x v="763"/>
    <x v="164"/>
    <x v="819"/>
    <x v="2"/>
    <x v="147"/>
    <x v="819"/>
    <x v="1046"/>
  </r>
  <r>
    <x v="1048"/>
    <x v="416"/>
    <x v="4"/>
    <x v="4"/>
    <x v="1047"/>
    <x v="116"/>
    <x v="64"/>
    <x v="820"/>
    <x v="1"/>
    <x v="1"/>
    <x v="820"/>
    <x v="1047"/>
  </r>
  <r>
    <x v="1049"/>
    <x v="57"/>
    <x v="0"/>
    <x v="4"/>
    <x v="1048"/>
    <x v="165"/>
    <x v="6"/>
    <x v="274"/>
    <x v="2"/>
    <x v="148"/>
    <x v="274"/>
    <x v="1048"/>
  </r>
  <r>
    <x v="1050"/>
    <x v="650"/>
    <x v="6"/>
    <x v="3"/>
    <x v="1049"/>
    <x v="760"/>
    <x v="112"/>
    <x v="776"/>
    <x v="0"/>
    <x v="1"/>
    <x v="776"/>
    <x v="1049"/>
  </r>
  <r>
    <x v="1051"/>
    <x v="651"/>
    <x v="6"/>
    <x v="2"/>
    <x v="1050"/>
    <x v="122"/>
    <x v="103"/>
    <x v="821"/>
    <x v="0"/>
    <x v="1"/>
    <x v="821"/>
    <x v="1050"/>
  </r>
  <r>
    <x v="1052"/>
    <x v="652"/>
    <x v="3"/>
    <x v="4"/>
    <x v="1051"/>
    <x v="764"/>
    <x v="86"/>
    <x v="822"/>
    <x v="0"/>
    <x v="1"/>
    <x v="822"/>
    <x v="1051"/>
  </r>
  <r>
    <x v="1053"/>
    <x v="653"/>
    <x v="3"/>
    <x v="3"/>
    <x v="1052"/>
    <x v="765"/>
    <x v="141"/>
    <x v="823"/>
    <x v="0"/>
    <x v="1"/>
    <x v="823"/>
    <x v="1052"/>
  </r>
  <r>
    <x v="1054"/>
    <x v="217"/>
    <x v="3"/>
    <x v="1"/>
    <x v="1053"/>
    <x v="694"/>
    <x v="49"/>
    <x v="720"/>
    <x v="0"/>
    <x v="1"/>
    <x v="720"/>
    <x v="1053"/>
  </r>
  <r>
    <x v="1055"/>
    <x v="287"/>
    <x v="2"/>
    <x v="1"/>
    <x v="1054"/>
    <x v="508"/>
    <x v="84"/>
    <x v="466"/>
    <x v="0"/>
    <x v="1"/>
    <x v="466"/>
    <x v="1054"/>
  </r>
  <r>
    <x v="1056"/>
    <x v="654"/>
    <x v="4"/>
    <x v="4"/>
    <x v="1055"/>
    <x v="766"/>
    <x v="12"/>
    <x v="824"/>
    <x v="1"/>
    <x v="1"/>
    <x v="824"/>
    <x v="1055"/>
  </r>
  <r>
    <x v="1057"/>
    <x v="320"/>
    <x v="5"/>
    <x v="3"/>
    <x v="1056"/>
    <x v="767"/>
    <x v="69"/>
    <x v="825"/>
    <x v="0"/>
    <x v="1"/>
    <x v="825"/>
    <x v="1056"/>
  </r>
  <r>
    <x v="1058"/>
    <x v="655"/>
    <x v="5"/>
    <x v="1"/>
    <x v="1057"/>
    <x v="361"/>
    <x v="81"/>
    <x v="794"/>
    <x v="0"/>
    <x v="1"/>
    <x v="794"/>
    <x v="1057"/>
  </r>
  <r>
    <x v="1059"/>
    <x v="93"/>
    <x v="4"/>
    <x v="0"/>
    <x v="1058"/>
    <x v="333"/>
    <x v="172"/>
    <x v="588"/>
    <x v="1"/>
    <x v="1"/>
    <x v="588"/>
    <x v="1058"/>
  </r>
  <r>
    <x v="1060"/>
    <x v="656"/>
    <x v="5"/>
    <x v="2"/>
    <x v="1059"/>
    <x v="714"/>
    <x v="59"/>
    <x v="304"/>
    <x v="2"/>
    <x v="11"/>
    <x v="304"/>
    <x v="1059"/>
  </r>
  <r>
    <x v="1061"/>
    <x v="105"/>
    <x v="3"/>
    <x v="3"/>
    <x v="1060"/>
    <x v="130"/>
    <x v="248"/>
    <x v="516"/>
    <x v="0"/>
    <x v="1"/>
    <x v="516"/>
    <x v="1060"/>
  </r>
  <r>
    <x v="1062"/>
    <x v="544"/>
    <x v="5"/>
    <x v="0"/>
    <x v="1061"/>
    <x v="750"/>
    <x v="91"/>
    <x v="826"/>
    <x v="1"/>
    <x v="1"/>
    <x v="826"/>
    <x v="1061"/>
  </r>
  <r>
    <x v="1063"/>
    <x v="657"/>
    <x v="0"/>
    <x v="3"/>
    <x v="1062"/>
    <x v="768"/>
    <x v="249"/>
    <x v="10"/>
    <x v="0"/>
    <x v="149"/>
    <x v="10"/>
    <x v="1062"/>
  </r>
  <r>
    <x v="1064"/>
    <x v="485"/>
    <x v="0"/>
    <x v="4"/>
    <x v="1063"/>
    <x v="337"/>
    <x v="63"/>
    <x v="318"/>
    <x v="0"/>
    <x v="1"/>
    <x v="318"/>
    <x v="1063"/>
  </r>
  <r>
    <x v="1065"/>
    <x v="459"/>
    <x v="0"/>
    <x v="0"/>
    <x v="1064"/>
    <x v="769"/>
    <x v="79"/>
    <x v="827"/>
    <x v="0"/>
    <x v="1"/>
    <x v="827"/>
    <x v="1064"/>
  </r>
  <r>
    <x v="1066"/>
    <x v="125"/>
    <x v="3"/>
    <x v="1"/>
    <x v="1065"/>
    <x v="770"/>
    <x v="30"/>
    <x v="255"/>
    <x v="1"/>
    <x v="1"/>
    <x v="255"/>
    <x v="1065"/>
  </r>
  <r>
    <x v="1067"/>
    <x v="630"/>
    <x v="3"/>
    <x v="0"/>
    <x v="1066"/>
    <x v="771"/>
    <x v="29"/>
    <x v="19"/>
    <x v="0"/>
    <x v="1"/>
    <x v="19"/>
    <x v="1066"/>
  </r>
  <r>
    <x v="1068"/>
    <x v="658"/>
    <x v="6"/>
    <x v="4"/>
    <x v="1067"/>
    <x v="772"/>
    <x v="57"/>
    <x v="828"/>
    <x v="0"/>
    <x v="80"/>
    <x v="828"/>
    <x v="1067"/>
  </r>
  <r>
    <x v="1069"/>
    <x v="659"/>
    <x v="0"/>
    <x v="0"/>
    <x v="1068"/>
    <x v="773"/>
    <x v="55"/>
    <x v="829"/>
    <x v="2"/>
    <x v="150"/>
    <x v="829"/>
    <x v="1068"/>
  </r>
  <r>
    <x v="1070"/>
    <x v="625"/>
    <x v="2"/>
    <x v="1"/>
    <x v="1069"/>
    <x v="612"/>
    <x v="7"/>
    <x v="79"/>
    <x v="0"/>
    <x v="1"/>
    <x v="79"/>
    <x v="1069"/>
  </r>
  <r>
    <x v="1071"/>
    <x v="660"/>
    <x v="4"/>
    <x v="3"/>
    <x v="1070"/>
    <x v="774"/>
    <x v="250"/>
    <x v="830"/>
    <x v="0"/>
    <x v="1"/>
    <x v="830"/>
    <x v="1070"/>
  </r>
  <r>
    <x v="1072"/>
    <x v="94"/>
    <x v="1"/>
    <x v="4"/>
    <x v="1071"/>
    <x v="775"/>
    <x v="136"/>
    <x v="525"/>
    <x v="0"/>
    <x v="1"/>
    <x v="525"/>
    <x v="1071"/>
  </r>
  <r>
    <x v="1073"/>
    <x v="414"/>
    <x v="1"/>
    <x v="4"/>
    <x v="1072"/>
    <x v="556"/>
    <x v="53"/>
    <x v="831"/>
    <x v="1"/>
    <x v="1"/>
    <x v="831"/>
    <x v="1072"/>
  </r>
  <r>
    <x v="1074"/>
    <x v="558"/>
    <x v="6"/>
    <x v="4"/>
    <x v="1073"/>
    <x v="217"/>
    <x v="145"/>
    <x v="505"/>
    <x v="0"/>
    <x v="1"/>
    <x v="505"/>
    <x v="1073"/>
  </r>
  <r>
    <x v="1075"/>
    <x v="33"/>
    <x v="4"/>
    <x v="2"/>
    <x v="1074"/>
    <x v="310"/>
    <x v="44"/>
    <x v="832"/>
    <x v="0"/>
    <x v="1"/>
    <x v="832"/>
    <x v="1074"/>
  </r>
  <r>
    <x v="1076"/>
    <x v="455"/>
    <x v="3"/>
    <x v="3"/>
    <x v="1075"/>
    <x v="776"/>
    <x v="231"/>
    <x v="833"/>
    <x v="0"/>
    <x v="1"/>
    <x v="833"/>
    <x v="1075"/>
  </r>
  <r>
    <x v="1077"/>
    <x v="661"/>
    <x v="2"/>
    <x v="2"/>
    <x v="1076"/>
    <x v="281"/>
    <x v="27"/>
    <x v="834"/>
    <x v="0"/>
    <x v="1"/>
    <x v="834"/>
    <x v="1076"/>
  </r>
  <r>
    <x v="1078"/>
    <x v="107"/>
    <x v="0"/>
    <x v="4"/>
    <x v="1077"/>
    <x v="405"/>
    <x v="37"/>
    <x v="835"/>
    <x v="0"/>
    <x v="1"/>
    <x v="835"/>
    <x v="1077"/>
  </r>
  <r>
    <x v="1079"/>
    <x v="385"/>
    <x v="2"/>
    <x v="4"/>
    <x v="1078"/>
    <x v="777"/>
    <x v="53"/>
    <x v="836"/>
    <x v="0"/>
    <x v="52"/>
    <x v="836"/>
    <x v="1078"/>
  </r>
  <r>
    <x v="1080"/>
    <x v="662"/>
    <x v="5"/>
    <x v="4"/>
    <x v="1079"/>
    <x v="778"/>
    <x v="16"/>
    <x v="837"/>
    <x v="2"/>
    <x v="67"/>
    <x v="837"/>
    <x v="1079"/>
  </r>
  <r>
    <x v="1081"/>
    <x v="290"/>
    <x v="4"/>
    <x v="0"/>
    <x v="1080"/>
    <x v="302"/>
    <x v="3"/>
    <x v="838"/>
    <x v="1"/>
    <x v="1"/>
    <x v="838"/>
    <x v="1080"/>
  </r>
  <r>
    <x v="1082"/>
    <x v="25"/>
    <x v="3"/>
    <x v="1"/>
    <x v="1081"/>
    <x v="779"/>
    <x v="49"/>
    <x v="839"/>
    <x v="0"/>
    <x v="1"/>
    <x v="839"/>
    <x v="1081"/>
  </r>
  <r>
    <x v="1083"/>
    <x v="604"/>
    <x v="5"/>
    <x v="1"/>
    <x v="1082"/>
    <x v="108"/>
    <x v="4"/>
    <x v="766"/>
    <x v="0"/>
    <x v="82"/>
    <x v="766"/>
    <x v="1082"/>
  </r>
  <r>
    <x v="1084"/>
    <x v="573"/>
    <x v="3"/>
    <x v="1"/>
    <x v="1083"/>
    <x v="195"/>
    <x v="96"/>
    <x v="840"/>
    <x v="0"/>
    <x v="1"/>
    <x v="840"/>
    <x v="1083"/>
  </r>
  <r>
    <x v="1085"/>
    <x v="663"/>
    <x v="6"/>
    <x v="2"/>
    <x v="1084"/>
    <x v="528"/>
    <x v="13"/>
    <x v="647"/>
    <x v="1"/>
    <x v="1"/>
    <x v="647"/>
    <x v="1084"/>
  </r>
  <r>
    <x v="1086"/>
    <x v="398"/>
    <x v="5"/>
    <x v="3"/>
    <x v="1085"/>
    <x v="233"/>
    <x v="39"/>
    <x v="468"/>
    <x v="1"/>
    <x v="1"/>
    <x v="468"/>
    <x v="1085"/>
  </r>
  <r>
    <x v="1087"/>
    <x v="162"/>
    <x v="1"/>
    <x v="1"/>
    <x v="1086"/>
    <x v="780"/>
    <x v="52"/>
    <x v="841"/>
    <x v="0"/>
    <x v="132"/>
    <x v="841"/>
    <x v="1086"/>
  </r>
  <r>
    <x v="1088"/>
    <x v="542"/>
    <x v="3"/>
    <x v="4"/>
    <x v="1087"/>
    <x v="781"/>
    <x v="100"/>
    <x v="842"/>
    <x v="0"/>
    <x v="1"/>
    <x v="842"/>
    <x v="1087"/>
  </r>
  <r>
    <x v="1089"/>
    <x v="664"/>
    <x v="2"/>
    <x v="3"/>
    <x v="1088"/>
    <x v="782"/>
    <x v="191"/>
    <x v="444"/>
    <x v="0"/>
    <x v="1"/>
    <x v="444"/>
    <x v="1088"/>
  </r>
  <r>
    <x v="1090"/>
    <x v="665"/>
    <x v="5"/>
    <x v="0"/>
    <x v="1089"/>
    <x v="279"/>
    <x v="145"/>
    <x v="790"/>
    <x v="0"/>
    <x v="1"/>
    <x v="790"/>
    <x v="1089"/>
  </r>
  <r>
    <x v="1091"/>
    <x v="273"/>
    <x v="3"/>
    <x v="4"/>
    <x v="1090"/>
    <x v="783"/>
    <x v="51"/>
    <x v="843"/>
    <x v="0"/>
    <x v="1"/>
    <x v="843"/>
    <x v="1090"/>
  </r>
  <r>
    <x v="1092"/>
    <x v="280"/>
    <x v="5"/>
    <x v="3"/>
    <x v="1091"/>
    <x v="152"/>
    <x v="95"/>
    <x v="689"/>
    <x v="0"/>
    <x v="1"/>
    <x v="689"/>
    <x v="1091"/>
  </r>
  <r>
    <x v="1093"/>
    <x v="611"/>
    <x v="5"/>
    <x v="0"/>
    <x v="1092"/>
    <x v="784"/>
    <x v="92"/>
    <x v="844"/>
    <x v="0"/>
    <x v="1"/>
    <x v="844"/>
    <x v="1092"/>
  </r>
  <r>
    <x v="1094"/>
    <x v="602"/>
    <x v="5"/>
    <x v="3"/>
    <x v="1093"/>
    <x v="785"/>
    <x v="251"/>
    <x v="45"/>
    <x v="1"/>
    <x v="1"/>
    <x v="45"/>
    <x v="1093"/>
  </r>
  <r>
    <x v="1095"/>
    <x v="411"/>
    <x v="6"/>
    <x v="1"/>
    <x v="1094"/>
    <x v="786"/>
    <x v="55"/>
    <x v="845"/>
    <x v="1"/>
    <x v="1"/>
    <x v="845"/>
    <x v="1094"/>
  </r>
  <r>
    <x v="1096"/>
    <x v="379"/>
    <x v="2"/>
    <x v="1"/>
    <x v="1095"/>
    <x v="787"/>
    <x v="5"/>
    <x v="135"/>
    <x v="2"/>
    <x v="151"/>
    <x v="135"/>
    <x v="1095"/>
  </r>
  <r>
    <x v="1097"/>
    <x v="327"/>
    <x v="4"/>
    <x v="0"/>
    <x v="1096"/>
    <x v="788"/>
    <x v="252"/>
    <x v="846"/>
    <x v="0"/>
    <x v="1"/>
    <x v="846"/>
    <x v="1096"/>
  </r>
  <r>
    <x v="1098"/>
    <x v="423"/>
    <x v="1"/>
    <x v="3"/>
    <x v="1097"/>
    <x v="43"/>
    <x v="186"/>
    <x v="847"/>
    <x v="0"/>
    <x v="1"/>
    <x v="847"/>
    <x v="1097"/>
  </r>
  <r>
    <x v="1099"/>
    <x v="458"/>
    <x v="6"/>
    <x v="3"/>
    <x v="1098"/>
    <x v="447"/>
    <x v="155"/>
    <x v="533"/>
    <x v="0"/>
    <x v="1"/>
    <x v="533"/>
    <x v="1098"/>
  </r>
  <r>
    <x v="1100"/>
    <x v="151"/>
    <x v="6"/>
    <x v="1"/>
    <x v="1099"/>
    <x v="789"/>
    <x v="52"/>
    <x v="848"/>
    <x v="0"/>
    <x v="1"/>
    <x v="848"/>
    <x v="1099"/>
  </r>
  <r>
    <x v="1101"/>
    <x v="609"/>
    <x v="4"/>
    <x v="4"/>
    <x v="1100"/>
    <x v="790"/>
    <x v="55"/>
    <x v="210"/>
    <x v="0"/>
    <x v="1"/>
    <x v="210"/>
    <x v="1100"/>
  </r>
  <r>
    <x v="1102"/>
    <x v="633"/>
    <x v="3"/>
    <x v="2"/>
    <x v="1101"/>
    <x v="791"/>
    <x v="46"/>
    <x v="197"/>
    <x v="0"/>
    <x v="85"/>
    <x v="197"/>
    <x v="1101"/>
  </r>
  <r>
    <x v="1103"/>
    <x v="114"/>
    <x v="1"/>
    <x v="0"/>
    <x v="1102"/>
    <x v="504"/>
    <x v="252"/>
    <x v="849"/>
    <x v="1"/>
    <x v="1"/>
    <x v="849"/>
    <x v="1102"/>
  </r>
  <r>
    <x v="1104"/>
    <x v="464"/>
    <x v="6"/>
    <x v="3"/>
    <x v="1103"/>
    <x v="792"/>
    <x v="116"/>
    <x v="850"/>
    <x v="0"/>
    <x v="1"/>
    <x v="850"/>
    <x v="1103"/>
  </r>
  <r>
    <x v="1105"/>
    <x v="23"/>
    <x v="5"/>
    <x v="4"/>
    <x v="1104"/>
    <x v="298"/>
    <x v="12"/>
    <x v="851"/>
    <x v="1"/>
    <x v="1"/>
    <x v="851"/>
    <x v="1104"/>
  </r>
  <r>
    <x v="1106"/>
    <x v="647"/>
    <x v="6"/>
    <x v="3"/>
    <x v="1105"/>
    <x v="793"/>
    <x v="15"/>
    <x v="852"/>
    <x v="0"/>
    <x v="1"/>
    <x v="852"/>
    <x v="1105"/>
  </r>
  <r>
    <x v="1107"/>
    <x v="224"/>
    <x v="5"/>
    <x v="3"/>
    <x v="1106"/>
    <x v="269"/>
    <x v="208"/>
    <x v="298"/>
    <x v="0"/>
    <x v="1"/>
    <x v="298"/>
    <x v="1106"/>
  </r>
  <r>
    <x v="1108"/>
    <x v="273"/>
    <x v="3"/>
    <x v="1"/>
    <x v="1107"/>
    <x v="355"/>
    <x v="6"/>
    <x v="853"/>
    <x v="0"/>
    <x v="1"/>
    <x v="853"/>
    <x v="1107"/>
  </r>
  <r>
    <x v="1109"/>
    <x v="68"/>
    <x v="4"/>
    <x v="3"/>
    <x v="1108"/>
    <x v="160"/>
    <x v="167"/>
    <x v="854"/>
    <x v="1"/>
    <x v="1"/>
    <x v="854"/>
    <x v="1108"/>
  </r>
  <r>
    <x v="1110"/>
    <x v="218"/>
    <x v="2"/>
    <x v="0"/>
    <x v="1109"/>
    <x v="794"/>
    <x v="115"/>
    <x v="301"/>
    <x v="0"/>
    <x v="1"/>
    <x v="301"/>
    <x v="1109"/>
  </r>
  <r>
    <x v="1111"/>
    <x v="666"/>
    <x v="3"/>
    <x v="1"/>
    <x v="1110"/>
    <x v="795"/>
    <x v="129"/>
    <x v="855"/>
    <x v="0"/>
    <x v="1"/>
    <x v="855"/>
    <x v="1110"/>
  </r>
  <r>
    <x v="1112"/>
    <x v="388"/>
    <x v="2"/>
    <x v="0"/>
    <x v="1111"/>
    <x v="677"/>
    <x v="160"/>
    <x v="592"/>
    <x v="0"/>
    <x v="152"/>
    <x v="592"/>
    <x v="1111"/>
  </r>
  <r>
    <x v="1113"/>
    <x v="466"/>
    <x v="4"/>
    <x v="0"/>
    <x v="1112"/>
    <x v="796"/>
    <x v="27"/>
    <x v="856"/>
    <x v="0"/>
    <x v="1"/>
    <x v="856"/>
    <x v="1112"/>
  </r>
  <r>
    <x v="1114"/>
    <x v="667"/>
    <x v="4"/>
    <x v="3"/>
    <x v="1113"/>
    <x v="797"/>
    <x v="253"/>
    <x v="145"/>
    <x v="0"/>
    <x v="1"/>
    <x v="145"/>
    <x v="1113"/>
  </r>
  <r>
    <x v="1115"/>
    <x v="668"/>
    <x v="0"/>
    <x v="2"/>
    <x v="1114"/>
    <x v="798"/>
    <x v="24"/>
    <x v="857"/>
    <x v="0"/>
    <x v="140"/>
    <x v="857"/>
    <x v="1114"/>
  </r>
  <r>
    <x v="1116"/>
    <x v="669"/>
    <x v="4"/>
    <x v="0"/>
    <x v="1115"/>
    <x v="799"/>
    <x v="52"/>
    <x v="858"/>
    <x v="1"/>
    <x v="1"/>
    <x v="858"/>
    <x v="1115"/>
  </r>
  <r>
    <x v="1117"/>
    <x v="670"/>
    <x v="2"/>
    <x v="2"/>
    <x v="1116"/>
    <x v="91"/>
    <x v="26"/>
    <x v="632"/>
    <x v="1"/>
    <x v="1"/>
    <x v="632"/>
    <x v="1116"/>
  </r>
  <r>
    <x v="1118"/>
    <x v="449"/>
    <x v="4"/>
    <x v="0"/>
    <x v="1117"/>
    <x v="800"/>
    <x v="20"/>
    <x v="859"/>
    <x v="0"/>
    <x v="1"/>
    <x v="859"/>
    <x v="1117"/>
  </r>
  <r>
    <x v="1119"/>
    <x v="671"/>
    <x v="3"/>
    <x v="1"/>
    <x v="1118"/>
    <x v="801"/>
    <x v="27"/>
    <x v="251"/>
    <x v="0"/>
    <x v="1"/>
    <x v="251"/>
    <x v="1118"/>
  </r>
  <r>
    <x v="1120"/>
    <x v="88"/>
    <x v="2"/>
    <x v="3"/>
    <x v="1119"/>
    <x v="758"/>
    <x v="126"/>
    <x v="641"/>
    <x v="0"/>
    <x v="1"/>
    <x v="641"/>
    <x v="1119"/>
  </r>
  <r>
    <x v="1121"/>
    <x v="356"/>
    <x v="5"/>
    <x v="3"/>
    <x v="1120"/>
    <x v="802"/>
    <x v="157"/>
    <x v="860"/>
    <x v="0"/>
    <x v="1"/>
    <x v="860"/>
    <x v="1120"/>
  </r>
  <r>
    <x v="1122"/>
    <x v="621"/>
    <x v="1"/>
    <x v="1"/>
    <x v="1121"/>
    <x v="474"/>
    <x v="49"/>
    <x v="861"/>
    <x v="0"/>
    <x v="1"/>
    <x v="861"/>
    <x v="1121"/>
  </r>
  <r>
    <x v="1123"/>
    <x v="672"/>
    <x v="1"/>
    <x v="0"/>
    <x v="1122"/>
    <x v="803"/>
    <x v="103"/>
    <x v="862"/>
    <x v="0"/>
    <x v="1"/>
    <x v="862"/>
    <x v="1122"/>
  </r>
  <r>
    <x v="1124"/>
    <x v="673"/>
    <x v="0"/>
    <x v="3"/>
    <x v="1123"/>
    <x v="799"/>
    <x v="164"/>
    <x v="395"/>
    <x v="0"/>
    <x v="1"/>
    <x v="395"/>
    <x v="1123"/>
  </r>
  <r>
    <x v="1125"/>
    <x v="674"/>
    <x v="1"/>
    <x v="3"/>
    <x v="1124"/>
    <x v="222"/>
    <x v="42"/>
    <x v="264"/>
    <x v="0"/>
    <x v="1"/>
    <x v="264"/>
    <x v="1124"/>
  </r>
  <r>
    <x v="1126"/>
    <x v="68"/>
    <x v="4"/>
    <x v="1"/>
    <x v="1125"/>
    <x v="739"/>
    <x v="84"/>
    <x v="863"/>
    <x v="0"/>
    <x v="1"/>
    <x v="863"/>
    <x v="1125"/>
  </r>
  <r>
    <x v="1127"/>
    <x v="471"/>
    <x v="5"/>
    <x v="4"/>
    <x v="1126"/>
    <x v="804"/>
    <x v="36"/>
    <x v="864"/>
    <x v="0"/>
    <x v="1"/>
    <x v="864"/>
    <x v="1126"/>
  </r>
  <r>
    <x v="1128"/>
    <x v="675"/>
    <x v="6"/>
    <x v="4"/>
    <x v="1127"/>
    <x v="113"/>
    <x v="63"/>
    <x v="865"/>
    <x v="1"/>
    <x v="1"/>
    <x v="865"/>
    <x v="1127"/>
  </r>
  <r>
    <x v="1129"/>
    <x v="676"/>
    <x v="1"/>
    <x v="0"/>
    <x v="1128"/>
    <x v="805"/>
    <x v="254"/>
    <x v="597"/>
    <x v="0"/>
    <x v="1"/>
    <x v="597"/>
    <x v="1128"/>
  </r>
  <r>
    <x v="1130"/>
    <x v="377"/>
    <x v="3"/>
    <x v="4"/>
    <x v="1129"/>
    <x v="806"/>
    <x v="48"/>
    <x v="268"/>
    <x v="0"/>
    <x v="1"/>
    <x v="268"/>
    <x v="1129"/>
  </r>
  <r>
    <x v="1131"/>
    <x v="335"/>
    <x v="3"/>
    <x v="1"/>
    <x v="1130"/>
    <x v="347"/>
    <x v="59"/>
    <x v="41"/>
    <x v="0"/>
    <x v="1"/>
    <x v="41"/>
    <x v="1130"/>
  </r>
  <r>
    <x v="1132"/>
    <x v="348"/>
    <x v="3"/>
    <x v="4"/>
    <x v="1131"/>
    <x v="764"/>
    <x v="55"/>
    <x v="866"/>
    <x v="2"/>
    <x v="20"/>
    <x v="866"/>
    <x v="1131"/>
  </r>
  <r>
    <x v="1133"/>
    <x v="308"/>
    <x v="3"/>
    <x v="1"/>
    <x v="1132"/>
    <x v="807"/>
    <x v="81"/>
    <x v="867"/>
    <x v="1"/>
    <x v="1"/>
    <x v="867"/>
    <x v="1132"/>
  </r>
  <r>
    <x v="1134"/>
    <x v="677"/>
    <x v="5"/>
    <x v="3"/>
    <x v="1133"/>
    <x v="646"/>
    <x v="215"/>
    <x v="868"/>
    <x v="0"/>
    <x v="1"/>
    <x v="868"/>
    <x v="1133"/>
  </r>
  <r>
    <x v="1135"/>
    <x v="612"/>
    <x v="3"/>
    <x v="1"/>
    <x v="1134"/>
    <x v="275"/>
    <x v="61"/>
    <x v="869"/>
    <x v="1"/>
    <x v="1"/>
    <x v="869"/>
    <x v="1134"/>
  </r>
  <r>
    <x v="1136"/>
    <x v="678"/>
    <x v="6"/>
    <x v="1"/>
    <x v="1135"/>
    <x v="638"/>
    <x v="75"/>
    <x v="870"/>
    <x v="0"/>
    <x v="1"/>
    <x v="870"/>
    <x v="1135"/>
  </r>
  <r>
    <x v="1137"/>
    <x v="679"/>
    <x v="3"/>
    <x v="1"/>
    <x v="1136"/>
    <x v="808"/>
    <x v="59"/>
    <x v="871"/>
    <x v="0"/>
    <x v="1"/>
    <x v="871"/>
    <x v="1136"/>
  </r>
  <r>
    <x v="1138"/>
    <x v="480"/>
    <x v="0"/>
    <x v="1"/>
    <x v="1137"/>
    <x v="229"/>
    <x v="31"/>
    <x v="852"/>
    <x v="0"/>
    <x v="1"/>
    <x v="852"/>
    <x v="1137"/>
  </r>
  <r>
    <x v="1139"/>
    <x v="680"/>
    <x v="4"/>
    <x v="1"/>
    <x v="1138"/>
    <x v="305"/>
    <x v="96"/>
    <x v="872"/>
    <x v="1"/>
    <x v="1"/>
    <x v="872"/>
    <x v="1138"/>
  </r>
  <r>
    <x v="1140"/>
    <x v="681"/>
    <x v="0"/>
    <x v="0"/>
    <x v="1139"/>
    <x v="809"/>
    <x v="255"/>
    <x v="873"/>
    <x v="1"/>
    <x v="1"/>
    <x v="873"/>
    <x v="1139"/>
  </r>
  <r>
    <x v="1141"/>
    <x v="220"/>
    <x v="6"/>
    <x v="2"/>
    <x v="1140"/>
    <x v="218"/>
    <x v="84"/>
    <x v="874"/>
    <x v="2"/>
    <x v="63"/>
    <x v="874"/>
    <x v="1140"/>
  </r>
  <r>
    <x v="1142"/>
    <x v="100"/>
    <x v="2"/>
    <x v="4"/>
    <x v="1141"/>
    <x v="810"/>
    <x v="92"/>
    <x v="482"/>
    <x v="0"/>
    <x v="1"/>
    <x v="482"/>
    <x v="1141"/>
  </r>
  <r>
    <x v="1143"/>
    <x v="61"/>
    <x v="3"/>
    <x v="4"/>
    <x v="1142"/>
    <x v="811"/>
    <x v="23"/>
    <x v="533"/>
    <x v="0"/>
    <x v="1"/>
    <x v="533"/>
    <x v="1142"/>
  </r>
  <r>
    <x v="1144"/>
    <x v="224"/>
    <x v="5"/>
    <x v="1"/>
    <x v="1143"/>
    <x v="620"/>
    <x v="6"/>
    <x v="63"/>
    <x v="1"/>
    <x v="1"/>
    <x v="63"/>
    <x v="1143"/>
  </r>
  <r>
    <x v="1145"/>
    <x v="106"/>
    <x v="2"/>
    <x v="3"/>
    <x v="1144"/>
    <x v="470"/>
    <x v="102"/>
    <x v="875"/>
    <x v="0"/>
    <x v="1"/>
    <x v="875"/>
    <x v="1144"/>
  </r>
  <r>
    <x v="1146"/>
    <x v="372"/>
    <x v="3"/>
    <x v="0"/>
    <x v="1145"/>
    <x v="812"/>
    <x v="239"/>
    <x v="876"/>
    <x v="0"/>
    <x v="1"/>
    <x v="876"/>
    <x v="1145"/>
  </r>
  <r>
    <x v="1147"/>
    <x v="466"/>
    <x v="4"/>
    <x v="4"/>
    <x v="1146"/>
    <x v="401"/>
    <x v="26"/>
    <x v="877"/>
    <x v="0"/>
    <x v="153"/>
    <x v="877"/>
    <x v="1146"/>
  </r>
  <r>
    <x v="1148"/>
    <x v="285"/>
    <x v="4"/>
    <x v="2"/>
    <x v="1147"/>
    <x v="813"/>
    <x v="48"/>
    <x v="467"/>
    <x v="0"/>
    <x v="1"/>
    <x v="467"/>
    <x v="1147"/>
  </r>
  <r>
    <x v="1149"/>
    <x v="59"/>
    <x v="6"/>
    <x v="1"/>
    <x v="1148"/>
    <x v="814"/>
    <x v="23"/>
    <x v="878"/>
    <x v="0"/>
    <x v="154"/>
    <x v="878"/>
    <x v="1148"/>
  </r>
  <r>
    <x v="1150"/>
    <x v="250"/>
    <x v="3"/>
    <x v="4"/>
    <x v="1149"/>
    <x v="94"/>
    <x v="19"/>
    <x v="235"/>
    <x v="0"/>
    <x v="1"/>
    <x v="235"/>
    <x v="1149"/>
  </r>
  <r>
    <x v="1151"/>
    <x v="682"/>
    <x v="2"/>
    <x v="4"/>
    <x v="1150"/>
    <x v="815"/>
    <x v="26"/>
    <x v="879"/>
    <x v="0"/>
    <x v="155"/>
    <x v="879"/>
    <x v="1150"/>
  </r>
  <r>
    <x v="1152"/>
    <x v="244"/>
    <x v="6"/>
    <x v="4"/>
    <x v="1151"/>
    <x v="816"/>
    <x v="64"/>
    <x v="880"/>
    <x v="0"/>
    <x v="1"/>
    <x v="880"/>
    <x v="1151"/>
  </r>
  <r>
    <x v="1153"/>
    <x v="683"/>
    <x v="3"/>
    <x v="0"/>
    <x v="1152"/>
    <x v="40"/>
    <x v="256"/>
    <x v="881"/>
    <x v="0"/>
    <x v="1"/>
    <x v="881"/>
    <x v="1152"/>
  </r>
  <r>
    <x v="1154"/>
    <x v="487"/>
    <x v="3"/>
    <x v="2"/>
    <x v="1153"/>
    <x v="194"/>
    <x v="75"/>
    <x v="155"/>
    <x v="1"/>
    <x v="1"/>
    <x v="155"/>
    <x v="1153"/>
  </r>
  <r>
    <x v="1155"/>
    <x v="465"/>
    <x v="4"/>
    <x v="1"/>
    <x v="1154"/>
    <x v="817"/>
    <x v="13"/>
    <x v="882"/>
    <x v="0"/>
    <x v="1"/>
    <x v="882"/>
    <x v="1154"/>
  </r>
  <r>
    <x v="1156"/>
    <x v="647"/>
    <x v="6"/>
    <x v="0"/>
    <x v="1155"/>
    <x v="818"/>
    <x v="83"/>
    <x v="621"/>
    <x v="1"/>
    <x v="1"/>
    <x v="621"/>
    <x v="1155"/>
  </r>
  <r>
    <x v="1157"/>
    <x v="165"/>
    <x v="1"/>
    <x v="4"/>
    <x v="1156"/>
    <x v="819"/>
    <x v="97"/>
    <x v="883"/>
    <x v="1"/>
    <x v="1"/>
    <x v="883"/>
    <x v="1156"/>
  </r>
  <r>
    <x v="1158"/>
    <x v="684"/>
    <x v="5"/>
    <x v="4"/>
    <x v="1157"/>
    <x v="820"/>
    <x v="30"/>
    <x v="884"/>
    <x v="0"/>
    <x v="1"/>
    <x v="884"/>
    <x v="1157"/>
  </r>
  <r>
    <x v="1159"/>
    <x v="685"/>
    <x v="2"/>
    <x v="3"/>
    <x v="1158"/>
    <x v="248"/>
    <x v="147"/>
    <x v="885"/>
    <x v="1"/>
    <x v="1"/>
    <x v="885"/>
    <x v="1158"/>
  </r>
  <r>
    <x v="1160"/>
    <x v="686"/>
    <x v="3"/>
    <x v="0"/>
    <x v="1159"/>
    <x v="821"/>
    <x v="153"/>
    <x v="886"/>
    <x v="1"/>
    <x v="1"/>
    <x v="886"/>
    <x v="1159"/>
  </r>
  <r>
    <x v="1161"/>
    <x v="687"/>
    <x v="5"/>
    <x v="4"/>
    <x v="1160"/>
    <x v="822"/>
    <x v="172"/>
    <x v="887"/>
    <x v="0"/>
    <x v="1"/>
    <x v="887"/>
    <x v="1160"/>
  </r>
  <r>
    <x v="1162"/>
    <x v="688"/>
    <x v="1"/>
    <x v="2"/>
    <x v="1161"/>
    <x v="823"/>
    <x v="51"/>
    <x v="353"/>
    <x v="0"/>
    <x v="1"/>
    <x v="353"/>
    <x v="1161"/>
  </r>
  <r>
    <x v="1163"/>
    <x v="160"/>
    <x v="0"/>
    <x v="4"/>
    <x v="1162"/>
    <x v="824"/>
    <x v="53"/>
    <x v="888"/>
    <x v="0"/>
    <x v="1"/>
    <x v="888"/>
    <x v="1162"/>
  </r>
  <r>
    <x v="1164"/>
    <x v="680"/>
    <x v="4"/>
    <x v="4"/>
    <x v="1163"/>
    <x v="422"/>
    <x v="153"/>
    <x v="889"/>
    <x v="0"/>
    <x v="1"/>
    <x v="889"/>
    <x v="1163"/>
  </r>
  <r>
    <x v="1165"/>
    <x v="156"/>
    <x v="0"/>
    <x v="0"/>
    <x v="1164"/>
    <x v="825"/>
    <x v="43"/>
    <x v="890"/>
    <x v="0"/>
    <x v="1"/>
    <x v="890"/>
    <x v="1164"/>
  </r>
  <r>
    <x v="1166"/>
    <x v="689"/>
    <x v="2"/>
    <x v="2"/>
    <x v="1165"/>
    <x v="826"/>
    <x v="84"/>
    <x v="847"/>
    <x v="1"/>
    <x v="1"/>
    <x v="847"/>
    <x v="1165"/>
  </r>
  <r>
    <x v="1167"/>
    <x v="606"/>
    <x v="1"/>
    <x v="4"/>
    <x v="1166"/>
    <x v="624"/>
    <x v="91"/>
    <x v="891"/>
    <x v="1"/>
    <x v="1"/>
    <x v="891"/>
    <x v="1166"/>
  </r>
  <r>
    <x v="1168"/>
    <x v="690"/>
    <x v="2"/>
    <x v="2"/>
    <x v="1167"/>
    <x v="827"/>
    <x v="44"/>
    <x v="892"/>
    <x v="0"/>
    <x v="156"/>
    <x v="892"/>
    <x v="1167"/>
  </r>
  <r>
    <x v="1169"/>
    <x v="219"/>
    <x v="2"/>
    <x v="0"/>
    <x v="1168"/>
    <x v="784"/>
    <x v="254"/>
    <x v="544"/>
    <x v="1"/>
    <x v="1"/>
    <x v="544"/>
    <x v="1168"/>
  </r>
  <r>
    <x v="1170"/>
    <x v="485"/>
    <x v="0"/>
    <x v="4"/>
    <x v="1169"/>
    <x v="828"/>
    <x v="0"/>
    <x v="893"/>
    <x v="0"/>
    <x v="157"/>
    <x v="893"/>
    <x v="1169"/>
  </r>
  <r>
    <x v="1171"/>
    <x v="316"/>
    <x v="3"/>
    <x v="1"/>
    <x v="1170"/>
    <x v="829"/>
    <x v="9"/>
    <x v="894"/>
    <x v="0"/>
    <x v="1"/>
    <x v="894"/>
    <x v="1170"/>
  </r>
  <r>
    <x v="1172"/>
    <x v="447"/>
    <x v="0"/>
    <x v="3"/>
    <x v="1171"/>
    <x v="830"/>
    <x v="143"/>
    <x v="895"/>
    <x v="2"/>
    <x v="84"/>
    <x v="895"/>
    <x v="1171"/>
  </r>
  <r>
    <x v="1173"/>
    <x v="329"/>
    <x v="2"/>
    <x v="3"/>
    <x v="1172"/>
    <x v="831"/>
    <x v="242"/>
    <x v="678"/>
    <x v="0"/>
    <x v="1"/>
    <x v="678"/>
    <x v="1172"/>
  </r>
  <r>
    <x v="1174"/>
    <x v="280"/>
    <x v="5"/>
    <x v="4"/>
    <x v="1173"/>
    <x v="832"/>
    <x v="51"/>
    <x v="290"/>
    <x v="0"/>
    <x v="1"/>
    <x v="290"/>
    <x v="1173"/>
  </r>
  <r>
    <x v="1175"/>
    <x v="691"/>
    <x v="1"/>
    <x v="2"/>
    <x v="1174"/>
    <x v="372"/>
    <x v="38"/>
    <x v="446"/>
    <x v="2"/>
    <x v="158"/>
    <x v="446"/>
    <x v="1174"/>
  </r>
  <r>
    <x v="1176"/>
    <x v="60"/>
    <x v="1"/>
    <x v="2"/>
    <x v="1175"/>
    <x v="253"/>
    <x v="49"/>
    <x v="453"/>
    <x v="0"/>
    <x v="1"/>
    <x v="453"/>
    <x v="1175"/>
  </r>
  <r>
    <x v="1177"/>
    <x v="238"/>
    <x v="1"/>
    <x v="2"/>
    <x v="1176"/>
    <x v="833"/>
    <x v="13"/>
    <x v="346"/>
    <x v="0"/>
    <x v="1"/>
    <x v="346"/>
    <x v="1176"/>
  </r>
  <r>
    <x v="1178"/>
    <x v="692"/>
    <x v="2"/>
    <x v="1"/>
    <x v="1177"/>
    <x v="333"/>
    <x v="28"/>
    <x v="896"/>
    <x v="2"/>
    <x v="159"/>
    <x v="896"/>
    <x v="1177"/>
  </r>
  <r>
    <x v="1179"/>
    <x v="507"/>
    <x v="6"/>
    <x v="4"/>
    <x v="1178"/>
    <x v="534"/>
    <x v="150"/>
    <x v="897"/>
    <x v="0"/>
    <x v="1"/>
    <x v="897"/>
    <x v="1178"/>
  </r>
  <r>
    <x v="1180"/>
    <x v="693"/>
    <x v="1"/>
    <x v="3"/>
    <x v="1179"/>
    <x v="175"/>
    <x v="257"/>
    <x v="898"/>
    <x v="0"/>
    <x v="4"/>
    <x v="898"/>
    <x v="1179"/>
  </r>
  <r>
    <x v="1181"/>
    <x v="694"/>
    <x v="1"/>
    <x v="0"/>
    <x v="1180"/>
    <x v="229"/>
    <x v="91"/>
    <x v="720"/>
    <x v="0"/>
    <x v="1"/>
    <x v="720"/>
    <x v="1180"/>
  </r>
  <r>
    <x v="1182"/>
    <x v="695"/>
    <x v="6"/>
    <x v="1"/>
    <x v="1181"/>
    <x v="834"/>
    <x v="128"/>
    <x v="340"/>
    <x v="0"/>
    <x v="1"/>
    <x v="340"/>
    <x v="1181"/>
  </r>
  <r>
    <x v="1183"/>
    <x v="111"/>
    <x v="4"/>
    <x v="3"/>
    <x v="1182"/>
    <x v="835"/>
    <x v="206"/>
    <x v="465"/>
    <x v="0"/>
    <x v="17"/>
    <x v="465"/>
    <x v="1182"/>
  </r>
  <r>
    <x v="1184"/>
    <x v="569"/>
    <x v="6"/>
    <x v="4"/>
    <x v="1183"/>
    <x v="819"/>
    <x v="72"/>
    <x v="899"/>
    <x v="0"/>
    <x v="111"/>
    <x v="899"/>
    <x v="1183"/>
  </r>
  <r>
    <x v="1185"/>
    <x v="163"/>
    <x v="6"/>
    <x v="4"/>
    <x v="1184"/>
    <x v="836"/>
    <x v="92"/>
    <x v="900"/>
    <x v="0"/>
    <x v="103"/>
    <x v="900"/>
    <x v="1184"/>
  </r>
  <r>
    <x v="1186"/>
    <x v="682"/>
    <x v="2"/>
    <x v="4"/>
    <x v="1185"/>
    <x v="837"/>
    <x v="57"/>
    <x v="901"/>
    <x v="0"/>
    <x v="1"/>
    <x v="901"/>
    <x v="1185"/>
  </r>
  <r>
    <x v="1187"/>
    <x v="525"/>
    <x v="1"/>
    <x v="0"/>
    <x v="1186"/>
    <x v="224"/>
    <x v="5"/>
    <x v="699"/>
    <x v="2"/>
    <x v="160"/>
    <x v="699"/>
    <x v="1186"/>
  </r>
  <r>
    <x v="1188"/>
    <x v="581"/>
    <x v="4"/>
    <x v="2"/>
    <x v="1187"/>
    <x v="383"/>
    <x v="26"/>
    <x v="902"/>
    <x v="0"/>
    <x v="1"/>
    <x v="902"/>
    <x v="1187"/>
  </r>
  <r>
    <x v="1189"/>
    <x v="36"/>
    <x v="4"/>
    <x v="4"/>
    <x v="1188"/>
    <x v="827"/>
    <x v="226"/>
    <x v="567"/>
    <x v="0"/>
    <x v="1"/>
    <x v="567"/>
    <x v="1188"/>
  </r>
  <r>
    <x v="1190"/>
    <x v="696"/>
    <x v="2"/>
    <x v="0"/>
    <x v="1189"/>
    <x v="790"/>
    <x v="59"/>
    <x v="903"/>
    <x v="1"/>
    <x v="1"/>
    <x v="903"/>
    <x v="1189"/>
  </r>
  <r>
    <x v="1191"/>
    <x v="335"/>
    <x v="3"/>
    <x v="0"/>
    <x v="1190"/>
    <x v="838"/>
    <x v="258"/>
    <x v="904"/>
    <x v="1"/>
    <x v="1"/>
    <x v="904"/>
    <x v="1190"/>
  </r>
  <r>
    <x v="1192"/>
    <x v="697"/>
    <x v="1"/>
    <x v="1"/>
    <x v="1191"/>
    <x v="277"/>
    <x v="50"/>
    <x v="905"/>
    <x v="2"/>
    <x v="161"/>
    <x v="905"/>
    <x v="1191"/>
  </r>
  <r>
    <x v="1193"/>
    <x v="640"/>
    <x v="3"/>
    <x v="4"/>
    <x v="1192"/>
    <x v="839"/>
    <x v="77"/>
    <x v="906"/>
    <x v="0"/>
    <x v="111"/>
    <x v="906"/>
    <x v="1192"/>
  </r>
  <r>
    <x v="1194"/>
    <x v="20"/>
    <x v="6"/>
    <x v="1"/>
    <x v="1193"/>
    <x v="840"/>
    <x v="36"/>
    <x v="117"/>
    <x v="0"/>
    <x v="1"/>
    <x v="117"/>
    <x v="1193"/>
  </r>
  <r>
    <x v="1195"/>
    <x v="111"/>
    <x v="4"/>
    <x v="2"/>
    <x v="1194"/>
    <x v="841"/>
    <x v="49"/>
    <x v="907"/>
    <x v="0"/>
    <x v="1"/>
    <x v="907"/>
    <x v="1194"/>
  </r>
  <r>
    <x v="1196"/>
    <x v="235"/>
    <x v="6"/>
    <x v="4"/>
    <x v="1195"/>
    <x v="157"/>
    <x v="97"/>
    <x v="528"/>
    <x v="0"/>
    <x v="1"/>
    <x v="528"/>
    <x v="1195"/>
  </r>
  <r>
    <x v="1197"/>
    <x v="372"/>
    <x v="3"/>
    <x v="1"/>
    <x v="1196"/>
    <x v="485"/>
    <x v="3"/>
    <x v="908"/>
    <x v="0"/>
    <x v="1"/>
    <x v="908"/>
    <x v="1196"/>
  </r>
  <r>
    <x v="1198"/>
    <x v="464"/>
    <x v="6"/>
    <x v="1"/>
    <x v="1197"/>
    <x v="278"/>
    <x v="45"/>
    <x v="909"/>
    <x v="1"/>
    <x v="1"/>
    <x v="909"/>
    <x v="1197"/>
  </r>
  <r>
    <x v="1199"/>
    <x v="698"/>
    <x v="5"/>
    <x v="1"/>
    <x v="1198"/>
    <x v="501"/>
    <x v="43"/>
    <x v="101"/>
    <x v="0"/>
    <x v="1"/>
    <x v="101"/>
    <x v="1198"/>
  </r>
  <r>
    <x v="1200"/>
    <x v="389"/>
    <x v="0"/>
    <x v="0"/>
    <x v="1199"/>
    <x v="147"/>
    <x v="25"/>
    <x v="910"/>
    <x v="0"/>
    <x v="1"/>
    <x v="910"/>
    <x v="1199"/>
  </r>
  <r>
    <x v="1201"/>
    <x v="483"/>
    <x v="6"/>
    <x v="3"/>
    <x v="1200"/>
    <x v="842"/>
    <x v="165"/>
    <x v="215"/>
    <x v="0"/>
    <x v="1"/>
    <x v="215"/>
    <x v="1200"/>
  </r>
  <r>
    <x v="1202"/>
    <x v="699"/>
    <x v="2"/>
    <x v="4"/>
    <x v="1201"/>
    <x v="23"/>
    <x v="86"/>
    <x v="911"/>
    <x v="0"/>
    <x v="162"/>
    <x v="911"/>
    <x v="1201"/>
  </r>
  <r>
    <x v="1203"/>
    <x v="700"/>
    <x v="0"/>
    <x v="1"/>
    <x v="1202"/>
    <x v="843"/>
    <x v="97"/>
    <x v="250"/>
    <x v="0"/>
    <x v="1"/>
    <x v="250"/>
    <x v="1202"/>
  </r>
  <r>
    <x v="1204"/>
    <x v="701"/>
    <x v="1"/>
    <x v="0"/>
    <x v="1203"/>
    <x v="844"/>
    <x v="229"/>
    <x v="777"/>
    <x v="1"/>
    <x v="1"/>
    <x v="777"/>
    <x v="1203"/>
  </r>
  <r>
    <x v="1205"/>
    <x v="409"/>
    <x v="5"/>
    <x v="4"/>
    <x v="1204"/>
    <x v="29"/>
    <x v="50"/>
    <x v="393"/>
    <x v="0"/>
    <x v="111"/>
    <x v="393"/>
    <x v="1204"/>
  </r>
  <r>
    <x v="1206"/>
    <x v="554"/>
    <x v="4"/>
    <x v="4"/>
    <x v="1205"/>
    <x v="845"/>
    <x v="27"/>
    <x v="394"/>
    <x v="2"/>
    <x v="163"/>
    <x v="394"/>
    <x v="1205"/>
  </r>
  <r>
    <x v="1207"/>
    <x v="702"/>
    <x v="5"/>
    <x v="4"/>
    <x v="1206"/>
    <x v="676"/>
    <x v="14"/>
    <x v="232"/>
    <x v="0"/>
    <x v="1"/>
    <x v="232"/>
    <x v="1206"/>
  </r>
  <r>
    <x v="1208"/>
    <x v="703"/>
    <x v="5"/>
    <x v="4"/>
    <x v="1207"/>
    <x v="846"/>
    <x v="117"/>
    <x v="912"/>
    <x v="1"/>
    <x v="1"/>
    <x v="912"/>
    <x v="1207"/>
  </r>
  <r>
    <x v="1209"/>
    <x v="704"/>
    <x v="3"/>
    <x v="1"/>
    <x v="1208"/>
    <x v="847"/>
    <x v="28"/>
    <x v="62"/>
    <x v="0"/>
    <x v="1"/>
    <x v="62"/>
    <x v="1208"/>
  </r>
  <r>
    <x v="1210"/>
    <x v="377"/>
    <x v="3"/>
    <x v="0"/>
    <x v="1209"/>
    <x v="848"/>
    <x v="104"/>
    <x v="502"/>
    <x v="0"/>
    <x v="1"/>
    <x v="502"/>
    <x v="1209"/>
  </r>
  <r>
    <x v="1211"/>
    <x v="514"/>
    <x v="4"/>
    <x v="3"/>
    <x v="1210"/>
    <x v="14"/>
    <x v="66"/>
    <x v="258"/>
    <x v="0"/>
    <x v="1"/>
    <x v="258"/>
    <x v="1210"/>
  </r>
  <r>
    <x v="1212"/>
    <x v="114"/>
    <x v="1"/>
    <x v="3"/>
    <x v="1211"/>
    <x v="473"/>
    <x v="259"/>
    <x v="832"/>
    <x v="1"/>
    <x v="1"/>
    <x v="832"/>
    <x v="1211"/>
  </r>
  <r>
    <x v="1213"/>
    <x v="705"/>
    <x v="4"/>
    <x v="1"/>
    <x v="1212"/>
    <x v="849"/>
    <x v="41"/>
    <x v="913"/>
    <x v="0"/>
    <x v="1"/>
    <x v="913"/>
    <x v="1212"/>
  </r>
  <r>
    <x v="1214"/>
    <x v="172"/>
    <x v="4"/>
    <x v="3"/>
    <x v="1213"/>
    <x v="850"/>
    <x v="246"/>
    <x v="914"/>
    <x v="0"/>
    <x v="1"/>
    <x v="914"/>
    <x v="1213"/>
  </r>
  <r>
    <x v="1215"/>
    <x v="526"/>
    <x v="0"/>
    <x v="1"/>
    <x v="1214"/>
    <x v="728"/>
    <x v="38"/>
    <x v="915"/>
    <x v="0"/>
    <x v="1"/>
    <x v="915"/>
    <x v="1214"/>
  </r>
  <r>
    <x v="1216"/>
    <x v="634"/>
    <x v="1"/>
    <x v="1"/>
    <x v="1215"/>
    <x v="378"/>
    <x v="6"/>
    <x v="107"/>
    <x v="1"/>
    <x v="1"/>
    <x v="107"/>
    <x v="1215"/>
  </r>
  <r>
    <x v="1217"/>
    <x v="586"/>
    <x v="5"/>
    <x v="3"/>
    <x v="1216"/>
    <x v="589"/>
    <x v="260"/>
    <x v="916"/>
    <x v="0"/>
    <x v="1"/>
    <x v="916"/>
    <x v="1216"/>
  </r>
  <r>
    <x v="1218"/>
    <x v="524"/>
    <x v="6"/>
    <x v="1"/>
    <x v="1217"/>
    <x v="851"/>
    <x v="128"/>
    <x v="141"/>
    <x v="0"/>
    <x v="122"/>
    <x v="141"/>
    <x v="1217"/>
  </r>
  <r>
    <x v="1219"/>
    <x v="706"/>
    <x v="0"/>
    <x v="3"/>
    <x v="1218"/>
    <x v="852"/>
    <x v="249"/>
    <x v="917"/>
    <x v="0"/>
    <x v="1"/>
    <x v="917"/>
    <x v="1218"/>
  </r>
  <r>
    <x v="1220"/>
    <x v="309"/>
    <x v="1"/>
    <x v="3"/>
    <x v="1219"/>
    <x v="853"/>
    <x v="261"/>
    <x v="918"/>
    <x v="0"/>
    <x v="53"/>
    <x v="918"/>
    <x v="1219"/>
  </r>
  <r>
    <x v="1221"/>
    <x v="217"/>
    <x v="3"/>
    <x v="4"/>
    <x v="1220"/>
    <x v="324"/>
    <x v="57"/>
    <x v="62"/>
    <x v="0"/>
    <x v="1"/>
    <x v="62"/>
    <x v="1220"/>
  </r>
  <r>
    <x v="1222"/>
    <x v="707"/>
    <x v="1"/>
    <x v="4"/>
    <x v="1221"/>
    <x v="8"/>
    <x v="150"/>
    <x v="919"/>
    <x v="0"/>
    <x v="1"/>
    <x v="919"/>
    <x v="1221"/>
  </r>
  <r>
    <x v="1223"/>
    <x v="24"/>
    <x v="6"/>
    <x v="4"/>
    <x v="1222"/>
    <x v="758"/>
    <x v="129"/>
    <x v="920"/>
    <x v="0"/>
    <x v="108"/>
    <x v="920"/>
    <x v="1222"/>
  </r>
  <r>
    <x v="1224"/>
    <x v="287"/>
    <x v="2"/>
    <x v="1"/>
    <x v="1223"/>
    <x v="854"/>
    <x v="57"/>
    <x v="62"/>
    <x v="0"/>
    <x v="1"/>
    <x v="62"/>
    <x v="1223"/>
  </r>
  <r>
    <x v="1225"/>
    <x v="6"/>
    <x v="2"/>
    <x v="0"/>
    <x v="1224"/>
    <x v="855"/>
    <x v="256"/>
    <x v="591"/>
    <x v="1"/>
    <x v="1"/>
    <x v="591"/>
    <x v="1224"/>
  </r>
  <r>
    <x v="1226"/>
    <x v="544"/>
    <x v="5"/>
    <x v="1"/>
    <x v="1225"/>
    <x v="856"/>
    <x v="92"/>
    <x v="425"/>
    <x v="1"/>
    <x v="1"/>
    <x v="425"/>
    <x v="1225"/>
  </r>
  <r>
    <x v="1227"/>
    <x v="614"/>
    <x v="2"/>
    <x v="0"/>
    <x v="1226"/>
    <x v="112"/>
    <x v="3"/>
    <x v="157"/>
    <x v="0"/>
    <x v="19"/>
    <x v="157"/>
    <x v="1226"/>
  </r>
  <r>
    <x v="1228"/>
    <x v="297"/>
    <x v="6"/>
    <x v="4"/>
    <x v="1227"/>
    <x v="857"/>
    <x v="37"/>
    <x v="921"/>
    <x v="2"/>
    <x v="164"/>
    <x v="921"/>
    <x v="1227"/>
  </r>
  <r>
    <x v="1229"/>
    <x v="708"/>
    <x v="5"/>
    <x v="2"/>
    <x v="1228"/>
    <x v="605"/>
    <x v="88"/>
    <x v="922"/>
    <x v="0"/>
    <x v="1"/>
    <x v="922"/>
    <x v="1228"/>
  </r>
  <r>
    <x v="1230"/>
    <x v="709"/>
    <x v="0"/>
    <x v="3"/>
    <x v="1229"/>
    <x v="281"/>
    <x v="237"/>
    <x v="166"/>
    <x v="0"/>
    <x v="55"/>
    <x v="166"/>
    <x v="1229"/>
  </r>
  <r>
    <x v="1231"/>
    <x v="549"/>
    <x v="5"/>
    <x v="2"/>
    <x v="1230"/>
    <x v="612"/>
    <x v="23"/>
    <x v="869"/>
    <x v="0"/>
    <x v="165"/>
    <x v="869"/>
    <x v="1230"/>
  </r>
  <r>
    <x v="1232"/>
    <x v="710"/>
    <x v="1"/>
    <x v="2"/>
    <x v="1231"/>
    <x v="665"/>
    <x v="45"/>
    <x v="923"/>
    <x v="0"/>
    <x v="1"/>
    <x v="923"/>
    <x v="1231"/>
  </r>
  <r>
    <x v="1233"/>
    <x v="711"/>
    <x v="2"/>
    <x v="1"/>
    <x v="1232"/>
    <x v="858"/>
    <x v="49"/>
    <x v="577"/>
    <x v="0"/>
    <x v="1"/>
    <x v="577"/>
    <x v="1232"/>
  </r>
  <r>
    <x v="1234"/>
    <x v="429"/>
    <x v="6"/>
    <x v="2"/>
    <x v="1233"/>
    <x v="859"/>
    <x v="45"/>
    <x v="913"/>
    <x v="0"/>
    <x v="1"/>
    <x v="913"/>
    <x v="1233"/>
  </r>
  <r>
    <x v="1235"/>
    <x v="146"/>
    <x v="6"/>
    <x v="3"/>
    <x v="1234"/>
    <x v="860"/>
    <x v="196"/>
    <x v="924"/>
    <x v="0"/>
    <x v="1"/>
    <x v="924"/>
    <x v="1234"/>
  </r>
  <r>
    <x v="1236"/>
    <x v="212"/>
    <x v="4"/>
    <x v="4"/>
    <x v="1235"/>
    <x v="861"/>
    <x v="63"/>
    <x v="925"/>
    <x v="1"/>
    <x v="1"/>
    <x v="925"/>
    <x v="1235"/>
  </r>
  <r>
    <x v="1237"/>
    <x v="471"/>
    <x v="5"/>
    <x v="2"/>
    <x v="1236"/>
    <x v="226"/>
    <x v="68"/>
    <x v="926"/>
    <x v="2"/>
    <x v="166"/>
    <x v="926"/>
    <x v="1236"/>
  </r>
  <r>
    <x v="1238"/>
    <x v="712"/>
    <x v="2"/>
    <x v="1"/>
    <x v="1237"/>
    <x v="862"/>
    <x v="55"/>
    <x v="535"/>
    <x v="0"/>
    <x v="1"/>
    <x v="535"/>
    <x v="1237"/>
  </r>
  <r>
    <x v="1239"/>
    <x v="252"/>
    <x v="2"/>
    <x v="3"/>
    <x v="1238"/>
    <x v="863"/>
    <x v="262"/>
    <x v="927"/>
    <x v="2"/>
    <x v="167"/>
    <x v="927"/>
    <x v="1238"/>
  </r>
  <r>
    <x v="1240"/>
    <x v="109"/>
    <x v="1"/>
    <x v="0"/>
    <x v="1239"/>
    <x v="864"/>
    <x v="154"/>
    <x v="906"/>
    <x v="0"/>
    <x v="1"/>
    <x v="906"/>
    <x v="1239"/>
  </r>
  <r>
    <x v="1241"/>
    <x v="1"/>
    <x v="1"/>
    <x v="2"/>
    <x v="1240"/>
    <x v="65"/>
    <x v="51"/>
    <x v="928"/>
    <x v="0"/>
    <x v="1"/>
    <x v="928"/>
    <x v="1240"/>
  </r>
  <r>
    <x v="1242"/>
    <x v="713"/>
    <x v="2"/>
    <x v="3"/>
    <x v="1241"/>
    <x v="865"/>
    <x v="263"/>
    <x v="929"/>
    <x v="2"/>
    <x v="168"/>
    <x v="929"/>
    <x v="1241"/>
  </r>
  <r>
    <x v="1243"/>
    <x v="667"/>
    <x v="4"/>
    <x v="3"/>
    <x v="1242"/>
    <x v="316"/>
    <x v="264"/>
    <x v="506"/>
    <x v="0"/>
    <x v="1"/>
    <x v="506"/>
    <x v="1242"/>
  </r>
  <r>
    <x v="1244"/>
    <x v="515"/>
    <x v="0"/>
    <x v="2"/>
    <x v="1243"/>
    <x v="866"/>
    <x v="84"/>
    <x v="930"/>
    <x v="2"/>
    <x v="169"/>
    <x v="930"/>
    <x v="1243"/>
  </r>
  <r>
    <x v="1245"/>
    <x v="714"/>
    <x v="6"/>
    <x v="4"/>
    <x v="1244"/>
    <x v="867"/>
    <x v="30"/>
    <x v="86"/>
    <x v="1"/>
    <x v="1"/>
    <x v="86"/>
    <x v="1244"/>
  </r>
  <r>
    <x v="1246"/>
    <x v="440"/>
    <x v="1"/>
    <x v="3"/>
    <x v="1245"/>
    <x v="868"/>
    <x v="265"/>
    <x v="931"/>
    <x v="1"/>
    <x v="1"/>
    <x v="931"/>
    <x v="1245"/>
  </r>
  <r>
    <x v="1247"/>
    <x v="144"/>
    <x v="0"/>
    <x v="4"/>
    <x v="1246"/>
    <x v="869"/>
    <x v="0"/>
    <x v="487"/>
    <x v="0"/>
    <x v="1"/>
    <x v="487"/>
    <x v="1246"/>
  </r>
  <r>
    <x v="1248"/>
    <x v="559"/>
    <x v="0"/>
    <x v="4"/>
    <x v="1247"/>
    <x v="870"/>
    <x v="81"/>
    <x v="386"/>
    <x v="0"/>
    <x v="87"/>
    <x v="386"/>
    <x v="1247"/>
  </r>
  <r>
    <x v="1249"/>
    <x v="584"/>
    <x v="1"/>
    <x v="1"/>
    <x v="1248"/>
    <x v="461"/>
    <x v="40"/>
    <x v="754"/>
    <x v="1"/>
    <x v="1"/>
    <x v="754"/>
    <x v="1248"/>
  </r>
  <r>
    <x v="1250"/>
    <x v="308"/>
    <x v="3"/>
    <x v="4"/>
    <x v="1249"/>
    <x v="601"/>
    <x v="37"/>
    <x v="869"/>
    <x v="1"/>
    <x v="1"/>
    <x v="869"/>
    <x v="1249"/>
  </r>
  <r>
    <x v="1251"/>
    <x v="455"/>
    <x v="3"/>
    <x v="2"/>
    <x v="1250"/>
    <x v="301"/>
    <x v="68"/>
    <x v="560"/>
    <x v="2"/>
    <x v="170"/>
    <x v="560"/>
    <x v="1250"/>
  </r>
  <r>
    <x v="1252"/>
    <x v="715"/>
    <x v="5"/>
    <x v="0"/>
    <x v="1251"/>
    <x v="822"/>
    <x v="154"/>
    <x v="932"/>
    <x v="0"/>
    <x v="1"/>
    <x v="932"/>
    <x v="1251"/>
  </r>
  <r>
    <x v="1253"/>
    <x v="279"/>
    <x v="5"/>
    <x v="4"/>
    <x v="1252"/>
    <x v="138"/>
    <x v="0"/>
    <x v="738"/>
    <x v="1"/>
    <x v="1"/>
    <x v="738"/>
    <x v="1252"/>
  </r>
  <r>
    <x v="1254"/>
    <x v="188"/>
    <x v="6"/>
    <x v="2"/>
    <x v="1253"/>
    <x v="295"/>
    <x v="45"/>
    <x v="846"/>
    <x v="0"/>
    <x v="1"/>
    <x v="846"/>
    <x v="1253"/>
  </r>
  <r>
    <x v="1255"/>
    <x v="716"/>
    <x v="5"/>
    <x v="1"/>
    <x v="1254"/>
    <x v="485"/>
    <x v="61"/>
    <x v="254"/>
    <x v="0"/>
    <x v="1"/>
    <x v="254"/>
    <x v="1254"/>
  </r>
  <r>
    <x v="1256"/>
    <x v="599"/>
    <x v="6"/>
    <x v="1"/>
    <x v="1255"/>
    <x v="88"/>
    <x v="23"/>
    <x v="760"/>
    <x v="0"/>
    <x v="1"/>
    <x v="760"/>
    <x v="1255"/>
  </r>
  <r>
    <x v="1257"/>
    <x v="717"/>
    <x v="5"/>
    <x v="4"/>
    <x v="1256"/>
    <x v="440"/>
    <x v="4"/>
    <x v="933"/>
    <x v="0"/>
    <x v="1"/>
    <x v="933"/>
    <x v="1256"/>
  </r>
  <r>
    <x v="1258"/>
    <x v="648"/>
    <x v="5"/>
    <x v="1"/>
    <x v="1257"/>
    <x v="568"/>
    <x v="28"/>
    <x v="277"/>
    <x v="0"/>
    <x v="1"/>
    <x v="277"/>
    <x v="1257"/>
  </r>
  <r>
    <x v="1259"/>
    <x v="159"/>
    <x v="0"/>
    <x v="4"/>
    <x v="1258"/>
    <x v="759"/>
    <x v="181"/>
    <x v="263"/>
    <x v="0"/>
    <x v="1"/>
    <x v="263"/>
    <x v="1258"/>
  </r>
  <r>
    <x v="1260"/>
    <x v="245"/>
    <x v="5"/>
    <x v="0"/>
    <x v="1259"/>
    <x v="871"/>
    <x v="48"/>
    <x v="934"/>
    <x v="0"/>
    <x v="1"/>
    <x v="934"/>
    <x v="1259"/>
  </r>
  <r>
    <x v="1261"/>
    <x v="154"/>
    <x v="6"/>
    <x v="1"/>
    <x v="1260"/>
    <x v="872"/>
    <x v="88"/>
    <x v="935"/>
    <x v="0"/>
    <x v="1"/>
    <x v="935"/>
    <x v="1260"/>
  </r>
  <r>
    <x v="1262"/>
    <x v="718"/>
    <x v="4"/>
    <x v="3"/>
    <x v="1261"/>
    <x v="574"/>
    <x v="66"/>
    <x v="139"/>
    <x v="0"/>
    <x v="1"/>
    <x v="139"/>
    <x v="1261"/>
  </r>
  <r>
    <x v="1263"/>
    <x v="215"/>
    <x v="0"/>
    <x v="2"/>
    <x v="1262"/>
    <x v="71"/>
    <x v="84"/>
    <x v="579"/>
    <x v="0"/>
    <x v="1"/>
    <x v="579"/>
    <x v="1262"/>
  </r>
  <r>
    <x v="1264"/>
    <x v="719"/>
    <x v="4"/>
    <x v="4"/>
    <x v="1263"/>
    <x v="873"/>
    <x v="117"/>
    <x v="936"/>
    <x v="1"/>
    <x v="1"/>
    <x v="936"/>
    <x v="1263"/>
  </r>
  <r>
    <x v="1265"/>
    <x v="625"/>
    <x v="2"/>
    <x v="3"/>
    <x v="1264"/>
    <x v="872"/>
    <x v="266"/>
    <x v="545"/>
    <x v="0"/>
    <x v="1"/>
    <x v="545"/>
    <x v="1264"/>
  </r>
  <r>
    <x v="1266"/>
    <x v="342"/>
    <x v="5"/>
    <x v="1"/>
    <x v="1265"/>
    <x v="101"/>
    <x v="40"/>
    <x v="87"/>
    <x v="0"/>
    <x v="1"/>
    <x v="87"/>
    <x v="1265"/>
  </r>
  <r>
    <x v="1267"/>
    <x v="285"/>
    <x v="4"/>
    <x v="1"/>
    <x v="1266"/>
    <x v="874"/>
    <x v="96"/>
    <x v="937"/>
    <x v="0"/>
    <x v="1"/>
    <x v="937"/>
    <x v="1266"/>
  </r>
  <r>
    <x v="1268"/>
    <x v="249"/>
    <x v="6"/>
    <x v="3"/>
    <x v="1267"/>
    <x v="607"/>
    <x v="85"/>
    <x v="756"/>
    <x v="1"/>
    <x v="1"/>
    <x v="756"/>
    <x v="1267"/>
  </r>
  <r>
    <x v="1269"/>
    <x v="244"/>
    <x v="6"/>
    <x v="4"/>
    <x v="1268"/>
    <x v="875"/>
    <x v="181"/>
    <x v="938"/>
    <x v="2"/>
    <x v="171"/>
    <x v="938"/>
    <x v="1268"/>
  </r>
  <r>
    <x v="1270"/>
    <x v="259"/>
    <x v="1"/>
    <x v="1"/>
    <x v="1269"/>
    <x v="377"/>
    <x v="86"/>
    <x v="392"/>
    <x v="2"/>
    <x v="172"/>
    <x v="392"/>
    <x v="1269"/>
  </r>
  <r>
    <x v="1271"/>
    <x v="267"/>
    <x v="0"/>
    <x v="1"/>
    <x v="1270"/>
    <x v="876"/>
    <x v="24"/>
    <x v="939"/>
    <x v="0"/>
    <x v="1"/>
    <x v="939"/>
    <x v="1270"/>
  </r>
  <r>
    <x v="1272"/>
    <x v="449"/>
    <x v="4"/>
    <x v="4"/>
    <x v="1271"/>
    <x v="877"/>
    <x v="27"/>
    <x v="787"/>
    <x v="0"/>
    <x v="1"/>
    <x v="787"/>
    <x v="1271"/>
  </r>
  <r>
    <x v="1273"/>
    <x v="580"/>
    <x v="1"/>
    <x v="2"/>
    <x v="1272"/>
    <x v="878"/>
    <x v="45"/>
    <x v="912"/>
    <x v="0"/>
    <x v="173"/>
    <x v="912"/>
    <x v="1272"/>
  </r>
  <r>
    <x v="1274"/>
    <x v="650"/>
    <x v="6"/>
    <x v="4"/>
    <x v="1273"/>
    <x v="879"/>
    <x v="57"/>
    <x v="193"/>
    <x v="0"/>
    <x v="1"/>
    <x v="193"/>
    <x v="1273"/>
  </r>
  <r>
    <x v="1275"/>
    <x v="507"/>
    <x v="6"/>
    <x v="0"/>
    <x v="1274"/>
    <x v="880"/>
    <x v="128"/>
    <x v="267"/>
    <x v="1"/>
    <x v="1"/>
    <x v="267"/>
    <x v="1274"/>
  </r>
  <r>
    <x v="1276"/>
    <x v="384"/>
    <x v="6"/>
    <x v="3"/>
    <x v="1275"/>
    <x v="652"/>
    <x v="87"/>
    <x v="940"/>
    <x v="1"/>
    <x v="1"/>
    <x v="940"/>
    <x v="1275"/>
  </r>
  <r>
    <x v="1277"/>
    <x v="633"/>
    <x v="3"/>
    <x v="1"/>
    <x v="1276"/>
    <x v="257"/>
    <x v="30"/>
    <x v="941"/>
    <x v="0"/>
    <x v="54"/>
    <x v="941"/>
    <x v="1276"/>
  </r>
  <r>
    <x v="1278"/>
    <x v="284"/>
    <x v="5"/>
    <x v="4"/>
    <x v="1277"/>
    <x v="217"/>
    <x v="181"/>
    <x v="942"/>
    <x v="0"/>
    <x v="1"/>
    <x v="942"/>
    <x v="1277"/>
  </r>
  <r>
    <x v="1279"/>
    <x v="555"/>
    <x v="2"/>
    <x v="4"/>
    <x v="1278"/>
    <x v="881"/>
    <x v="53"/>
    <x v="483"/>
    <x v="0"/>
    <x v="1"/>
    <x v="483"/>
    <x v="1278"/>
  </r>
  <r>
    <x v="1280"/>
    <x v="60"/>
    <x v="1"/>
    <x v="1"/>
    <x v="1279"/>
    <x v="882"/>
    <x v="16"/>
    <x v="943"/>
    <x v="2"/>
    <x v="29"/>
    <x v="943"/>
    <x v="1279"/>
  </r>
  <r>
    <x v="1281"/>
    <x v="301"/>
    <x v="3"/>
    <x v="4"/>
    <x v="1280"/>
    <x v="883"/>
    <x v="43"/>
    <x v="149"/>
    <x v="0"/>
    <x v="1"/>
    <x v="149"/>
    <x v="1280"/>
  </r>
  <r>
    <x v="1282"/>
    <x v="401"/>
    <x v="4"/>
    <x v="1"/>
    <x v="1281"/>
    <x v="884"/>
    <x v="9"/>
    <x v="944"/>
    <x v="0"/>
    <x v="1"/>
    <x v="944"/>
    <x v="1281"/>
  </r>
  <r>
    <x v="1283"/>
    <x v="481"/>
    <x v="6"/>
    <x v="2"/>
    <x v="1282"/>
    <x v="584"/>
    <x v="61"/>
    <x v="945"/>
    <x v="0"/>
    <x v="1"/>
    <x v="945"/>
    <x v="1282"/>
  </r>
  <r>
    <x v="1284"/>
    <x v="55"/>
    <x v="6"/>
    <x v="3"/>
    <x v="1283"/>
    <x v="885"/>
    <x v="188"/>
    <x v="946"/>
    <x v="0"/>
    <x v="142"/>
    <x v="946"/>
    <x v="1283"/>
  </r>
  <r>
    <x v="1285"/>
    <x v="688"/>
    <x v="1"/>
    <x v="3"/>
    <x v="1284"/>
    <x v="886"/>
    <x v="209"/>
    <x v="651"/>
    <x v="0"/>
    <x v="1"/>
    <x v="651"/>
    <x v="1284"/>
  </r>
  <r>
    <x v="1286"/>
    <x v="647"/>
    <x v="6"/>
    <x v="3"/>
    <x v="1285"/>
    <x v="887"/>
    <x v="232"/>
    <x v="747"/>
    <x v="0"/>
    <x v="1"/>
    <x v="747"/>
    <x v="1285"/>
  </r>
  <r>
    <x v="1287"/>
    <x v="170"/>
    <x v="5"/>
    <x v="0"/>
    <x v="1286"/>
    <x v="888"/>
    <x v="5"/>
    <x v="41"/>
    <x v="1"/>
    <x v="1"/>
    <x v="41"/>
    <x v="1286"/>
  </r>
  <r>
    <x v="1288"/>
    <x v="120"/>
    <x v="1"/>
    <x v="2"/>
    <x v="1287"/>
    <x v="889"/>
    <x v="68"/>
    <x v="947"/>
    <x v="2"/>
    <x v="174"/>
    <x v="947"/>
    <x v="1287"/>
  </r>
  <r>
    <x v="1289"/>
    <x v="574"/>
    <x v="3"/>
    <x v="2"/>
    <x v="1288"/>
    <x v="890"/>
    <x v="49"/>
    <x v="948"/>
    <x v="0"/>
    <x v="1"/>
    <x v="948"/>
    <x v="1288"/>
  </r>
  <r>
    <x v="1290"/>
    <x v="720"/>
    <x v="0"/>
    <x v="2"/>
    <x v="1289"/>
    <x v="536"/>
    <x v="68"/>
    <x v="949"/>
    <x v="0"/>
    <x v="1"/>
    <x v="949"/>
    <x v="1289"/>
  </r>
  <r>
    <x v="1291"/>
    <x v="224"/>
    <x v="5"/>
    <x v="4"/>
    <x v="1290"/>
    <x v="250"/>
    <x v="0"/>
    <x v="950"/>
    <x v="1"/>
    <x v="1"/>
    <x v="950"/>
    <x v="1290"/>
  </r>
  <r>
    <x v="1292"/>
    <x v="25"/>
    <x v="3"/>
    <x v="3"/>
    <x v="1291"/>
    <x v="858"/>
    <x v="126"/>
    <x v="951"/>
    <x v="0"/>
    <x v="1"/>
    <x v="951"/>
    <x v="1291"/>
  </r>
  <r>
    <x v="1293"/>
    <x v="721"/>
    <x v="2"/>
    <x v="0"/>
    <x v="1292"/>
    <x v="891"/>
    <x v="80"/>
    <x v="952"/>
    <x v="0"/>
    <x v="1"/>
    <x v="952"/>
    <x v="1292"/>
  </r>
  <r>
    <x v="1294"/>
    <x v="149"/>
    <x v="1"/>
    <x v="2"/>
    <x v="1293"/>
    <x v="564"/>
    <x v="96"/>
    <x v="271"/>
    <x v="0"/>
    <x v="16"/>
    <x v="271"/>
    <x v="1293"/>
  </r>
  <r>
    <x v="1295"/>
    <x v="355"/>
    <x v="1"/>
    <x v="2"/>
    <x v="1294"/>
    <x v="892"/>
    <x v="79"/>
    <x v="953"/>
    <x v="0"/>
    <x v="1"/>
    <x v="953"/>
    <x v="1294"/>
  </r>
  <r>
    <x v="1296"/>
    <x v="57"/>
    <x v="0"/>
    <x v="4"/>
    <x v="1295"/>
    <x v="746"/>
    <x v="119"/>
    <x v="87"/>
    <x v="0"/>
    <x v="1"/>
    <x v="87"/>
    <x v="1295"/>
  </r>
  <r>
    <x v="1297"/>
    <x v="410"/>
    <x v="3"/>
    <x v="3"/>
    <x v="1296"/>
    <x v="707"/>
    <x v="114"/>
    <x v="954"/>
    <x v="0"/>
    <x v="175"/>
    <x v="954"/>
    <x v="1296"/>
  </r>
  <r>
    <x v="1298"/>
    <x v="722"/>
    <x v="1"/>
    <x v="4"/>
    <x v="1297"/>
    <x v="513"/>
    <x v="46"/>
    <x v="955"/>
    <x v="0"/>
    <x v="122"/>
    <x v="955"/>
    <x v="1297"/>
  </r>
  <r>
    <x v="1299"/>
    <x v="717"/>
    <x v="5"/>
    <x v="3"/>
    <x v="1298"/>
    <x v="893"/>
    <x v="267"/>
    <x v="956"/>
    <x v="2"/>
    <x v="176"/>
    <x v="956"/>
    <x v="1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1" firstHeaderRow="0" firstDataRow="1" firstDataCol="1" rowPageCount="1" colPageCount="1"/>
  <pivotFields count="10">
    <pivotField dataField="1" compact="0" showAll="0">
      <items count="1301"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8">
        <item x="3"/>
        <item x="1"/>
        <item x="0"/>
        <item x="2"/>
        <item x="6"/>
        <item x="4"/>
        <item x="5"/>
        <item t="default"/>
      </items>
    </pivotField>
    <pivotField dataField="1" compact="0" showAll="0">
      <items count="1300">
        <item x="102"/>
        <item x="377"/>
        <item x="544"/>
        <item x="274"/>
        <item x="823"/>
        <item x="1166"/>
        <item x="653"/>
        <item x="115"/>
        <item x="467"/>
        <item x="534"/>
        <item x="592"/>
        <item x="925"/>
        <item x="430"/>
        <item x="84"/>
        <item x="97"/>
        <item x="1123"/>
        <item x="526"/>
        <item x="421"/>
        <item x="145"/>
        <item x="939"/>
        <item x="699"/>
        <item x="1099"/>
        <item x="668"/>
        <item x="1245"/>
        <item x="1242"/>
        <item x="1137"/>
        <item x="28"/>
        <item x="407"/>
        <item x="972"/>
        <item x="1008"/>
        <item x="186"/>
        <item x="1097"/>
        <item x="932"/>
        <item x="1186"/>
        <item x="512"/>
        <item x="489"/>
        <item x="890"/>
        <item x="183"/>
        <item x="506"/>
        <item x="212"/>
        <item x="1111"/>
        <item x="475"/>
        <item x="37"/>
        <item x="151"/>
        <item x="983"/>
        <item x="219"/>
        <item x="316"/>
        <item x="694"/>
        <item x="1125"/>
        <item x="1254"/>
        <item x="255"/>
        <item x="566"/>
        <item x="568"/>
        <item x="386"/>
        <item x="172"/>
        <item x="80"/>
        <item x="1066"/>
        <item x="225"/>
        <item x="388"/>
        <item x="247"/>
        <item x="956"/>
        <item x="841"/>
        <item x="164"/>
        <item x="423"/>
        <item x="751"/>
        <item x="882"/>
        <item x="195"/>
        <item x="301"/>
        <item x="10"/>
        <item x="771"/>
        <item x="797"/>
        <item x="949"/>
        <item x="200"/>
        <item x="666"/>
        <item x="878"/>
        <item x="730"/>
        <item x="373"/>
        <item x="6"/>
        <item x="173"/>
        <item x="270"/>
        <item x="246"/>
        <item x="964"/>
        <item x="1120"/>
        <item x="128"/>
        <item x="1117"/>
        <item x="764"/>
        <item x="174"/>
        <item x="610"/>
        <item x="385"/>
        <item x="275"/>
        <item x="389"/>
        <item x="536"/>
        <item x="1260"/>
        <item x="784"/>
        <item x="184"/>
        <item x="1015"/>
        <item x="1284"/>
        <item x="717"/>
        <item x="1069"/>
        <item x="338"/>
        <item x="597"/>
        <item x="353"/>
        <item x="658"/>
        <item x="1199"/>
        <item x="1292"/>
        <item x="561"/>
        <item x="366"/>
        <item x="891"/>
        <item x="76"/>
        <item x="244"/>
        <item x="123"/>
        <item x="1243"/>
        <item x="342"/>
        <item x="674"/>
        <item x="402"/>
        <item x="416"/>
        <item x="987"/>
        <item x="190"/>
        <item x="752"/>
        <item x="205"/>
        <item x="756"/>
        <item x="1278"/>
        <item x="1093"/>
        <item x="302"/>
        <item x="1281"/>
        <item x="520"/>
        <item x="359"/>
        <item x="499"/>
        <item x="43"/>
        <item x="98"/>
        <item x="13"/>
        <item x="557"/>
        <item x="640"/>
        <item x="1182"/>
        <item x="871"/>
        <item x="406"/>
        <item x="106"/>
        <item x="321"/>
        <item x="1082"/>
        <item x="175"/>
        <item x="793"/>
        <item x="812"/>
        <item x="774"/>
        <item x="1061"/>
        <item x="171"/>
        <item x="1134"/>
        <item x="955"/>
        <item x="1036"/>
        <item x="1161"/>
        <item x="906"/>
        <item x="1221"/>
        <item x="1013"/>
        <item x="305"/>
        <item x="965"/>
        <item x="1151"/>
        <item x="176"/>
        <item x="769"/>
        <item x="380"/>
        <item x="1098"/>
        <item x="12"/>
        <item x="802"/>
        <item x="249"/>
        <item x="874"/>
        <item x="1256"/>
        <item x="583"/>
        <item x="27"/>
        <item x="701"/>
        <item x="79"/>
        <item x="1106"/>
        <item x="160"/>
        <item x="487"/>
        <item x="297"/>
        <item x="44"/>
        <item x="415"/>
        <item x="1152"/>
        <item x="233"/>
        <item x="283"/>
        <item x="869"/>
        <item x="604"/>
        <item x="539"/>
        <item x="569"/>
        <item x="513"/>
        <item x="1283"/>
        <item x="613"/>
        <item x="379"/>
        <item x="637"/>
        <item x="731"/>
        <item x="966"/>
        <item x="1269"/>
        <item x="20"/>
        <item x="1086"/>
        <item x="782"/>
        <item x="134"/>
        <item x="46"/>
        <item x="177"/>
        <item x="750"/>
        <item x="697"/>
        <item x="647"/>
        <item x="788"/>
        <item x="753"/>
        <item x="635"/>
        <item x="1041"/>
        <item x="1103"/>
        <item x="997"/>
        <item x="417"/>
        <item x="142"/>
        <item x="511"/>
        <item x="447"/>
        <item x="739"/>
        <item x="671"/>
        <item x="1267"/>
        <item x="259"/>
        <item x="971"/>
        <item x="708"/>
        <item x="77"/>
        <item x="1215"/>
        <item x="595"/>
        <item x="310"/>
        <item x="910"/>
        <item x="1265"/>
        <item x="1020"/>
        <item x="372"/>
        <item x="729"/>
        <item x="1003"/>
        <item x="25"/>
        <item x="588"/>
        <item x="192"/>
        <item x="662"/>
        <item x="228"/>
        <item x="614"/>
        <item x="629"/>
        <item x="432"/>
        <item x="1108"/>
        <item x="120"/>
        <item x="589"/>
        <item x="1019"/>
        <item x="418"/>
        <item x="331"/>
        <item x="549"/>
        <item x="163"/>
        <item x="468"/>
        <item x="845"/>
        <item x="541"/>
        <item x="659"/>
        <item x="1022"/>
        <item x="660"/>
        <item x="870"/>
        <item x="152"/>
        <item x="1248"/>
        <item x="560"/>
        <item x="1219"/>
        <item x="757"/>
        <item x="1241"/>
        <item x="11"/>
        <item x="1136"/>
        <item x="857"/>
        <item x="675"/>
        <item x="400"/>
        <item x="261"/>
        <item x="1038"/>
        <item x="272"/>
        <item x="453"/>
        <item x="308"/>
        <item x="245"/>
        <item x="897"/>
        <item x="990"/>
        <item x="1190"/>
        <item x="565"/>
        <item x="133"/>
        <item x="1239"/>
        <item x="1045"/>
        <item x="649"/>
        <item x="602"/>
        <item x="829"/>
        <item x="517"/>
        <item x="141"/>
        <item x="1055"/>
        <item x="491"/>
        <item x="303"/>
        <item x="781"/>
        <item x="727"/>
        <item x="289"/>
        <item x="350"/>
        <item x="630"/>
        <item x="1203"/>
        <item x="1128"/>
        <item x="1156"/>
        <item x="15"/>
        <item x="1070"/>
        <item x="180"/>
        <item x="378"/>
        <item x="763"/>
        <item x="1189"/>
        <item x="492"/>
        <item x="1010"/>
        <item x="67"/>
        <item x="62"/>
        <item x="798"/>
        <item x="830"/>
        <item x="162"/>
        <item x="645"/>
        <item x="182"/>
        <item x="354"/>
        <item x="683"/>
        <item x="258"/>
        <item x="311"/>
        <item x="495"/>
        <item x="696"/>
        <item x="620"/>
        <item x="958"/>
        <item x="238"/>
        <item x="167"/>
        <item x="960"/>
        <item x="766"/>
        <item x="9"/>
        <item x="217"/>
        <item x="1270"/>
        <item x="969"/>
        <item x="0"/>
        <item x="1007"/>
        <item x="902"/>
        <item x="455"/>
        <item x="1064"/>
        <item x="69"/>
        <item x="424"/>
        <item x="188"/>
        <item x="736"/>
        <item x="1109"/>
        <item x="698"/>
        <item x="1052"/>
        <item x="842"/>
        <item x="682"/>
        <item x="55"/>
        <item x="838"/>
        <item x="339"/>
        <item x="601"/>
        <item x="187"/>
        <item x="1030"/>
        <item x="866"/>
        <item x="636"/>
        <item x="933"/>
        <item x="284"/>
        <item x="71"/>
        <item x="89"/>
        <item x="384"/>
        <item x="420"/>
        <item x="631"/>
        <item x="920"/>
        <item x="530"/>
        <item x="178"/>
        <item x="986"/>
        <item x="670"/>
        <item x="408"/>
        <item x="1145"/>
        <item x="1208"/>
        <item x="131"/>
        <item x="975"/>
        <item x="633"/>
        <item x="465"/>
        <item x="979"/>
        <item x="443"/>
        <item x="295"/>
        <item x="862"/>
        <item x="35"/>
        <item x="445"/>
        <item x="374"/>
        <item x="1171"/>
        <item x="1179"/>
        <item x="360"/>
        <item x="791"/>
        <item x="1075"/>
        <item x="715"/>
        <item x="931"/>
        <item x="16"/>
        <item x="325"/>
        <item x="776"/>
        <item x="1056"/>
        <item x="537"/>
        <item x="991"/>
        <item x="191"/>
        <item x="650"/>
        <item x="464"/>
        <item x="112"/>
        <item x="299"/>
        <item x="1157"/>
        <item x="954"/>
        <item x="330"/>
        <item x="78"/>
        <item x="1088"/>
        <item x="358"/>
        <item x="1014"/>
        <item x="1124"/>
        <item x="951"/>
        <item x="1200"/>
        <item x="555"/>
        <item x="1172"/>
        <item x="391"/>
        <item x="579"/>
        <item x="351"/>
        <item x="1238"/>
        <item x="818"/>
        <item x="243"/>
        <item x="488"/>
        <item x="218"/>
        <item x="1087"/>
        <item x="896"/>
        <item x="269"/>
        <item x="989"/>
        <item x="53"/>
        <item x="531"/>
        <item x="850"/>
        <item x="337"/>
        <item x="1072"/>
        <item x="995"/>
        <item x="1210"/>
        <item x="33"/>
        <item x="1135"/>
        <item x="600"/>
        <item x="535"/>
        <item x="96"/>
        <item x="799"/>
        <item x="999"/>
        <item x="832"/>
        <item x="1073"/>
        <item x="746"/>
        <item x="639"/>
        <item x="332"/>
        <item x="371"/>
        <item x="409"/>
        <item x="1011"/>
        <item x="479"/>
        <item x="767"/>
        <item x="994"/>
        <item x="957"/>
        <item x="109"/>
        <item x="1229"/>
        <item x="977"/>
        <item x="702"/>
        <item x="922"/>
        <item x="626"/>
        <item x="1062"/>
        <item x="1275"/>
        <item x="1293"/>
        <item x="584"/>
        <item x="1234"/>
        <item x="149"/>
        <item x="1211"/>
        <item x="294"/>
        <item x="846"/>
        <item x="980"/>
        <item x="40"/>
        <item x="1131"/>
        <item x="490"/>
        <item x="792"/>
        <item x="1244"/>
        <item x="398"/>
        <item x="410"/>
        <item x="901"/>
        <item x="422"/>
        <item x="704"/>
        <item x="1232"/>
        <item x="1039"/>
        <item x="996"/>
        <item x="1169"/>
        <item x="317"/>
        <item x="1158"/>
        <item x="435"/>
        <item x="312"/>
        <item x="950"/>
        <item x="705"/>
        <item x="603"/>
        <item x="665"/>
        <item x="427"/>
        <item x="865"/>
        <item x="298"/>
        <item x="1176"/>
        <item x="679"/>
        <item x="904"/>
        <item x="733"/>
        <item x="883"/>
        <item x="279"/>
        <item x="320"/>
        <item x="328"/>
        <item x="806"/>
        <item x="361"/>
        <item x="648"/>
        <item x="1207"/>
        <item x="836"/>
        <item x="105"/>
        <item x="879"/>
        <item x="1268"/>
        <item x="728"/>
        <item x="459"/>
        <item x="627"/>
        <item x="260"/>
        <item x="1026"/>
        <item x="605"/>
        <item x="553"/>
        <item x="265"/>
        <item x="1249"/>
        <item x="504"/>
        <item x="591"/>
        <item x="267"/>
        <item x="796"/>
        <item x="734"/>
        <item x="201"/>
        <item x="573"/>
        <item x="1216"/>
        <item x="917"/>
        <item x="916"/>
        <item x="570"/>
        <item x="945"/>
        <item x="168"/>
        <item x="1237"/>
        <item x="993"/>
        <item x="505"/>
        <item x="678"/>
        <item x="533"/>
        <item x="307"/>
        <item x="1046"/>
        <item x="741"/>
        <item x="352"/>
        <item x="716"/>
        <item x="41"/>
        <item x="525"/>
        <item x="1048"/>
        <item x="623"/>
        <item x="469"/>
        <item x="431"/>
        <item x="1209"/>
        <item x="32"/>
        <item x="585"/>
        <item x="642"/>
        <item x="376"/>
        <item x="93"/>
        <item x="1274"/>
        <item x="712"/>
        <item x="1205"/>
        <item x="457"/>
        <item x="24"/>
        <item x="732"/>
        <item x="725"/>
        <item x="375"/>
        <item x="1006"/>
        <item x="227"/>
        <item x="928"/>
        <item x="1149"/>
        <item x="528"/>
        <item x="1188"/>
        <item x="1162"/>
        <item x="493"/>
        <item x="500"/>
        <item x="1280"/>
        <item x="669"/>
        <item x="944"/>
        <item x="434"/>
        <item x="894"/>
        <item x="237"/>
        <item x="735"/>
        <item x="234"/>
        <item x="117"/>
        <item x="523"/>
        <item x="1233"/>
        <item x="884"/>
        <item x="686"/>
        <item x="271"/>
        <item x="221"/>
        <item x="280"/>
        <item x="795"/>
        <item x="262"/>
        <item x="742"/>
        <item x="835"/>
        <item x="356"/>
        <item x="1138"/>
        <item x="286"/>
        <item x="935"/>
        <item x="1139"/>
        <item x="1080"/>
        <item x="709"/>
        <item x="364"/>
        <item x="1185"/>
        <item x="809"/>
        <item x="344"/>
        <item x="765"/>
        <item x="912"/>
        <item x="158"/>
        <item x="396"/>
        <item x="677"/>
        <item x="1063"/>
        <item x="681"/>
        <item x="1163"/>
        <item x="154"/>
        <item x="121"/>
        <item x="75"/>
        <item x="472"/>
        <item x="745"/>
        <item x="1155"/>
        <item x="1047"/>
        <item x="1031"/>
        <item x="564"/>
        <item x="382"/>
        <item x="948"/>
        <item x="1214"/>
        <item x="483"/>
        <item x="1258"/>
        <item x="1071"/>
        <item x="596"/>
        <item x="777"/>
        <item x="943"/>
        <item x="657"/>
        <item x="31"/>
        <item x="336"/>
        <item x="458"/>
        <item x="1000"/>
        <item x="762"/>
        <item x="456"/>
        <item x="59"/>
        <item x="215"/>
        <item x="529"/>
        <item x="1154"/>
        <item x="235"/>
        <item x="1077"/>
        <item x="1033"/>
        <item x="942"/>
        <item x="848"/>
        <item x="404"/>
        <item x="334"/>
        <item x="1192"/>
        <item x="343"/>
        <item x="118"/>
        <item x="250"/>
        <item x="886"/>
        <item x="144"/>
        <item x="241"/>
        <item x="1044"/>
        <item x="213"/>
        <item x="1127"/>
        <item x="837"/>
        <item x="50"/>
        <item x="315"/>
        <item x="810"/>
        <item x="1273"/>
        <item x="510"/>
        <item x="515"/>
        <item x="863"/>
        <item x="127"/>
        <item x="826"/>
        <item x="497"/>
        <item x="545"/>
        <item x="1184"/>
        <item x="651"/>
        <item x="827"/>
        <item x="428"/>
        <item x="673"/>
        <item x="471"/>
        <item x="840"/>
        <item x="672"/>
        <item x="251"/>
        <item x="1262"/>
        <item x="21"/>
        <item x="959"/>
        <item x="54"/>
        <item x="822"/>
        <item x="1222"/>
        <item x="1150"/>
        <item x="803"/>
        <item x="953"/>
        <item x="919"/>
        <item x="484"/>
        <item x="335"/>
        <item x="1023"/>
        <item x="680"/>
        <item x="277"/>
        <item x="393"/>
        <item x="783"/>
        <item x="624"/>
        <item x="758"/>
        <item x="1116"/>
        <item x="414"/>
        <item x="1126"/>
        <item x="1021"/>
        <item x="288"/>
        <item x="1228"/>
        <item x="239"/>
        <item x="718"/>
        <item x="856"/>
        <item x="1220"/>
        <item x="436"/>
        <item x="608"/>
        <item x="976"/>
        <item x="834"/>
        <item x="1141"/>
        <item x="347"/>
        <item x="56"/>
        <item x="554"/>
        <item x="153"/>
        <item x="1058"/>
        <item x="577"/>
        <item x="197"/>
        <item x="575"/>
        <item x="1271"/>
        <item x="1079"/>
        <item x="1146"/>
        <item x="232"/>
        <item x="587"/>
        <item x="817"/>
        <item x="485"/>
        <item x="1204"/>
        <item x="881"/>
        <item x="231"/>
        <item x="618"/>
        <item x="116"/>
        <item x="1201"/>
        <item x="952"/>
        <item x="30"/>
        <item x="519"/>
        <item x="368"/>
        <item x="136"/>
        <item x="794"/>
        <item x="804"/>
        <item x="1178"/>
        <item x="1246"/>
        <item x="652"/>
        <item x="1059"/>
        <item x="126"/>
        <item x="460"/>
        <item x="876"/>
        <item x="480"/>
        <item x="1277"/>
        <item x="26"/>
        <item x="1051"/>
        <item x="522"/>
        <item x="362"/>
        <item x="726"/>
        <item x="470"/>
        <item x="1195"/>
        <item x="1279"/>
        <item x="905"/>
        <item x="1252"/>
        <item x="159"/>
        <item x="1016"/>
        <item x="754"/>
        <item x="1104"/>
        <item x="329"/>
        <item x="961"/>
        <item x="780"/>
        <item x="17"/>
        <item x="155"/>
        <item x="599"/>
        <item x="690"/>
        <item x="1028"/>
        <item x="1067"/>
        <item x="253"/>
        <item x="1263"/>
        <item x="110"/>
        <item x="224"/>
        <item x="1196"/>
        <item x="169"/>
        <item x="477"/>
        <item x="1160"/>
        <item x="967"/>
        <item x="722"/>
        <item x="229"/>
        <item x="82"/>
        <item x="90"/>
        <item x="864"/>
        <item x="150"/>
        <item x="816"/>
        <item x="1235"/>
        <item x="196"/>
        <item x="324"/>
        <item x="524"/>
        <item x="1295"/>
        <item x="1129"/>
        <item x="622"/>
        <item x="216"/>
        <item x="593"/>
        <item x="1175"/>
        <item x="963"/>
        <item x="543"/>
        <item x="370"/>
        <item x="204"/>
        <item x="482"/>
        <item x="1227"/>
        <item x="1247"/>
        <item x="611"/>
        <item x="761"/>
        <item x="369"/>
        <item x="1078"/>
        <item x="509"/>
        <item x="1206"/>
        <item x="166"/>
        <item x="170"/>
        <item x="140"/>
        <item x="661"/>
        <item x="1100"/>
        <item x="744"/>
        <item x="496"/>
        <item x="45"/>
        <item x="139"/>
        <item x="873"/>
        <item x="508"/>
        <item x="49"/>
        <item x="119"/>
        <item x="194"/>
        <item x="230"/>
        <item x="463"/>
        <item x="147"/>
        <item x="413"/>
        <item x="786"/>
        <item x="1034"/>
        <item x="911"/>
        <item x="521"/>
        <item x="1121"/>
        <item x="42"/>
        <item x="39"/>
        <item x="641"/>
        <item x="466"/>
        <item x="92"/>
        <item x="998"/>
        <item x="113"/>
        <item x="1057"/>
        <item x="223"/>
        <item x="518"/>
        <item x="868"/>
        <item x="800"/>
        <item x="1005"/>
        <item x="1173"/>
        <item x="157"/>
        <item x="367"/>
        <item x="1068"/>
        <item x="135"/>
        <item x="811"/>
        <item x="285"/>
        <item x="787"/>
        <item x="1035"/>
        <item x="946"/>
        <item x="968"/>
        <item x="346"/>
        <item x="1081"/>
        <item x="833"/>
        <item x="68"/>
        <item x="571"/>
        <item x="211"/>
        <item x="19"/>
        <item x="859"/>
        <item x="395"/>
        <item x="1250"/>
        <item x="572"/>
        <item x="502"/>
        <item x="29"/>
        <item x="1001"/>
        <item x="345"/>
        <item x="1183"/>
        <item x="692"/>
        <item x="94"/>
        <item x="720"/>
        <item x="768"/>
        <item x="813"/>
        <item x="179"/>
        <item x="296"/>
        <item x="926"/>
        <item x="1140"/>
        <item x="1037"/>
        <item x="1240"/>
        <item x="582"/>
        <item x="1212"/>
        <item x="1065"/>
        <item x="1164"/>
        <item x="676"/>
        <item x="877"/>
        <item x="95"/>
        <item x="129"/>
        <item x="607"/>
        <item x="1289"/>
        <item x="982"/>
        <item x="930"/>
        <item x="644"/>
        <item x="1194"/>
        <item x="839"/>
        <item x="1083"/>
        <item x="1122"/>
        <item x="562"/>
        <item x="476"/>
        <item x="1294"/>
        <item x="646"/>
        <item x="808"/>
        <item x="1217"/>
        <item x="220"/>
        <item x="628"/>
        <item x="888"/>
        <item x="433"/>
        <item x="778"/>
        <item x="1032"/>
        <item x="556"/>
        <item x="210"/>
        <item x="1095"/>
        <item x="387"/>
        <item x="898"/>
        <item x="1177"/>
        <item x="203"/>
        <item x="962"/>
        <item x="895"/>
        <item x="825"/>
        <item x="885"/>
        <item x="23"/>
        <item x="875"/>
        <item x="405"/>
        <item x="1012"/>
        <item x="1168"/>
        <item x="1009"/>
        <item x="1084"/>
        <item x="546"/>
        <item x="713"/>
        <item x="617"/>
        <item x="1018"/>
        <item x="291"/>
        <item x="276"/>
        <item x="921"/>
        <item x="789"/>
        <item x="1094"/>
        <item x="1198"/>
        <item x="1085"/>
        <item x="304"/>
        <item x="1296"/>
        <item x="858"/>
        <item x="738"/>
        <item x="148"/>
        <item x="209"/>
        <item x="909"/>
        <item x="198"/>
        <item x="1054"/>
        <item x="854"/>
        <item x="514"/>
        <item x="1159"/>
        <item x="5"/>
        <item x="300"/>
        <item x="401"/>
        <item x="938"/>
        <item x="923"/>
        <item x="974"/>
        <item x="1017"/>
        <item x="820"/>
        <item x="721"/>
        <item x="594"/>
        <item x="14"/>
        <item x="710"/>
        <item x="137"/>
        <item x="313"/>
        <item x="257"/>
        <item x="292"/>
        <item x="130"/>
        <item x="70"/>
        <item x="598"/>
        <item x="1253"/>
        <item x="551"/>
        <item x="684"/>
        <item x="442"/>
        <item x="202"/>
        <item x="256"/>
        <item x="446"/>
        <item x="1049"/>
        <item x="326"/>
        <item x="970"/>
        <item x="58"/>
        <item x="322"/>
        <item x="3"/>
        <item x="454"/>
        <item x="936"/>
        <item x="1029"/>
        <item x="419"/>
        <item x="984"/>
        <item x="185"/>
        <item x="663"/>
        <item x="1259"/>
        <item x="567"/>
        <item x="849"/>
        <item x="1291"/>
        <item x="222"/>
        <item x="711"/>
        <item x="1197"/>
        <item x="146"/>
        <item x="36"/>
        <item x="1102"/>
        <item x="860"/>
        <item x="831"/>
        <item x="34"/>
        <item x="101"/>
        <item x="206"/>
        <item x="853"/>
        <item x="1181"/>
        <item x="1053"/>
        <item x="314"/>
        <item x="132"/>
        <item x="1226"/>
        <item x="107"/>
        <item x="1218"/>
        <item x="632"/>
        <item x="559"/>
        <item x="333"/>
        <item x="547"/>
        <item x="462"/>
        <item x="714"/>
        <item x="743"/>
        <item x="805"/>
        <item x="319"/>
        <item x="348"/>
        <item x="57"/>
        <item x="740"/>
        <item x="1272"/>
        <item x="357"/>
        <item x="548"/>
        <item x="507"/>
        <item x="99"/>
        <item x="634"/>
        <item x="449"/>
        <item x="578"/>
        <item x="189"/>
        <item x="748"/>
        <item x="1187"/>
        <item x="852"/>
        <item x="254"/>
        <item x="638"/>
        <item x="264"/>
        <item x="915"/>
        <item x="478"/>
        <item x="707"/>
        <item x="947"/>
        <item x="775"/>
        <item x="47"/>
        <item x="208"/>
        <item x="1074"/>
        <item x="122"/>
        <item x="494"/>
        <item x="542"/>
        <item x="64"/>
        <item x="1107"/>
        <item x="438"/>
        <item x="1089"/>
        <item x="1236"/>
        <item x="1024"/>
        <item x="1167"/>
        <item x="4"/>
        <item x="114"/>
        <item x="941"/>
        <item x="1288"/>
        <item x="867"/>
        <item x="440"/>
        <item x="165"/>
        <item x="737"/>
        <item x="1298"/>
        <item x="619"/>
        <item x="263"/>
        <item x="1113"/>
        <item x="1043"/>
        <item x="214"/>
        <item x="65"/>
        <item x="278"/>
        <item x="1112"/>
        <item x="973"/>
        <item x="1255"/>
        <item x="501"/>
        <item x="913"/>
        <item x="236"/>
        <item x="988"/>
        <item x="1276"/>
        <item x="861"/>
        <item x="381"/>
        <item x="550"/>
        <item x="88"/>
        <item x="1119"/>
        <item x="527"/>
        <item x="747"/>
        <item x="51"/>
        <item x="74"/>
        <item x="448"/>
        <item x="844"/>
        <item x="1153"/>
        <item x="1223"/>
        <item x="1225"/>
        <item x="581"/>
        <item x="341"/>
        <item x="889"/>
        <item x="1115"/>
        <item x="7"/>
        <item x="266"/>
        <item x="273"/>
        <item x="981"/>
        <item x="293"/>
        <item x="240"/>
        <item x="1092"/>
        <item x="327"/>
        <item x="872"/>
        <item x="1144"/>
        <item x="985"/>
        <item x="104"/>
        <item x="586"/>
        <item x="615"/>
        <item x="318"/>
        <item x="779"/>
        <item x="474"/>
        <item x="574"/>
        <item x="940"/>
        <item x="900"/>
        <item x="724"/>
        <item x="1101"/>
        <item x="538"/>
        <item x="1230"/>
        <item x="309"/>
        <item x="429"/>
        <item x="1257"/>
        <item x="103"/>
        <item x="609"/>
        <item x="760"/>
        <item x="156"/>
        <item x="643"/>
        <item x="108"/>
        <item x="749"/>
        <item x="1133"/>
        <item x="349"/>
        <item x="1174"/>
        <item x="685"/>
        <item x="924"/>
        <item x="444"/>
        <item x="2"/>
        <item x="655"/>
        <item x="1286"/>
        <item x="451"/>
        <item x="207"/>
        <item x="664"/>
        <item x="807"/>
        <item x="1118"/>
        <item x="365"/>
        <item x="1091"/>
        <item x="1040"/>
        <item x="452"/>
        <item x="855"/>
        <item x="1"/>
        <item x="1264"/>
        <item x="450"/>
        <item x="18"/>
        <item x="612"/>
        <item x="656"/>
        <item x="821"/>
        <item x="590"/>
        <item x="60"/>
        <item x="689"/>
        <item x="1165"/>
        <item x="703"/>
        <item x="63"/>
        <item x="851"/>
        <item x="125"/>
        <item x="437"/>
        <item x="937"/>
        <item x="625"/>
        <item x="461"/>
        <item x="52"/>
        <item x="918"/>
        <item x="880"/>
        <item x="441"/>
        <item x="801"/>
        <item x="785"/>
        <item x="899"/>
        <item x="481"/>
        <item x="819"/>
        <item x="978"/>
        <item x="199"/>
        <item x="390"/>
        <item x="1114"/>
        <item x="1142"/>
        <item x="306"/>
        <item x="1213"/>
        <item x="1105"/>
        <item x="1251"/>
        <item x="86"/>
        <item x="606"/>
        <item x="363"/>
        <item x="1282"/>
        <item x="755"/>
        <item x="1050"/>
        <item x="929"/>
        <item x="425"/>
        <item x="124"/>
        <item x="1130"/>
        <item x="426"/>
        <item x="1224"/>
        <item x="580"/>
        <item x="1266"/>
        <item x="355"/>
        <item x="394"/>
        <item x="695"/>
        <item x="1096"/>
        <item x="1170"/>
        <item x="687"/>
        <item x="693"/>
        <item x="22"/>
        <item x="1027"/>
        <item x="85"/>
        <item x="81"/>
        <item x="383"/>
        <item x="138"/>
        <item x="576"/>
        <item x="397"/>
        <item x="181"/>
        <item x="563"/>
        <item x="473"/>
        <item x="540"/>
        <item x="706"/>
        <item x="1193"/>
        <item x="242"/>
        <item x="770"/>
        <item x="1147"/>
        <item x="1002"/>
        <item x="1025"/>
        <item x="1090"/>
        <item x="1042"/>
        <item x="654"/>
        <item x="38"/>
        <item x="558"/>
        <item x="1290"/>
        <item x="516"/>
        <item x="759"/>
        <item x="1148"/>
        <item x="667"/>
        <item x="621"/>
        <item x="161"/>
        <item x="111"/>
        <item x="847"/>
        <item x="252"/>
        <item x="700"/>
        <item x="1231"/>
        <item x="790"/>
        <item x="412"/>
        <item x="719"/>
        <item x="340"/>
        <item x="992"/>
        <item x="392"/>
        <item x="1143"/>
        <item x="815"/>
        <item x="1202"/>
        <item x="323"/>
        <item x="824"/>
        <item x="773"/>
        <item x="48"/>
        <item x="934"/>
        <item x="399"/>
        <item x="486"/>
        <item x="908"/>
        <item x="1297"/>
        <item x="814"/>
        <item x="61"/>
        <item x="1004"/>
        <item x="193"/>
        <item x="1180"/>
        <item x="1132"/>
        <item x="723"/>
        <item x="83"/>
        <item x="281"/>
        <item x="1287"/>
        <item x="1191"/>
        <item x="552"/>
        <item x="1060"/>
        <item x="143"/>
        <item x="532"/>
        <item x="87"/>
        <item x="772"/>
        <item x="91"/>
        <item x="411"/>
        <item x="893"/>
        <item x="691"/>
        <item x="226"/>
        <item x="100"/>
        <item x="903"/>
        <item x="1285"/>
        <item x="927"/>
        <item x="268"/>
        <item x="73"/>
        <item x="503"/>
        <item x="616"/>
        <item x="287"/>
        <item x="907"/>
        <item x="887"/>
        <item x="688"/>
        <item x="248"/>
        <item x="828"/>
        <item x="914"/>
        <item x="72"/>
        <item x="892"/>
        <item x="403"/>
        <item x="439"/>
        <item x="1110"/>
        <item x="290"/>
        <item x="843"/>
        <item x="498"/>
        <item x="1261"/>
        <item x="8"/>
        <item x="66"/>
        <item x="1076"/>
        <item x="282"/>
        <item t="default"/>
      </items>
    </pivotField>
    <pivotField compact="0" numFmtId="180" showAll="0"/>
    <pivotField axis="axisPage" compact="0" multipleItemSelectionAllowed="1" showAll="0">
      <items count="4">
        <item x="0"/>
        <item x="1"/>
        <item x="2"/>
        <item t="default"/>
      </items>
    </pivotField>
    <pivotField compact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8"/>
  </pageFields>
  <dataFields count="2">
    <dataField name="Sum of Loan Amount" fld="6" baseField="0" baseItem="0"/>
    <dataField name="Count of LOAN_ID" fld="0" subtotal="count" baseField="0" baseItem="0"/>
  </dataFields>
  <formats count="2">
    <format dxfId="0">
      <pivotArea collapsedLevelsAreSubtotals="1" fieldPosition="0"/>
    </format>
    <format dxfId="1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:J6" firstHeaderRow="1" firstDataRow="2" firstDataCol="1"/>
  <pivotFields count="10">
    <pivotField compact="0" showAll="0">
      <items count="1301"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4">
        <item h="1" x="0"/>
        <item x="2"/>
        <item x="1"/>
        <item t="default"/>
      </items>
    </pivotField>
    <pivotField compact="0" showAll="0"/>
    <pivotField dataField="1" compact="0" showAll="0">
      <items count="1300">
        <item x="102"/>
        <item x="377"/>
        <item x="544"/>
        <item x="274"/>
        <item x="823"/>
        <item x="1166"/>
        <item x="653"/>
        <item x="115"/>
        <item x="467"/>
        <item x="534"/>
        <item x="592"/>
        <item x="925"/>
        <item x="430"/>
        <item x="84"/>
        <item x="97"/>
        <item x="1123"/>
        <item x="526"/>
        <item x="421"/>
        <item x="145"/>
        <item x="939"/>
        <item x="699"/>
        <item x="1099"/>
        <item x="668"/>
        <item x="1245"/>
        <item x="1242"/>
        <item x="1137"/>
        <item x="28"/>
        <item x="407"/>
        <item x="972"/>
        <item x="1008"/>
        <item x="186"/>
        <item x="1097"/>
        <item x="932"/>
        <item x="1186"/>
        <item x="512"/>
        <item x="489"/>
        <item x="890"/>
        <item x="183"/>
        <item x="506"/>
        <item x="212"/>
        <item x="1111"/>
        <item x="475"/>
        <item x="37"/>
        <item x="151"/>
        <item x="983"/>
        <item x="219"/>
        <item x="316"/>
        <item x="694"/>
        <item x="1125"/>
        <item x="1254"/>
        <item x="255"/>
        <item x="566"/>
        <item x="568"/>
        <item x="386"/>
        <item x="172"/>
        <item x="80"/>
        <item x="1066"/>
        <item x="225"/>
        <item x="388"/>
        <item x="247"/>
        <item x="956"/>
        <item x="841"/>
        <item x="164"/>
        <item x="423"/>
        <item x="751"/>
        <item x="882"/>
        <item x="195"/>
        <item x="301"/>
        <item x="10"/>
        <item x="771"/>
        <item x="797"/>
        <item x="949"/>
        <item x="200"/>
        <item x="666"/>
        <item x="878"/>
        <item x="730"/>
        <item x="373"/>
        <item x="6"/>
        <item x="173"/>
        <item x="270"/>
        <item x="246"/>
        <item x="964"/>
        <item x="1120"/>
        <item x="128"/>
        <item x="1117"/>
        <item x="764"/>
        <item x="174"/>
        <item x="610"/>
        <item x="385"/>
        <item x="275"/>
        <item x="389"/>
        <item x="536"/>
        <item x="1260"/>
        <item x="784"/>
        <item x="184"/>
        <item x="1015"/>
        <item x="1284"/>
        <item x="717"/>
        <item x="1069"/>
        <item x="338"/>
        <item x="597"/>
        <item x="353"/>
        <item x="658"/>
        <item x="1199"/>
        <item x="1292"/>
        <item x="561"/>
        <item x="366"/>
        <item x="891"/>
        <item x="76"/>
        <item x="244"/>
        <item x="123"/>
        <item x="1243"/>
        <item x="342"/>
        <item x="674"/>
        <item x="402"/>
        <item x="416"/>
        <item x="987"/>
        <item x="190"/>
        <item x="752"/>
        <item x="205"/>
        <item x="756"/>
        <item x="1278"/>
        <item x="1093"/>
        <item x="302"/>
        <item x="1281"/>
        <item x="520"/>
        <item x="359"/>
        <item x="499"/>
        <item x="43"/>
        <item x="98"/>
        <item x="13"/>
        <item x="557"/>
        <item x="640"/>
        <item x="1182"/>
        <item x="871"/>
        <item x="406"/>
        <item x="106"/>
        <item x="321"/>
        <item x="1082"/>
        <item x="175"/>
        <item x="793"/>
        <item x="812"/>
        <item x="774"/>
        <item x="1061"/>
        <item x="171"/>
        <item x="1134"/>
        <item x="955"/>
        <item x="1036"/>
        <item x="1161"/>
        <item x="906"/>
        <item x="1221"/>
        <item x="1013"/>
        <item x="305"/>
        <item x="965"/>
        <item x="1151"/>
        <item x="176"/>
        <item x="769"/>
        <item x="380"/>
        <item x="1098"/>
        <item x="12"/>
        <item x="802"/>
        <item x="249"/>
        <item x="874"/>
        <item x="1256"/>
        <item x="583"/>
        <item x="27"/>
        <item x="701"/>
        <item x="79"/>
        <item x="1106"/>
        <item x="160"/>
        <item x="487"/>
        <item x="297"/>
        <item x="44"/>
        <item x="415"/>
        <item x="1152"/>
        <item x="233"/>
        <item x="283"/>
        <item x="869"/>
        <item x="604"/>
        <item x="539"/>
        <item x="569"/>
        <item x="513"/>
        <item x="1283"/>
        <item x="613"/>
        <item x="379"/>
        <item x="637"/>
        <item x="731"/>
        <item x="966"/>
        <item x="1269"/>
        <item x="20"/>
        <item x="1086"/>
        <item x="782"/>
        <item x="134"/>
        <item x="46"/>
        <item x="177"/>
        <item x="750"/>
        <item x="697"/>
        <item x="647"/>
        <item x="788"/>
        <item x="753"/>
        <item x="635"/>
        <item x="1041"/>
        <item x="1103"/>
        <item x="997"/>
        <item x="417"/>
        <item x="142"/>
        <item x="511"/>
        <item x="447"/>
        <item x="739"/>
        <item x="671"/>
        <item x="1267"/>
        <item x="259"/>
        <item x="971"/>
        <item x="708"/>
        <item x="77"/>
        <item x="1215"/>
        <item x="595"/>
        <item x="310"/>
        <item x="910"/>
        <item x="1265"/>
        <item x="1020"/>
        <item x="372"/>
        <item x="729"/>
        <item x="1003"/>
        <item x="25"/>
        <item x="588"/>
        <item x="192"/>
        <item x="662"/>
        <item x="228"/>
        <item x="614"/>
        <item x="629"/>
        <item x="432"/>
        <item x="1108"/>
        <item x="120"/>
        <item x="589"/>
        <item x="1019"/>
        <item x="418"/>
        <item x="331"/>
        <item x="549"/>
        <item x="163"/>
        <item x="468"/>
        <item x="845"/>
        <item x="541"/>
        <item x="659"/>
        <item x="1022"/>
        <item x="660"/>
        <item x="870"/>
        <item x="152"/>
        <item x="1248"/>
        <item x="560"/>
        <item x="1219"/>
        <item x="757"/>
        <item x="1241"/>
        <item x="11"/>
        <item x="1136"/>
        <item x="857"/>
        <item x="675"/>
        <item x="400"/>
        <item x="261"/>
        <item x="1038"/>
        <item x="272"/>
        <item x="453"/>
        <item x="308"/>
        <item x="245"/>
        <item x="897"/>
        <item x="990"/>
        <item x="1190"/>
        <item x="565"/>
        <item x="133"/>
        <item x="1239"/>
        <item x="1045"/>
        <item x="649"/>
        <item x="602"/>
        <item x="829"/>
        <item x="517"/>
        <item x="141"/>
        <item x="1055"/>
        <item x="491"/>
        <item x="303"/>
        <item x="781"/>
        <item x="727"/>
        <item x="289"/>
        <item x="350"/>
        <item x="630"/>
        <item x="1203"/>
        <item x="1128"/>
        <item x="1156"/>
        <item x="15"/>
        <item x="1070"/>
        <item x="180"/>
        <item x="378"/>
        <item x="763"/>
        <item x="1189"/>
        <item x="492"/>
        <item x="1010"/>
        <item x="67"/>
        <item x="62"/>
        <item x="798"/>
        <item x="830"/>
        <item x="162"/>
        <item x="645"/>
        <item x="182"/>
        <item x="354"/>
        <item x="683"/>
        <item x="258"/>
        <item x="311"/>
        <item x="495"/>
        <item x="696"/>
        <item x="620"/>
        <item x="958"/>
        <item x="238"/>
        <item x="167"/>
        <item x="960"/>
        <item x="766"/>
        <item x="9"/>
        <item x="217"/>
        <item x="1270"/>
        <item x="969"/>
        <item x="0"/>
        <item x="1007"/>
        <item x="902"/>
        <item x="455"/>
        <item x="1064"/>
        <item x="69"/>
        <item x="424"/>
        <item x="188"/>
        <item x="736"/>
        <item x="1109"/>
        <item x="698"/>
        <item x="1052"/>
        <item x="842"/>
        <item x="682"/>
        <item x="55"/>
        <item x="838"/>
        <item x="339"/>
        <item x="601"/>
        <item x="187"/>
        <item x="1030"/>
        <item x="866"/>
        <item x="636"/>
        <item x="933"/>
        <item x="284"/>
        <item x="71"/>
        <item x="89"/>
        <item x="384"/>
        <item x="420"/>
        <item x="631"/>
        <item x="920"/>
        <item x="530"/>
        <item x="178"/>
        <item x="986"/>
        <item x="670"/>
        <item x="408"/>
        <item x="1145"/>
        <item x="1208"/>
        <item x="131"/>
        <item x="975"/>
        <item x="633"/>
        <item x="465"/>
        <item x="979"/>
        <item x="443"/>
        <item x="295"/>
        <item x="862"/>
        <item x="35"/>
        <item x="445"/>
        <item x="374"/>
        <item x="1171"/>
        <item x="1179"/>
        <item x="360"/>
        <item x="791"/>
        <item x="1075"/>
        <item x="715"/>
        <item x="931"/>
        <item x="16"/>
        <item x="325"/>
        <item x="776"/>
        <item x="1056"/>
        <item x="537"/>
        <item x="991"/>
        <item x="191"/>
        <item x="650"/>
        <item x="464"/>
        <item x="112"/>
        <item x="299"/>
        <item x="1157"/>
        <item x="954"/>
        <item x="330"/>
        <item x="78"/>
        <item x="1088"/>
        <item x="358"/>
        <item x="1014"/>
        <item x="1124"/>
        <item x="951"/>
        <item x="1200"/>
        <item x="555"/>
        <item x="1172"/>
        <item x="391"/>
        <item x="579"/>
        <item x="351"/>
        <item x="1238"/>
        <item x="818"/>
        <item x="243"/>
        <item x="488"/>
        <item x="218"/>
        <item x="1087"/>
        <item x="896"/>
        <item x="269"/>
        <item x="989"/>
        <item x="53"/>
        <item x="531"/>
        <item x="850"/>
        <item x="337"/>
        <item x="1072"/>
        <item x="995"/>
        <item x="1210"/>
        <item x="33"/>
        <item x="1135"/>
        <item x="600"/>
        <item x="535"/>
        <item x="96"/>
        <item x="799"/>
        <item x="999"/>
        <item x="832"/>
        <item x="1073"/>
        <item x="746"/>
        <item x="639"/>
        <item x="332"/>
        <item x="371"/>
        <item x="409"/>
        <item x="1011"/>
        <item x="479"/>
        <item x="767"/>
        <item x="994"/>
        <item x="957"/>
        <item x="109"/>
        <item x="1229"/>
        <item x="977"/>
        <item x="702"/>
        <item x="922"/>
        <item x="626"/>
        <item x="1062"/>
        <item x="1275"/>
        <item x="1293"/>
        <item x="584"/>
        <item x="1234"/>
        <item x="149"/>
        <item x="1211"/>
        <item x="294"/>
        <item x="846"/>
        <item x="980"/>
        <item x="40"/>
        <item x="1131"/>
        <item x="490"/>
        <item x="792"/>
        <item x="1244"/>
        <item x="398"/>
        <item x="410"/>
        <item x="901"/>
        <item x="422"/>
        <item x="704"/>
        <item x="1232"/>
        <item x="1039"/>
        <item x="996"/>
        <item x="1169"/>
        <item x="317"/>
        <item x="1158"/>
        <item x="435"/>
        <item x="312"/>
        <item x="950"/>
        <item x="705"/>
        <item x="603"/>
        <item x="665"/>
        <item x="427"/>
        <item x="865"/>
        <item x="298"/>
        <item x="1176"/>
        <item x="679"/>
        <item x="904"/>
        <item x="733"/>
        <item x="883"/>
        <item x="279"/>
        <item x="320"/>
        <item x="328"/>
        <item x="806"/>
        <item x="361"/>
        <item x="648"/>
        <item x="1207"/>
        <item x="836"/>
        <item x="105"/>
        <item x="879"/>
        <item x="1268"/>
        <item x="728"/>
        <item x="459"/>
        <item x="627"/>
        <item x="260"/>
        <item x="1026"/>
        <item x="605"/>
        <item x="553"/>
        <item x="265"/>
        <item x="1249"/>
        <item x="504"/>
        <item x="591"/>
        <item x="267"/>
        <item x="796"/>
        <item x="734"/>
        <item x="201"/>
        <item x="573"/>
        <item x="1216"/>
        <item x="917"/>
        <item x="916"/>
        <item x="570"/>
        <item x="945"/>
        <item x="168"/>
        <item x="1237"/>
        <item x="993"/>
        <item x="505"/>
        <item x="678"/>
        <item x="533"/>
        <item x="307"/>
        <item x="1046"/>
        <item x="741"/>
        <item x="352"/>
        <item x="716"/>
        <item x="41"/>
        <item x="525"/>
        <item x="1048"/>
        <item x="623"/>
        <item x="469"/>
        <item x="431"/>
        <item x="1209"/>
        <item x="32"/>
        <item x="585"/>
        <item x="642"/>
        <item x="376"/>
        <item x="93"/>
        <item x="1274"/>
        <item x="712"/>
        <item x="1205"/>
        <item x="457"/>
        <item x="24"/>
        <item x="732"/>
        <item x="725"/>
        <item x="375"/>
        <item x="1006"/>
        <item x="227"/>
        <item x="928"/>
        <item x="1149"/>
        <item x="528"/>
        <item x="1188"/>
        <item x="1162"/>
        <item x="493"/>
        <item x="500"/>
        <item x="1280"/>
        <item x="669"/>
        <item x="944"/>
        <item x="434"/>
        <item x="894"/>
        <item x="237"/>
        <item x="735"/>
        <item x="234"/>
        <item x="117"/>
        <item x="523"/>
        <item x="1233"/>
        <item x="884"/>
        <item x="686"/>
        <item x="271"/>
        <item x="221"/>
        <item x="280"/>
        <item x="795"/>
        <item x="262"/>
        <item x="742"/>
        <item x="835"/>
        <item x="356"/>
        <item x="1138"/>
        <item x="286"/>
        <item x="935"/>
        <item x="1139"/>
        <item x="1080"/>
        <item x="709"/>
        <item x="364"/>
        <item x="1185"/>
        <item x="809"/>
        <item x="344"/>
        <item x="765"/>
        <item x="912"/>
        <item x="158"/>
        <item x="396"/>
        <item x="677"/>
        <item x="1063"/>
        <item x="681"/>
        <item x="1163"/>
        <item x="154"/>
        <item x="121"/>
        <item x="75"/>
        <item x="472"/>
        <item x="745"/>
        <item x="1155"/>
        <item x="1047"/>
        <item x="1031"/>
        <item x="564"/>
        <item x="382"/>
        <item x="948"/>
        <item x="1214"/>
        <item x="483"/>
        <item x="1258"/>
        <item x="1071"/>
        <item x="596"/>
        <item x="777"/>
        <item x="943"/>
        <item x="657"/>
        <item x="31"/>
        <item x="336"/>
        <item x="458"/>
        <item x="1000"/>
        <item x="762"/>
        <item x="456"/>
        <item x="59"/>
        <item x="215"/>
        <item x="529"/>
        <item x="1154"/>
        <item x="235"/>
        <item x="1077"/>
        <item x="1033"/>
        <item x="942"/>
        <item x="848"/>
        <item x="404"/>
        <item x="334"/>
        <item x="1192"/>
        <item x="343"/>
        <item x="118"/>
        <item x="250"/>
        <item x="886"/>
        <item x="144"/>
        <item x="241"/>
        <item x="1044"/>
        <item x="213"/>
        <item x="1127"/>
        <item x="837"/>
        <item x="50"/>
        <item x="315"/>
        <item x="810"/>
        <item x="1273"/>
        <item x="510"/>
        <item x="515"/>
        <item x="863"/>
        <item x="127"/>
        <item x="826"/>
        <item x="497"/>
        <item x="545"/>
        <item x="1184"/>
        <item x="651"/>
        <item x="827"/>
        <item x="428"/>
        <item x="673"/>
        <item x="471"/>
        <item x="840"/>
        <item x="672"/>
        <item x="251"/>
        <item x="1262"/>
        <item x="21"/>
        <item x="959"/>
        <item x="54"/>
        <item x="822"/>
        <item x="1222"/>
        <item x="1150"/>
        <item x="803"/>
        <item x="953"/>
        <item x="919"/>
        <item x="484"/>
        <item x="335"/>
        <item x="1023"/>
        <item x="680"/>
        <item x="277"/>
        <item x="393"/>
        <item x="783"/>
        <item x="624"/>
        <item x="758"/>
        <item x="1116"/>
        <item x="414"/>
        <item x="1126"/>
        <item x="1021"/>
        <item x="288"/>
        <item x="1228"/>
        <item x="239"/>
        <item x="718"/>
        <item x="856"/>
        <item x="1220"/>
        <item x="436"/>
        <item x="608"/>
        <item x="976"/>
        <item x="834"/>
        <item x="1141"/>
        <item x="347"/>
        <item x="56"/>
        <item x="554"/>
        <item x="153"/>
        <item x="1058"/>
        <item x="577"/>
        <item x="197"/>
        <item x="575"/>
        <item x="1271"/>
        <item x="1079"/>
        <item x="1146"/>
        <item x="232"/>
        <item x="587"/>
        <item x="817"/>
        <item x="485"/>
        <item x="1204"/>
        <item x="881"/>
        <item x="231"/>
        <item x="618"/>
        <item x="116"/>
        <item x="1201"/>
        <item x="952"/>
        <item x="30"/>
        <item x="519"/>
        <item x="368"/>
        <item x="136"/>
        <item x="794"/>
        <item x="804"/>
        <item x="1178"/>
        <item x="1246"/>
        <item x="652"/>
        <item x="1059"/>
        <item x="126"/>
        <item x="460"/>
        <item x="876"/>
        <item x="480"/>
        <item x="1277"/>
        <item x="26"/>
        <item x="1051"/>
        <item x="522"/>
        <item x="362"/>
        <item x="726"/>
        <item x="470"/>
        <item x="1195"/>
        <item x="1279"/>
        <item x="905"/>
        <item x="1252"/>
        <item x="159"/>
        <item x="1016"/>
        <item x="754"/>
        <item x="1104"/>
        <item x="329"/>
        <item x="961"/>
        <item x="780"/>
        <item x="17"/>
        <item x="155"/>
        <item x="599"/>
        <item x="690"/>
        <item x="1028"/>
        <item x="1067"/>
        <item x="253"/>
        <item x="1263"/>
        <item x="110"/>
        <item x="224"/>
        <item x="1196"/>
        <item x="169"/>
        <item x="477"/>
        <item x="1160"/>
        <item x="967"/>
        <item x="722"/>
        <item x="229"/>
        <item x="82"/>
        <item x="90"/>
        <item x="864"/>
        <item x="150"/>
        <item x="816"/>
        <item x="1235"/>
        <item x="196"/>
        <item x="324"/>
        <item x="524"/>
        <item x="1295"/>
        <item x="1129"/>
        <item x="622"/>
        <item x="216"/>
        <item x="593"/>
        <item x="1175"/>
        <item x="963"/>
        <item x="543"/>
        <item x="370"/>
        <item x="204"/>
        <item x="482"/>
        <item x="1227"/>
        <item x="1247"/>
        <item x="611"/>
        <item x="761"/>
        <item x="369"/>
        <item x="1078"/>
        <item x="509"/>
        <item x="1206"/>
        <item x="166"/>
        <item x="170"/>
        <item x="140"/>
        <item x="661"/>
        <item x="1100"/>
        <item x="744"/>
        <item x="496"/>
        <item x="45"/>
        <item x="139"/>
        <item x="873"/>
        <item x="508"/>
        <item x="49"/>
        <item x="119"/>
        <item x="194"/>
        <item x="230"/>
        <item x="463"/>
        <item x="147"/>
        <item x="413"/>
        <item x="786"/>
        <item x="1034"/>
        <item x="911"/>
        <item x="521"/>
        <item x="1121"/>
        <item x="42"/>
        <item x="39"/>
        <item x="641"/>
        <item x="466"/>
        <item x="92"/>
        <item x="998"/>
        <item x="113"/>
        <item x="1057"/>
        <item x="223"/>
        <item x="518"/>
        <item x="868"/>
        <item x="800"/>
        <item x="1005"/>
        <item x="1173"/>
        <item x="157"/>
        <item x="367"/>
        <item x="1068"/>
        <item x="135"/>
        <item x="811"/>
        <item x="285"/>
        <item x="787"/>
        <item x="1035"/>
        <item x="946"/>
        <item x="968"/>
        <item x="346"/>
        <item x="1081"/>
        <item x="833"/>
        <item x="68"/>
        <item x="571"/>
        <item x="211"/>
        <item x="19"/>
        <item x="859"/>
        <item x="395"/>
        <item x="1250"/>
        <item x="572"/>
        <item x="502"/>
        <item x="29"/>
        <item x="1001"/>
        <item x="345"/>
        <item x="1183"/>
        <item x="692"/>
        <item x="94"/>
        <item x="720"/>
        <item x="768"/>
        <item x="813"/>
        <item x="179"/>
        <item x="296"/>
        <item x="926"/>
        <item x="1140"/>
        <item x="1037"/>
        <item x="1240"/>
        <item x="582"/>
        <item x="1212"/>
        <item x="1065"/>
        <item x="1164"/>
        <item x="676"/>
        <item x="877"/>
        <item x="95"/>
        <item x="129"/>
        <item x="607"/>
        <item x="1289"/>
        <item x="982"/>
        <item x="930"/>
        <item x="644"/>
        <item x="1194"/>
        <item x="839"/>
        <item x="1083"/>
        <item x="1122"/>
        <item x="562"/>
        <item x="476"/>
        <item x="1294"/>
        <item x="646"/>
        <item x="808"/>
        <item x="1217"/>
        <item x="220"/>
        <item x="628"/>
        <item x="888"/>
        <item x="433"/>
        <item x="778"/>
        <item x="1032"/>
        <item x="556"/>
        <item x="210"/>
        <item x="1095"/>
        <item x="387"/>
        <item x="898"/>
        <item x="1177"/>
        <item x="203"/>
        <item x="962"/>
        <item x="895"/>
        <item x="825"/>
        <item x="885"/>
        <item x="23"/>
        <item x="875"/>
        <item x="405"/>
        <item x="1012"/>
        <item x="1168"/>
        <item x="1009"/>
        <item x="1084"/>
        <item x="546"/>
        <item x="713"/>
        <item x="617"/>
        <item x="1018"/>
        <item x="291"/>
        <item x="276"/>
        <item x="921"/>
        <item x="789"/>
        <item x="1094"/>
        <item x="1198"/>
        <item x="1085"/>
        <item x="304"/>
        <item x="1296"/>
        <item x="858"/>
        <item x="738"/>
        <item x="148"/>
        <item x="209"/>
        <item x="909"/>
        <item x="198"/>
        <item x="1054"/>
        <item x="854"/>
        <item x="514"/>
        <item x="1159"/>
        <item x="5"/>
        <item x="300"/>
        <item x="401"/>
        <item x="938"/>
        <item x="923"/>
        <item x="974"/>
        <item x="1017"/>
        <item x="820"/>
        <item x="721"/>
        <item x="594"/>
        <item x="14"/>
        <item x="710"/>
        <item x="137"/>
        <item x="313"/>
        <item x="257"/>
        <item x="292"/>
        <item x="130"/>
        <item x="70"/>
        <item x="598"/>
        <item x="1253"/>
        <item x="551"/>
        <item x="684"/>
        <item x="442"/>
        <item x="202"/>
        <item x="256"/>
        <item x="446"/>
        <item x="1049"/>
        <item x="326"/>
        <item x="970"/>
        <item x="58"/>
        <item x="322"/>
        <item x="3"/>
        <item x="454"/>
        <item x="936"/>
        <item x="1029"/>
        <item x="419"/>
        <item x="984"/>
        <item x="185"/>
        <item x="663"/>
        <item x="1259"/>
        <item x="567"/>
        <item x="849"/>
        <item x="1291"/>
        <item x="222"/>
        <item x="711"/>
        <item x="1197"/>
        <item x="146"/>
        <item x="36"/>
        <item x="1102"/>
        <item x="860"/>
        <item x="831"/>
        <item x="34"/>
        <item x="101"/>
        <item x="206"/>
        <item x="853"/>
        <item x="1181"/>
        <item x="1053"/>
        <item x="314"/>
        <item x="132"/>
        <item x="1226"/>
        <item x="107"/>
        <item x="1218"/>
        <item x="632"/>
        <item x="559"/>
        <item x="333"/>
        <item x="547"/>
        <item x="462"/>
        <item x="714"/>
        <item x="743"/>
        <item x="805"/>
        <item x="319"/>
        <item x="348"/>
        <item x="57"/>
        <item x="740"/>
        <item x="1272"/>
        <item x="357"/>
        <item x="548"/>
        <item x="507"/>
        <item x="99"/>
        <item x="634"/>
        <item x="449"/>
        <item x="578"/>
        <item x="189"/>
        <item x="748"/>
        <item x="1187"/>
        <item x="852"/>
        <item x="254"/>
        <item x="638"/>
        <item x="264"/>
        <item x="915"/>
        <item x="478"/>
        <item x="707"/>
        <item x="947"/>
        <item x="775"/>
        <item x="47"/>
        <item x="208"/>
        <item x="1074"/>
        <item x="122"/>
        <item x="494"/>
        <item x="542"/>
        <item x="64"/>
        <item x="1107"/>
        <item x="438"/>
        <item x="1089"/>
        <item x="1236"/>
        <item x="1024"/>
        <item x="1167"/>
        <item x="4"/>
        <item x="114"/>
        <item x="941"/>
        <item x="1288"/>
        <item x="867"/>
        <item x="440"/>
        <item x="165"/>
        <item x="737"/>
        <item x="1298"/>
        <item x="619"/>
        <item x="263"/>
        <item x="1113"/>
        <item x="1043"/>
        <item x="214"/>
        <item x="65"/>
        <item x="278"/>
        <item x="1112"/>
        <item x="973"/>
        <item x="1255"/>
        <item x="501"/>
        <item x="913"/>
        <item x="236"/>
        <item x="988"/>
        <item x="1276"/>
        <item x="861"/>
        <item x="381"/>
        <item x="550"/>
        <item x="88"/>
        <item x="1119"/>
        <item x="527"/>
        <item x="747"/>
        <item x="51"/>
        <item x="74"/>
        <item x="448"/>
        <item x="844"/>
        <item x="1153"/>
        <item x="1223"/>
        <item x="1225"/>
        <item x="581"/>
        <item x="341"/>
        <item x="889"/>
        <item x="1115"/>
        <item x="7"/>
        <item x="266"/>
        <item x="273"/>
        <item x="981"/>
        <item x="293"/>
        <item x="240"/>
        <item x="1092"/>
        <item x="327"/>
        <item x="872"/>
        <item x="1144"/>
        <item x="985"/>
        <item x="104"/>
        <item x="586"/>
        <item x="615"/>
        <item x="318"/>
        <item x="779"/>
        <item x="474"/>
        <item x="574"/>
        <item x="940"/>
        <item x="900"/>
        <item x="724"/>
        <item x="1101"/>
        <item x="538"/>
        <item x="1230"/>
        <item x="309"/>
        <item x="429"/>
        <item x="1257"/>
        <item x="103"/>
        <item x="609"/>
        <item x="760"/>
        <item x="156"/>
        <item x="643"/>
        <item x="108"/>
        <item x="749"/>
        <item x="1133"/>
        <item x="349"/>
        <item x="1174"/>
        <item x="685"/>
        <item x="924"/>
        <item x="444"/>
        <item x="2"/>
        <item x="655"/>
        <item x="1286"/>
        <item x="451"/>
        <item x="207"/>
        <item x="664"/>
        <item x="807"/>
        <item x="1118"/>
        <item x="365"/>
        <item x="1091"/>
        <item x="1040"/>
        <item x="452"/>
        <item x="855"/>
        <item x="1"/>
        <item x="1264"/>
        <item x="450"/>
        <item x="18"/>
        <item x="612"/>
        <item x="656"/>
        <item x="821"/>
        <item x="590"/>
        <item x="60"/>
        <item x="689"/>
        <item x="1165"/>
        <item x="703"/>
        <item x="63"/>
        <item x="851"/>
        <item x="125"/>
        <item x="437"/>
        <item x="937"/>
        <item x="625"/>
        <item x="461"/>
        <item x="52"/>
        <item x="918"/>
        <item x="880"/>
        <item x="441"/>
        <item x="801"/>
        <item x="785"/>
        <item x="899"/>
        <item x="481"/>
        <item x="819"/>
        <item x="978"/>
        <item x="199"/>
        <item x="390"/>
        <item x="1114"/>
        <item x="1142"/>
        <item x="306"/>
        <item x="1213"/>
        <item x="1105"/>
        <item x="1251"/>
        <item x="86"/>
        <item x="606"/>
        <item x="363"/>
        <item x="1282"/>
        <item x="755"/>
        <item x="1050"/>
        <item x="929"/>
        <item x="425"/>
        <item x="124"/>
        <item x="1130"/>
        <item x="426"/>
        <item x="1224"/>
        <item x="580"/>
        <item x="1266"/>
        <item x="355"/>
        <item x="394"/>
        <item x="695"/>
        <item x="1096"/>
        <item x="1170"/>
        <item x="687"/>
        <item x="693"/>
        <item x="22"/>
        <item x="1027"/>
        <item x="85"/>
        <item x="81"/>
        <item x="383"/>
        <item x="138"/>
        <item x="576"/>
        <item x="397"/>
        <item x="181"/>
        <item x="563"/>
        <item x="473"/>
        <item x="540"/>
        <item x="706"/>
        <item x="1193"/>
        <item x="242"/>
        <item x="770"/>
        <item x="1147"/>
        <item x="1002"/>
        <item x="1025"/>
        <item x="1090"/>
        <item x="1042"/>
        <item x="654"/>
        <item x="38"/>
        <item x="558"/>
        <item x="1290"/>
        <item x="516"/>
        <item x="759"/>
        <item x="1148"/>
        <item x="667"/>
        <item x="621"/>
        <item x="161"/>
        <item x="111"/>
        <item x="847"/>
        <item x="252"/>
        <item x="700"/>
        <item x="1231"/>
        <item x="790"/>
        <item x="412"/>
        <item x="719"/>
        <item x="340"/>
        <item x="992"/>
        <item x="392"/>
        <item x="1143"/>
        <item x="815"/>
        <item x="1202"/>
        <item x="323"/>
        <item x="824"/>
        <item x="773"/>
        <item x="48"/>
        <item x="934"/>
        <item x="399"/>
        <item x="486"/>
        <item x="908"/>
        <item x="1297"/>
        <item x="814"/>
        <item x="61"/>
        <item x="1004"/>
        <item x="193"/>
        <item x="1180"/>
        <item x="1132"/>
        <item x="723"/>
        <item x="83"/>
        <item x="281"/>
        <item x="1287"/>
        <item x="1191"/>
        <item x="552"/>
        <item x="1060"/>
        <item x="143"/>
        <item x="532"/>
        <item x="87"/>
        <item x="772"/>
        <item x="91"/>
        <item x="411"/>
        <item x="893"/>
        <item x="691"/>
        <item x="226"/>
        <item x="100"/>
        <item x="903"/>
        <item x="1285"/>
        <item x="927"/>
        <item x="268"/>
        <item x="73"/>
        <item x="503"/>
        <item x="616"/>
        <item x="287"/>
        <item x="907"/>
        <item x="887"/>
        <item x="688"/>
        <item x="248"/>
        <item x="828"/>
        <item x="914"/>
        <item x="72"/>
        <item x="892"/>
        <item x="403"/>
        <item x="439"/>
        <item x="1110"/>
        <item x="290"/>
        <item x="843"/>
        <item x="498"/>
        <item x="1261"/>
        <item x="8"/>
        <item x="66"/>
        <item x="1076"/>
        <item x="282"/>
        <item t="default"/>
      </items>
    </pivotField>
    <pivotField compact="0" numFmtId="180" showAll="0"/>
    <pivotField compact="0" showAll="0"/>
    <pivotField axis="axisCol" compact="0" showAll="0">
      <items count="5">
        <item x="1"/>
        <item x="3"/>
        <item x="0"/>
        <item x="2"/>
        <item t="default"/>
      </items>
    </pivotField>
  </pivotFields>
  <rowFields count="1">
    <field x="4"/>
  </rowFields>
  <rowItems count="3"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Loan Amount" fld="6" baseField="0" baseItem="0"/>
  </dataFields>
  <formats count="1"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76" firstHeaderRow="1" firstDataRow="1" firstDataCol="2"/>
  <pivotFields count="13">
    <pivotField compact="0" showAll="0">
      <items count="1301"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1300">
        <item x="1017"/>
        <item x="185"/>
        <item x="567"/>
        <item x="1074"/>
        <item x="64"/>
        <item x="1236"/>
        <item x="114"/>
        <item x="941"/>
        <item x="737"/>
        <item x="501"/>
        <item x="341"/>
        <item x="609"/>
        <item x="978"/>
        <item x="425"/>
        <item x="563"/>
        <item x="1147"/>
        <item x="290"/>
        <item x="717"/>
        <item x="597"/>
        <item x="1243"/>
        <item x="987"/>
        <item x="520"/>
        <item x="321"/>
        <item x="1161"/>
        <item x="305"/>
        <item x="79"/>
        <item x="966"/>
        <item x="1086"/>
        <item x="635"/>
        <item x="1136"/>
        <item x="261"/>
        <item x="602"/>
        <item x="303"/>
        <item x="378"/>
        <item x="69"/>
        <item x="71"/>
        <item x="670"/>
        <item x="35"/>
        <item x="325"/>
        <item x="537"/>
        <item x="555"/>
        <item x="989"/>
        <item x="1135"/>
        <item x="600"/>
        <item x="409"/>
        <item x="957"/>
        <item x="922"/>
        <item x="1293"/>
        <item x="398"/>
        <item x="1232"/>
        <item x="996"/>
        <item x="1176"/>
        <item x="648"/>
        <item x="916"/>
        <item x="1237"/>
        <item x="352"/>
        <item x="525"/>
        <item x="623"/>
        <item x="469"/>
        <item x="32"/>
        <item x="585"/>
        <item x="712"/>
        <item x="457"/>
        <item x="1006"/>
        <item x="227"/>
        <item x="500"/>
        <item x="434"/>
        <item x="117"/>
        <item x="1233"/>
        <item x="221"/>
        <item x="262"/>
        <item x="356"/>
        <item x="1138"/>
        <item x="935"/>
        <item x="809"/>
        <item x="912"/>
        <item x="158"/>
        <item x="472"/>
        <item x="745"/>
        <item x="1214"/>
        <item x="483"/>
        <item x="943"/>
        <item x="31"/>
        <item x="458"/>
        <item x="762"/>
        <item x="529"/>
        <item x="1154"/>
        <item x="404"/>
        <item x="343"/>
        <item x="250"/>
        <item x="651"/>
        <item x="1262"/>
        <item x="959"/>
        <item x="822"/>
        <item x="919"/>
        <item x="1023"/>
        <item x="393"/>
        <item x="1116"/>
        <item x="1021"/>
        <item x="1228"/>
        <item x="575"/>
        <item x="587"/>
        <item x="817"/>
        <item x="485"/>
        <item x="231"/>
        <item x="116"/>
        <item x="136"/>
        <item x="794"/>
        <item x="1059"/>
        <item x="26"/>
        <item x="522"/>
        <item x="1279"/>
        <item x="754"/>
        <item x="329"/>
        <item x="961"/>
        <item x="17"/>
        <item x="155"/>
        <item x="1196"/>
        <item x="169"/>
        <item x="477"/>
        <item x="967"/>
        <item x="150"/>
        <item x="524"/>
        <item x="622"/>
        <item x="1175"/>
        <item x="963"/>
        <item x="543"/>
        <item x="369"/>
        <item x="45"/>
        <item x="119"/>
        <item x="194"/>
        <item x="463"/>
        <item x="147"/>
        <item x="1034"/>
        <item x="1121"/>
        <item x="1057"/>
        <item x="800"/>
        <item x="157"/>
        <item x="102"/>
        <item x="135"/>
        <item x="968"/>
        <item x="1081"/>
        <item x="68"/>
        <item x="211"/>
        <item x="395"/>
        <item x="1250"/>
        <item x="179"/>
        <item x="296"/>
        <item x="1140"/>
        <item x="1037"/>
        <item x="1240"/>
        <item x="582"/>
        <item x="1212"/>
        <item x="1065"/>
        <item x="676"/>
        <item x="877"/>
        <item x="95"/>
        <item x="129"/>
        <item x="607"/>
        <item x="1289"/>
        <item x="982"/>
        <item x="930"/>
        <item x="644"/>
        <item x="1194"/>
        <item x="839"/>
        <item x="1083"/>
        <item x="562"/>
        <item x="1294"/>
        <item x="646"/>
        <item x="808"/>
        <item x="1217"/>
        <item x="778"/>
        <item x="1032"/>
        <item x="556"/>
        <item x="210"/>
        <item x="1095"/>
        <item x="387"/>
        <item x="898"/>
        <item x="1177"/>
        <item x="203"/>
        <item x="962"/>
        <item x="895"/>
        <item x="885"/>
        <item x="23"/>
        <item x="875"/>
        <item x="405"/>
        <item x="1012"/>
        <item x="1084"/>
        <item x="1018"/>
        <item x="291"/>
        <item x="276"/>
        <item x="921"/>
        <item x="789"/>
        <item x="1094"/>
        <item x="1198"/>
        <item x="304"/>
        <item x="858"/>
        <item x="148"/>
        <item x="909"/>
        <item x="198"/>
        <item x="1054"/>
        <item x="854"/>
        <item x="514"/>
        <item x="5"/>
        <item x="300"/>
        <item x="401"/>
        <item x="938"/>
        <item x="974"/>
        <item x="820"/>
        <item x="721"/>
        <item x="14"/>
        <item x="710"/>
        <item x="137"/>
        <item x="292"/>
        <item x="130"/>
        <item x="70"/>
        <item x="1253"/>
        <item x="551"/>
        <item x="442"/>
        <item x="256"/>
        <item x="326"/>
        <item x="58"/>
        <item x="454"/>
        <item x="849"/>
        <item x="1197"/>
        <item x="146"/>
        <item x="36"/>
        <item x="860"/>
        <item x="34"/>
        <item x="101"/>
        <item x="206"/>
        <item x="853"/>
        <item x="1181"/>
        <item x="1053"/>
        <item x="314"/>
        <item x="559"/>
        <item x="319"/>
        <item x="57"/>
        <item x="740"/>
        <item x="1272"/>
        <item x="357"/>
        <item x="634"/>
        <item x="449"/>
        <item x="189"/>
        <item x="748"/>
        <item x="1187"/>
        <item x="254"/>
        <item x="264"/>
        <item x="707"/>
        <item x="947"/>
        <item x="775"/>
        <item x="47"/>
        <item x="208"/>
        <item x="122"/>
        <item x="494"/>
        <item x="542"/>
        <item x="1107"/>
        <item x="438"/>
        <item x="1024"/>
        <item x="1167"/>
        <item x="1288"/>
        <item x="440"/>
        <item x="263"/>
        <item x="1043"/>
        <item x="65"/>
        <item x="278"/>
        <item x="973"/>
        <item x="1255"/>
        <item x="913"/>
        <item x="236"/>
        <item x="988"/>
        <item x="1276"/>
        <item x="861"/>
        <item x="381"/>
        <item x="88"/>
        <item x="747"/>
        <item x="51"/>
        <item x="74"/>
        <item x="448"/>
        <item x="1153"/>
        <item x="1223"/>
        <item x="1225"/>
        <item x="7"/>
        <item x="266"/>
        <item x="273"/>
        <item x="981"/>
        <item x="240"/>
        <item x="327"/>
        <item x="985"/>
        <item x="586"/>
        <item x="615"/>
        <item x="318"/>
        <item x="779"/>
        <item x="474"/>
        <item x="724"/>
        <item x="1101"/>
        <item x="1230"/>
        <item x="429"/>
        <item x="1257"/>
        <item x="103"/>
        <item x="760"/>
        <item x="156"/>
        <item x="643"/>
        <item x="108"/>
        <item x="749"/>
        <item x="1174"/>
        <item x="685"/>
        <item x="924"/>
        <item x="444"/>
        <item x="2"/>
        <item x="451"/>
        <item x="207"/>
        <item x="664"/>
        <item x="1118"/>
        <item x="1040"/>
        <item x="855"/>
        <item x="450"/>
        <item x="18"/>
        <item x="656"/>
        <item x="590"/>
        <item x="60"/>
        <item x="1165"/>
        <item x="703"/>
        <item x="437"/>
        <item x="937"/>
        <item x="625"/>
        <item x="461"/>
        <item x="377"/>
        <item x="918"/>
        <item x="880"/>
        <item x="441"/>
        <item x="899"/>
        <item x="199"/>
        <item x="1114"/>
        <item x="1142"/>
        <item x="306"/>
        <item x="86"/>
        <item x="606"/>
        <item x="363"/>
        <item x="1282"/>
        <item x="755"/>
        <item x="1050"/>
        <item x="1130"/>
        <item x="1266"/>
        <item x="394"/>
        <item x="1170"/>
        <item x="687"/>
        <item x="693"/>
        <item x="1027"/>
        <item x="85"/>
        <item x="383"/>
        <item x="181"/>
        <item x="1193"/>
        <item x="242"/>
        <item x="770"/>
        <item x="1090"/>
        <item x="1042"/>
        <item x="1290"/>
        <item x="759"/>
        <item x="1148"/>
        <item x="667"/>
        <item x="161"/>
        <item x="847"/>
        <item x="252"/>
        <item x="1231"/>
        <item x="790"/>
        <item x="340"/>
        <item x="1143"/>
        <item x="815"/>
        <item x="1202"/>
        <item x="824"/>
        <item x="399"/>
        <item x="486"/>
        <item x="1297"/>
        <item x="814"/>
        <item x="61"/>
        <item x="193"/>
        <item x="1132"/>
        <item x="723"/>
        <item x="83"/>
        <item x="281"/>
        <item x="1287"/>
        <item x="1191"/>
        <item x="143"/>
        <item x="544"/>
        <item x="532"/>
        <item x="87"/>
        <item x="772"/>
        <item x="91"/>
        <item x="893"/>
        <item x="691"/>
        <item x="903"/>
        <item x="927"/>
        <item x="268"/>
        <item x="73"/>
        <item x="907"/>
        <item x="688"/>
        <item x="828"/>
        <item x="72"/>
        <item x="892"/>
        <item x="1110"/>
        <item x="1076"/>
        <item x="282"/>
        <item x="526"/>
        <item x="939"/>
        <item x="1099"/>
        <item x="1137"/>
        <item x="972"/>
        <item x="186"/>
        <item x="489"/>
        <item x="183"/>
        <item x="475"/>
        <item x="37"/>
        <item x="151"/>
        <item x="983"/>
        <item x="316"/>
        <item x="1125"/>
        <item x="1254"/>
        <item x="386"/>
        <item x="172"/>
        <item x="80"/>
        <item x="388"/>
        <item x="247"/>
        <item x="274"/>
        <item x="164"/>
        <item x="751"/>
        <item x="882"/>
        <item x="301"/>
        <item x="771"/>
        <item x="797"/>
        <item x="949"/>
        <item x="666"/>
        <item x="878"/>
        <item x="173"/>
        <item x="246"/>
        <item x="964"/>
        <item x="128"/>
        <item x="174"/>
        <item x="275"/>
        <item x="389"/>
        <item x="1260"/>
        <item x="784"/>
        <item x="823"/>
        <item x="184"/>
        <item x="1015"/>
        <item x="1069"/>
        <item x="366"/>
        <item x="244"/>
        <item x="1278"/>
        <item x="1281"/>
        <item x="499"/>
        <item x="43"/>
        <item x="98"/>
        <item x="13"/>
        <item x="640"/>
        <item x="871"/>
        <item x="1082"/>
        <item x="793"/>
        <item x="1134"/>
        <item x="955"/>
        <item x="906"/>
        <item x="1221"/>
        <item x="965"/>
        <item x="1151"/>
        <item x="176"/>
        <item x="12"/>
        <item x="874"/>
        <item x="1256"/>
        <item x="583"/>
        <item x="27"/>
        <item x="487"/>
        <item x="44"/>
        <item x="283"/>
        <item x="869"/>
        <item x="539"/>
        <item x="613"/>
        <item x="379"/>
        <item x="1269"/>
        <item x="134"/>
        <item x="46"/>
        <item x="177"/>
        <item x="750"/>
        <item x="697"/>
        <item x="647"/>
        <item x="788"/>
        <item x="1041"/>
        <item x="417"/>
        <item x="447"/>
        <item x="708"/>
        <item x="77"/>
        <item x="1215"/>
        <item x="595"/>
        <item x="310"/>
        <item x="910"/>
        <item x="1166"/>
        <item x="1265"/>
        <item x="1020"/>
        <item x="372"/>
        <item x="1003"/>
        <item x="662"/>
        <item x="228"/>
        <item x="614"/>
        <item x="418"/>
        <item x="331"/>
        <item x="468"/>
        <item x="541"/>
        <item x="152"/>
        <item x="1248"/>
        <item x="653"/>
        <item x="560"/>
        <item x="757"/>
        <item x="857"/>
        <item x="675"/>
        <item x="1038"/>
        <item x="453"/>
        <item x="308"/>
        <item x="245"/>
        <item x="897"/>
        <item x="990"/>
        <item x="133"/>
        <item x="517"/>
        <item x="141"/>
        <item x="1055"/>
        <item x="491"/>
        <item x="781"/>
        <item x="289"/>
        <item x="350"/>
        <item x="1156"/>
        <item x="763"/>
        <item x="62"/>
        <item x="798"/>
        <item x="830"/>
        <item x="645"/>
        <item x="354"/>
        <item x="258"/>
        <item x="311"/>
        <item x="495"/>
        <item x="696"/>
        <item x="620"/>
        <item x="958"/>
        <item x="960"/>
        <item x="9"/>
        <item x="217"/>
        <item x="1270"/>
        <item x="455"/>
        <item x="424"/>
        <item x="188"/>
        <item x="736"/>
        <item x="842"/>
        <item x="682"/>
        <item x="55"/>
        <item x="838"/>
        <item x="339"/>
        <item x="601"/>
        <item x="187"/>
        <item x="933"/>
        <item x="89"/>
        <item x="384"/>
        <item x="920"/>
        <item x="530"/>
        <item x="178"/>
        <item x="408"/>
        <item x="1208"/>
        <item x="465"/>
        <item x="862"/>
        <item x="445"/>
        <item x="931"/>
        <item x="776"/>
        <item x="299"/>
        <item x="1157"/>
        <item x="954"/>
        <item x="358"/>
        <item x="1014"/>
        <item x="951"/>
        <item x="391"/>
        <item x="579"/>
        <item x="218"/>
        <item x="1087"/>
        <item x="269"/>
        <item x="850"/>
        <item x="1072"/>
        <item x="33"/>
        <item x="535"/>
        <item x="799"/>
        <item x="832"/>
        <item x="1073"/>
        <item x="746"/>
        <item x="371"/>
        <item x="1011"/>
        <item x="767"/>
        <item x="994"/>
        <item x="109"/>
        <item x="702"/>
        <item x="626"/>
        <item x="294"/>
        <item x="846"/>
        <item x="980"/>
        <item x="1131"/>
        <item x="792"/>
        <item x="1244"/>
        <item x="901"/>
        <item x="422"/>
        <item x="1039"/>
        <item x="1169"/>
        <item x="603"/>
        <item x="865"/>
        <item x="679"/>
        <item x="904"/>
        <item x="328"/>
        <item x="361"/>
        <item x="1207"/>
        <item x="836"/>
        <item x="105"/>
        <item x="1268"/>
        <item x="260"/>
        <item x="265"/>
        <item x="1249"/>
        <item x="504"/>
        <item x="201"/>
        <item x="570"/>
        <item x="945"/>
        <item x="993"/>
        <item x="505"/>
        <item x="678"/>
        <item x="716"/>
        <item x="41"/>
        <item x="1048"/>
        <item x="431"/>
        <item x="1209"/>
        <item x="642"/>
        <item x="376"/>
        <item x="93"/>
        <item x="1274"/>
        <item x="1205"/>
        <item x="24"/>
        <item x="732"/>
        <item x="725"/>
        <item x="375"/>
        <item x="928"/>
        <item x="1149"/>
        <item x="528"/>
        <item x="1188"/>
        <item x="1162"/>
        <item x="493"/>
        <item x="1280"/>
        <item x="669"/>
        <item x="944"/>
        <item x="115"/>
        <item x="894"/>
        <item x="237"/>
        <item x="735"/>
        <item x="234"/>
        <item x="523"/>
        <item x="884"/>
        <item x="686"/>
        <item x="271"/>
        <item x="280"/>
        <item x="795"/>
        <item x="742"/>
        <item x="835"/>
        <item x="286"/>
        <item x="1139"/>
        <item x="1080"/>
        <item x="709"/>
        <item x="364"/>
        <item x="1185"/>
        <item x="344"/>
        <item x="765"/>
        <item x="396"/>
        <item x="677"/>
        <item x="1063"/>
        <item x="681"/>
        <item x="1163"/>
        <item x="154"/>
        <item x="121"/>
        <item x="75"/>
        <item x="1155"/>
        <item x="1047"/>
        <item x="1031"/>
        <item x="564"/>
        <item x="382"/>
        <item x="948"/>
        <item x="1258"/>
        <item x="1071"/>
        <item x="596"/>
        <item x="777"/>
        <item x="657"/>
        <item x="336"/>
        <item x="1000"/>
        <item x="456"/>
        <item x="59"/>
        <item x="215"/>
        <item x="235"/>
        <item x="1077"/>
        <item x="1033"/>
        <item x="942"/>
        <item x="848"/>
        <item x="334"/>
        <item x="1192"/>
        <item x="118"/>
        <item x="886"/>
        <item x="144"/>
        <item x="241"/>
        <item x="1044"/>
        <item x="213"/>
        <item x="1127"/>
        <item x="837"/>
        <item x="50"/>
        <item x="315"/>
        <item x="810"/>
        <item x="1273"/>
        <item x="510"/>
        <item x="515"/>
        <item x="863"/>
        <item x="127"/>
        <item x="826"/>
        <item x="497"/>
        <item x="467"/>
        <item x="545"/>
        <item x="1184"/>
        <item x="827"/>
        <item x="428"/>
        <item x="673"/>
        <item x="471"/>
        <item x="840"/>
        <item x="672"/>
        <item x="251"/>
        <item x="21"/>
        <item x="54"/>
        <item x="1222"/>
        <item x="1150"/>
        <item x="803"/>
        <item x="953"/>
        <item x="484"/>
        <item x="335"/>
        <item x="680"/>
        <item x="277"/>
        <item x="783"/>
        <item x="624"/>
        <item x="758"/>
        <item x="414"/>
        <item x="1126"/>
        <item x="288"/>
        <item x="239"/>
        <item x="718"/>
        <item x="856"/>
        <item x="1220"/>
        <item x="436"/>
        <item x="608"/>
        <item x="976"/>
        <item x="834"/>
        <item x="1141"/>
        <item x="347"/>
        <item x="56"/>
        <item x="554"/>
        <item x="153"/>
        <item x="1058"/>
        <item x="577"/>
        <item x="197"/>
        <item x="1271"/>
        <item x="1079"/>
        <item x="1146"/>
        <item x="232"/>
        <item x="1204"/>
        <item x="881"/>
        <item x="618"/>
        <item x="1201"/>
        <item x="952"/>
        <item x="30"/>
        <item x="519"/>
        <item x="368"/>
        <item x="804"/>
        <item x="1178"/>
        <item x="1246"/>
        <item x="652"/>
        <item x="126"/>
        <item x="460"/>
        <item x="876"/>
        <item x="480"/>
        <item x="1277"/>
        <item x="534"/>
        <item x="1051"/>
        <item x="362"/>
        <item x="726"/>
        <item x="470"/>
        <item x="1195"/>
        <item x="905"/>
        <item x="1252"/>
        <item x="159"/>
        <item x="1016"/>
        <item x="1104"/>
        <item x="780"/>
        <item x="599"/>
        <item x="690"/>
        <item x="1028"/>
        <item x="1067"/>
        <item x="253"/>
        <item x="1263"/>
        <item x="110"/>
        <item x="224"/>
        <item x="1160"/>
        <item x="722"/>
        <item x="229"/>
        <item x="82"/>
        <item x="90"/>
        <item x="864"/>
        <item x="816"/>
        <item x="1235"/>
        <item x="196"/>
        <item x="324"/>
        <item x="1295"/>
        <item x="1129"/>
        <item x="216"/>
        <item x="593"/>
        <item x="370"/>
        <item x="204"/>
        <item x="482"/>
        <item x="1227"/>
        <item x="1247"/>
        <item x="611"/>
        <item x="761"/>
        <item x="1078"/>
        <item x="509"/>
        <item x="1206"/>
        <item x="166"/>
        <item x="170"/>
        <item x="140"/>
        <item x="661"/>
        <item x="1100"/>
        <item x="744"/>
        <item x="496"/>
        <item x="139"/>
        <item x="873"/>
        <item x="508"/>
        <item x="49"/>
        <item x="230"/>
        <item x="413"/>
        <item x="786"/>
        <item x="911"/>
        <item x="521"/>
        <item x="42"/>
        <item x="39"/>
        <item x="641"/>
        <item x="466"/>
        <item x="92"/>
        <item x="998"/>
        <item x="113"/>
        <item x="223"/>
        <item x="518"/>
        <item x="868"/>
        <item x="1005"/>
        <item x="1173"/>
        <item x="367"/>
        <item x="1068"/>
        <item x="811"/>
        <item x="285"/>
        <item x="787"/>
        <item x="1035"/>
        <item x="946"/>
        <item x="346"/>
        <item x="833"/>
        <item x="571"/>
        <item x="19"/>
        <item x="859"/>
        <item x="572"/>
        <item x="502"/>
        <item x="29"/>
        <item x="1001"/>
        <item x="345"/>
        <item x="1183"/>
        <item x="692"/>
        <item x="94"/>
        <item x="720"/>
        <item x="768"/>
        <item x="813"/>
        <item x="926"/>
        <item x="1164"/>
        <item x="1122"/>
        <item x="476"/>
        <item x="220"/>
        <item x="628"/>
        <item x="888"/>
        <item x="433"/>
        <item x="825"/>
        <item x="592"/>
        <item x="1168"/>
        <item x="1009"/>
        <item x="546"/>
        <item x="713"/>
        <item x="617"/>
        <item x="1085"/>
        <item x="1296"/>
        <item x="738"/>
        <item x="209"/>
        <item x="1159"/>
        <item x="923"/>
        <item x="594"/>
        <item x="313"/>
        <item x="257"/>
        <item x="598"/>
        <item x="684"/>
        <item x="202"/>
        <item x="446"/>
        <item x="1049"/>
        <item x="970"/>
        <item x="322"/>
        <item x="3"/>
        <item x="936"/>
        <item x="1029"/>
        <item x="419"/>
        <item x="984"/>
        <item x="663"/>
        <item x="1259"/>
        <item x="1291"/>
        <item x="222"/>
        <item x="711"/>
        <item x="1102"/>
        <item x="831"/>
        <item x="132"/>
        <item x="1226"/>
        <item x="107"/>
        <item x="1218"/>
        <item x="632"/>
        <item x="333"/>
        <item x="547"/>
        <item x="462"/>
        <item x="714"/>
        <item x="743"/>
        <item x="805"/>
        <item x="348"/>
        <item x="548"/>
        <item x="507"/>
        <item x="99"/>
        <item x="578"/>
        <item x="852"/>
        <item x="638"/>
        <item x="915"/>
        <item x="478"/>
        <item x="1089"/>
        <item x="4"/>
        <item x="867"/>
        <item x="165"/>
        <item x="1298"/>
        <item x="619"/>
        <item x="1113"/>
        <item x="214"/>
        <item x="1112"/>
        <item x="550"/>
        <item x="1119"/>
        <item x="527"/>
        <item x="844"/>
        <item x="581"/>
        <item x="889"/>
        <item x="1115"/>
        <item x="293"/>
        <item x="1092"/>
        <item x="872"/>
        <item x="1144"/>
        <item x="104"/>
        <item x="574"/>
        <item x="940"/>
        <item x="900"/>
        <item x="538"/>
        <item x="309"/>
        <item x="1133"/>
        <item x="349"/>
        <item x="655"/>
        <item x="1286"/>
        <item x="807"/>
        <item x="365"/>
        <item x="1091"/>
        <item x="452"/>
        <item x="1"/>
        <item x="1264"/>
        <item x="612"/>
        <item x="821"/>
        <item x="689"/>
        <item x="63"/>
        <item x="851"/>
        <item x="125"/>
        <item x="52"/>
        <item x="801"/>
        <item x="785"/>
        <item x="481"/>
        <item x="819"/>
        <item x="390"/>
        <item x="1213"/>
        <item x="1105"/>
        <item x="1251"/>
        <item x="929"/>
        <item x="124"/>
        <item x="426"/>
        <item x="1224"/>
        <item x="580"/>
        <item x="355"/>
        <item x="695"/>
        <item x="1096"/>
        <item x="22"/>
        <item x="81"/>
        <item x="138"/>
        <item x="576"/>
        <item x="397"/>
        <item x="473"/>
        <item x="540"/>
        <item x="706"/>
        <item x="1002"/>
        <item x="1025"/>
        <item x="654"/>
        <item x="38"/>
        <item x="558"/>
        <item x="516"/>
        <item x="925"/>
        <item x="621"/>
        <item x="111"/>
        <item x="700"/>
        <item x="412"/>
        <item x="719"/>
        <item x="992"/>
        <item x="392"/>
        <item x="323"/>
        <item x="773"/>
        <item x="48"/>
        <item x="934"/>
        <item x="908"/>
        <item x="1004"/>
        <item x="1180"/>
        <item x="552"/>
        <item x="1060"/>
        <item x="411"/>
        <item x="226"/>
        <item x="100"/>
        <item x="1285"/>
        <item x="503"/>
        <item x="616"/>
        <item x="287"/>
        <item x="887"/>
        <item x="248"/>
        <item x="914"/>
        <item x="403"/>
        <item x="439"/>
        <item x="843"/>
        <item x="498"/>
        <item x="1261"/>
        <item x="8"/>
        <item x="66"/>
        <item x="421"/>
        <item x="145"/>
        <item x="699"/>
        <item x="668"/>
        <item x="1245"/>
        <item x="1242"/>
        <item x="28"/>
        <item x="407"/>
        <item x="1008"/>
        <item x="1097"/>
        <item x="932"/>
        <item x="1186"/>
        <item x="512"/>
        <item x="890"/>
        <item x="506"/>
        <item x="212"/>
        <item x="1111"/>
        <item x="219"/>
        <item x="694"/>
        <item x="255"/>
        <item x="566"/>
        <item x="568"/>
        <item x="1066"/>
        <item x="225"/>
        <item x="956"/>
        <item x="841"/>
        <item x="423"/>
        <item x="195"/>
        <item x="10"/>
        <item x="200"/>
        <item x="730"/>
        <item x="373"/>
        <item x="6"/>
        <item x="270"/>
        <item x="1120"/>
        <item x="1117"/>
        <item x="764"/>
        <item x="610"/>
        <item x="385"/>
        <item x="536"/>
        <item x="1284"/>
        <item x="338"/>
        <item x="353"/>
        <item x="658"/>
        <item x="1199"/>
        <item x="1292"/>
        <item x="561"/>
        <item x="891"/>
        <item x="76"/>
        <item x="123"/>
        <item x="342"/>
        <item x="674"/>
        <item x="402"/>
        <item x="416"/>
        <item x="190"/>
        <item x="752"/>
        <item x="205"/>
        <item x="756"/>
        <item x="1093"/>
        <item x="302"/>
        <item x="359"/>
        <item x="557"/>
        <item x="1182"/>
        <item x="406"/>
        <item x="106"/>
        <item x="175"/>
        <item x="812"/>
        <item x="774"/>
        <item x="1061"/>
        <item x="171"/>
        <item x="1036"/>
        <item x="1013"/>
        <item x="769"/>
        <item x="380"/>
        <item x="1098"/>
        <item x="802"/>
        <item x="249"/>
        <item x="701"/>
        <item x="1106"/>
        <item x="160"/>
        <item x="297"/>
        <item x="415"/>
        <item x="1152"/>
        <item x="233"/>
        <item x="604"/>
        <item x="569"/>
        <item x="513"/>
        <item x="1283"/>
        <item x="637"/>
        <item x="731"/>
        <item x="20"/>
        <item x="782"/>
        <item x="753"/>
        <item x="1103"/>
        <item x="997"/>
        <item x="142"/>
        <item x="511"/>
        <item x="739"/>
        <item x="671"/>
        <item x="1267"/>
        <item x="259"/>
        <item x="971"/>
        <item x="729"/>
        <item x="25"/>
        <item x="588"/>
        <item x="192"/>
        <item x="629"/>
        <item x="432"/>
        <item x="1108"/>
        <item x="120"/>
        <item x="589"/>
        <item x="1019"/>
        <item x="549"/>
        <item x="163"/>
        <item x="845"/>
        <item x="659"/>
        <item x="1022"/>
        <item x="660"/>
        <item x="870"/>
        <item x="1219"/>
        <item x="1241"/>
        <item x="11"/>
        <item x="400"/>
        <item x="272"/>
        <item x="1190"/>
        <item x="565"/>
        <item x="1239"/>
        <item x="1045"/>
        <item x="649"/>
        <item x="829"/>
        <item x="727"/>
        <item x="630"/>
        <item x="1203"/>
        <item x="1128"/>
        <item x="15"/>
        <item x="1070"/>
        <item x="180"/>
        <item x="1189"/>
        <item x="492"/>
        <item x="1010"/>
        <item x="67"/>
        <item x="162"/>
        <item x="182"/>
        <item x="683"/>
        <item x="238"/>
        <item x="167"/>
        <item x="766"/>
        <item x="969"/>
        <item x="0"/>
        <item x="1007"/>
        <item x="902"/>
        <item x="1064"/>
        <item x="1109"/>
        <item x="698"/>
        <item x="1052"/>
        <item x="1030"/>
        <item x="866"/>
        <item x="636"/>
        <item x="284"/>
        <item x="420"/>
        <item x="631"/>
        <item x="986"/>
        <item x="1145"/>
        <item x="131"/>
        <item x="975"/>
        <item x="633"/>
        <item x="979"/>
        <item x="443"/>
        <item x="430"/>
        <item x="295"/>
        <item x="374"/>
        <item x="1171"/>
        <item x="1179"/>
        <item x="360"/>
        <item x="791"/>
        <item x="1075"/>
        <item x="715"/>
        <item x="16"/>
        <item x="1056"/>
        <item x="84"/>
        <item x="991"/>
        <item x="191"/>
        <item x="650"/>
        <item x="464"/>
        <item x="112"/>
        <item x="330"/>
        <item x="78"/>
        <item x="1088"/>
        <item x="1124"/>
        <item x="1200"/>
        <item x="1172"/>
        <item x="351"/>
        <item x="1238"/>
        <item x="818"/>
        <item x="243"/>
        <item x="488"/>
        <item x="896"/>
        <item x="97"/>
        <item x="53"/>
        <item x="531"/>
        <item x="337"/>
        <item x="995"/>
        <item x="1210"/>
        <item x="96"/>
        <item x="999"/>
        <item x="639"/>
        <item x="332"/>
        <item x="479"/>
        <item x="1229"/>
        <item x="977"/>
        <item x="1062"/>
        <item x="1275"/>
        <item x="1123"/>
        <item x="584"/>
        <item x="1234"/>
        <item x="149"/>
        <item x="1211"/>
        <item x="40"/>
        <item x="490"/>
        <item x="410"/>
        <item x="704"/>
        <item x="317"/>
        <item x="1158"/>
        <item x="435"/>
        <item x="312"/>
        <item x="950"/>
        <item x="705"/>
        <item x="665"/>
        <item x="427"/>
        <item x="298"/>
        <item x="733"/>
        <item x="883"/>
        <item x="279"/>
        <item x="320"/>
        <item x="806"/>
        <item x="879"/>
        <item x="728"/>
        <item x="459"/>
        <item x="627"/>
        <item x="1026"/>
        <item x="605"/>
        <item x="553"/>
        <item x="591"/>
        <item x="267"/>
        <item x="796"/>
        <item x="734"/>
        <item x="573"/>
        <item x="1216"/>
        <item x="917"/>
        <item x="168"/>
        <item x="533"/>
        <item x="307"/>
        <item x="1046"/>
        <item x="741"/>
        <item t="default"/>
      </items>
    </pivotField>
    <pivotField axis="axisRow" compact="0" defaultSubtotal="0" showAll="0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12"/>
    <field x="10"/>
  </rowFields>
  <rowItems count="7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FIXED_LOAN_AMOUN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workbookViewId="0">
      <selection activeCell="B12" sqref="B12"/>
    </sheetView>
  </sheetViews>
  <sheetFormatPr defaultColWidth="10" defaultRowHeight="14.4" outlineLevelCol="7"/>
  <cols>
    <col min="1" max="1" width="14.4444444444444" customWidth="1"/>
    <col min="2" max="2" width="20.8888888888889" customWidth="1"/>
    <col min="3" max="3" width="8.55555555555556" customWidth="1"/>
    <col min="4" max="4" width="23.6666666666667" customWidth="1"/>
    <col min="6" max="6" width="11.6666666666667" customWidth="1"/>
    <col min="8" max="8" width="23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478</v>
      </c>
      <c r="B2" t="s">
        <v>8</v>
      </c>
      <c r="C2" t="s">
        <v>9</v>
      </c>
      <c r="D2" t="s">
        <v>10</v>
      </c>
      <c r="E2" t="s">
        <v>11</v>
      </c>
      <c r="F2">
        <v>4</v>
      </c>
      <c r="G2" t="s">
        <v>12</v>
      </c>
      <c r="H2" t="s">
        <v>13</v>
      </c>
    </row>
    <row r="3" spans="1:8">
      <c r="A3">
        <v>479</v>
      </c>
      <c r="B3" t="s">
        <v>14</v>
      </c>
      <c r="C3" t="s">
        <v>9</v>
      </c>
      <c r="D3" t="s">
        <v>15</v>
      </c>
      <c r="E3" t="s">
        <v>16</v>
      </c>
      <c r="F3">
        <v>2</v>
      </c>
      <c r="G3" t="s">
        <v>17</v>
      </c>
      <c r="H3" t="s">
        <v>18</v>
      </c>
    </row>
    <row r="4" spans="1:8">
      <c r="A4">
        <v>480</v>
      </c>
      <c r="B4" t="s">
        <v>19</v>
      </c>
      <c r="C4" t="s">
        <v>20</v>
      </c>
      <c r="D4" t="s">
        <v>21</v>
      </c>
      <c r="E4" t="s">
        <v>16</v>
      </c>
      <c r="F4">
        <v>2</v>
      </c>
      <c r="G4" t="s">
        <v>12</v>
      </c>
      <c r="H4" t="s">
        <v>22</v>
      </c>
    </row>
    <row r="5" spans="1:8">
      <c r="A5">
        <v>481</v>
      </c>
      <c r="B5" t="s">
        <v>23</v>
      </c>
      <c r="C5" t="s">
        <v>9</v>
      </c>
      <c r="D5" t="s">
        <v>24</v>
      </c>
      <c r="E5" t="s">
        <v>16</v>
      </c>
      <c r="F5">
        <v>2</v>
      </c>
      <c r="G5" t="s">
        <v>25</v>
      </c>
      <c r="H5" t="s">
        <v>26</v>
      </c>
    </row>
    <row r="6" spans="1:8">
      <c r="A6">
        <v>482</v>
      </c>
      <c r="B6" t="s">
        <v>27</v>
      </c>
      <c r="C6" t="s">
        <v>20</v>
      </c>
      <c r="D6" t="s">
        <v>28</v>
      </c>
      <c r="E6" t="s">
        <v>29</v>
      </c>
      <c r="F6">
        <v>6</v>
      </c>
      <c r="G6" t="s">
        <v>12</v>
      </c>
      <c r="H6" t="s">
        <v>30</v>
      </c>
    </row>
    <row r="7" spans="1:8">
      <c r="A7">
        <v>483</v>
      </c>
      <c r="B7" t="s">
        <v>31</v>
      </c>
      <c r="C7" t="s">
        <v>9</v>
      </c>
      <c r="D7" t="s">
        <v>32</v>
      </c>
      <c r="E7" t="s">
        <v>33</v>
      </c>
      <c r="F7">
        <v>7</v>
      </c>
      <c r="G7" t="s">
        <v>12</v>
      </c>
      <c r="H7" t="s">
        <v>34</v>
      </c>
    </row>
    <row r="8" spans="1:8">
      <c r="A8">
        <v>484</v>
      </c>
      <c r="B8" t="s">
        <v>35</v>
      </c>
      <c r="C8" t="s">
        <v>9</v>
      </c>
      <c r="D8" t="s">
        <v>36</v>
      </c>
      <c r="E8" t="s">
        <v>16</v>
      </c>
      <c r="F8">
        <v>1</v>
      </c>
      <c r="G8" t="s">
        <v>25</v>
      </c>
      <c r="H8" t="s">
        <v>37</v>
      </c>
    </row>
    <row r="9" spans="1:8">
      <c r="A9">
        <v>485</v>
      </c>
      <c r="B9" t="s">
        <v>38</v>
      </c>
      <c r="C9" t="s">
        <v>20</v>
      </c>
      <c r="D9" t="s">
        <v>39</v>
      </c>
      <c r="E9" t="s">
        <v>16</v>
      </c>
      <c r="F9">
        <v>2</v>
      </c>
      <c r="G9" t="s">
        <v>12</v>
      </c>
      <c r="H9" t="s">
        <v>40</v>
      </c>
    </row>
    <row r="10" spans="1:8">
      <c r="A10">
        <v>486</v>
      </c>
      <c r="B10" t="s">
        <v>41</v>
      </c>
      <c r="C10" t="s">
        <v>20</v>
      </c>
      <c r="D10" t="s">
        <v>42</v>
      </c>
      <c r="E10" t="s">
        <v>43</v>
      </c>
      <c r="F10">
        <v>3</v>
      </c>
      <c r="G10" t="s">
        <v>12</v>
      </c>
      <c r="H10" t="s">
        <v>44</v>
      </c>
    </row>
    <row r="11" spans="1:8">
      <c r="A11">
        <v>487</v>
      </c>
      <c r="B11" t="s">
        <v>45</v>
      </c>
      <c r="C11" t="s">
        <v>9</v>
      </c>
      <c r="D11" t="s">
        <v>46</v>
      </c>
      <c r="E11" t="s">
        <v>11</v>
      </c>
      <c r="F11">
        <v>4</v>
      </c>
      <c r="G11" t="s">
        <v>25</v>
      </c>
      <c r="H11" t="s">
        <v>47</v>
      </c>
    </row>
    <row r="12" spans="1:8">
      <c r="A12">
        <v>488</v>
      </c>
      <c r="B12" t="s">
        <v>48</v>
      </c>
      <c r="C12" t="s">
        <v>9</v>
      </c>
      <c r="D12" t="s">
        <v>49</v>
      </c>
      <c r="E12" t="s">
        <v>11</v>
      </c>
      <c r="F12">
        <v>4</v>
      </c>
      <c r="G12" t="s">
        <v>12</v>
      </c>
      <c r="H12" t="s">
        <v>50</v>
      </c>
    </row>
    <row r="13" spans="1:8">
      <c r="A13">
        <v>489</v>
      </c>
      <c r="B13" t="s">
        <v>51</v>
      </c>
      <c r="C13" t="s">
        <v>20</v>
      </c>
      <c r="D13" t="s">
        <v>52</v>
      </c>
      <c r="E13" t="s">
        <v>53</v>
      </c>
      <c r="F13">
        <v>5</v>
      </c>
      <c r="G13" t="s">
        <v>17</v>
      </c>
      <c r="H13" t="s">
        <v>54</v>
      </c>
    </row>
    <row r="14" spans="1:8">
      <c r="A14">
        <v>490</v>
      </c>
      <c r="B14" t="s">
        <v>55</v>
      </c>
      <c r="C14" t="s">
        <v>9</v>
      </c>
      <c r="D14" t="s">
        <v>56</v>
      </c>
      <c r="E14" t="s">
        <v>43</v>
      </c>
      <c r="F14">
        <v>3</v>
      </c>
      <c r="G14" t="s">
        <v>17</v>
      </c>
      <c r="H14" t="s">
        <v>57</v>
      </c>
    </row>
    <row r="15" spans="1:8">
      <c r="A15">
        <v>491</v>
      </c>
      <c r="B15" t="s">
        <v>58</v>
      </c>
      <c r="C15" t="s">
        <v>20</v>
      </c>
      <c r="D15" t="s">
        <v>59</v>
      </c>
      <c r="E15" t="s">
        <v>43</v>
      </c>
      <c r="F15">
        <v>3</v>
      </c>
      <c r="G15" t="s">
        <v>12</v>
      </c>
      <c r="H15" t="s">
        <v>60</v>
      </c>
    </row>
    <row r="16" spans="1:8">
      <c r="A16">
        <v>492</v>
      </c>
      <c r="B16" t="s">
        <v>61</v>
      </c>
      <c r="C16" t="s">
        <v>20</v>
      </c>
      <c r="D16" t="s">
        <v>62</v>
      </c>
      <c r="E16" t="s">
        <v>11</v>
      </c>
      <c r="F16">
        <v>4</v>
      </c>
      <c r="G16" t="s">
        <v>12</v>
      </c>
      <c r="H16" t="s">
        <v>63</v>
      </c>
    </row>
    <row r="17" spans="1:8">
      <c r="A17">
        <v>493</v>
      </c>
      <c r="B17" t="s">
        <v>64</v>
      </c>
      <c r="C17" t="s">
        <v>20</v>
      </c>
      <c r="D17" t="s">
        <v>65</v>
      </c>
      <c r="E17" t="s">
        <v>16</v>
      </c>
      <c r="F17">
        <v>2</v>
      </c>
      <c r="G17" t="s">
        <v>17</v>
      </c>
      <c r="H17" t="s">
        <v>66</v>
      </c>
    </row>
    <row r="18" spans="1:8">
      <c r="A18">
        <v>494</v>
      </c>
      <c r="B18" t="s">
        <v>67</v>
      </c>
      <c r="C18" t="s">
        <v>20</v>
      </c>
      <c r="D18" t="s">
        <v>68</v>
      </c>
      <c r="E18" t="s">
        <v>11</v>
      </c>
      <c r="F18">
        <v>4</v>
      </c>
      <c r="G18" t="s">
        <v>17</v>
      </c>
      <c r="H18" t="s">
        <v>69</v>
      </c>
    </row>
    <row r="19" spans="1:8">
      <c r="A19">
        <v>495</v>
      </c>
      <c r="B19" t="s">
        <v>61</v>
      </c>
      <c r="C19" t="s">
        <v>20</v>
      </c>
      <c r="D19" t="s">
        <v>70</v>
      </c>
      <c r="E19" t="s">
        <v>11</v>
      </c>
      <c r="F19">
        <v>4</v>
      </c>
      <c r="G19" t="s">
        <v>12</v>
      </c>
      <c r="H19" t="s">
        <v>71</v>
      </c>
    </row>
    <row r="20" spans="1:8">
      <c r="A20">
        <v>496</v>
      </c>
      <c r="B20" t="s">
        <v>72</v>
      </c>
      <c r="C20" t="s">
        <v>9</v>
      </c>
      <c r="D20" t="s">
        <v>73</v>
      </c>
      <c r="E20" t="s">
        <v>43</v>
      </c>
      <c r="F20">
        <v>3</v>
      </c>
      <c r="G20" t="s">
        <v>25</v>
      </c>
      <c r="H20" t="s">
        <v>74</v>
      </c>
    </row>
    <row r="21" spans="1:8">
      <c r="A21">
        <v>497</v>
      </c>
      <c r="B21" t="s">
        <v>75</v>
      </c>
      <c r="C21" t="s">
        <v>9</v>
      </c>
      <c r="D21" t="s">
        <v>76</v>
      </c>
      <c r="E21" t="s">
        <v>29</v>
      </c>
      <c r="F21">
        <v>6</v>
      </c>
      <c r="G21" t="s">
        <v>12</v>
      </c>
      <c r="H21" t="s">
        <v>77</v>
      </c>
    </row>
    <row r="22" spans="1:8">
      <c r="A22">
        <v>498</v>
      </c>
      <c r="B22" t="s">
        <v>78</v>
      </c>
      <c r="C22" t="s">
        <v>20</v>
      </c>
      <c r="D22" t="s">
        <v>79</v>
      </c>
      <c r="E22" t="s">
        <v>16</v>
      </c>
      <c r="F22">
        <v>2</v>
      </c>
      <c r="G22" t="s">
        <v>17</v>
      </c>
      <c r="H22" t="s">
        <v>80</v>
      </c>
    </row>
    <row r="23" spans="1:8">
      <c r="A23">
        <v>499</v>
      </c>
      <c r="B23" t="s">
        <v>81</v>
      </c>
      <c r="C23" t="s">
        <v>9</v>
      </c>
      <c r="D23" t="s">
        <v>82</v>
      </c>
      <c r="E23" t="s">
        <v>29</v>
      </c>
      <c r="F23">
        <v>6</v>
      </c>
      <c r="G23" t="s">
        <v>17</v>
      </c>
      <c r="H23" t="s">
        <v>83</v>
      </c>
    </row>
    <row r="24" spans="1:8">
      <c r="A24">
        <v>500</v>
      </c>
      <c r="B24" t="s">
        <v>84</v>
      </c>
      <c r="C24" t="s">
        <v>9</v>
      </c>
      <c r="D24" t="s">
        <v>85</v>
      </c>
      <c r="E24" t="s">
        <v>53</v>
      </c>
      <c r="F24">
        <v>5</v>
      </c>
      <c r="G24" t="s">
        <v>25</v>
      </c>
      <c r="H24" t="s">
        <v>86</v>
      </c>
    </row>
    <row r="25" spans="1:8">
      <c r="A25">
        <v>501</v>
      </c>
      <c r="B25" t="s">
        <v>87</v>
      </c>
      <c r="C25" t="s">
        <v>9</v>
      </c>
      <c r="D25" t="s">
        <v>88</v>
      </c>
      <c r="E25" t="s">
        <v>16</v>
      </c>
      <c r="F25">
        <v>2</v>
      </c>
      <c r="G25" t="s">
        <v>12</v>
      </c>
      <c r="H25" t="s">
        <v>89</v>
      </c>
    </row>
    <row r="26" spans="1:8">
      <c r="A26">
        <v>502</v>
      </c>
      <c r="B26" t="s">
        <v>90</v>
      </c>
      <c r="C26" t="s">
        <v>20</v>
      </c>
      <c r="D26" t="s">
        <v>91</v>
      </c>
      <c r="E26" t="s">
        <v>43</v>
      </c>
      <c r="F26">
        <v>3</v>
      </c>
      <c r="G26" t="s">
        <v>12</v>
      </c>
      <c r="H26" t="s">
        <v>92</v>
      </c>
    </row>
    <row r="27" spans="1:8">
      <c r="A27">
        <v>503</v>
      </c>
      <c r="B27" t="s">
        <v>93</v>
      </c>
      <c r="C27" t="s">
        <v>9</v>
      </c>
      <c r="D27" t="s">
        <v>94</v>
      </c>
      <c r="E27" t="s">
        <v>53</v>
      </c>
      <c r="F27">
        <v>5</v>
      </c>
      <c r="G27" t="s">
        <v>17</v>
      </c>
      <c r="H27" t="s">
        <v>95</v>
      </c>
    </row>
    <row r="28" spans="1:8">
      <c r="A28">
        <v>504</v>
      </c>
      <c r="B28" t="s">
        <v>96</v>
      </c>
      <c r="C28" t="s">
        <v>9</v>
      </c>
      <c r="D28" t="s">
        <v>97</v>
      </c>
      <c r="E28" t="s">
        <v>33</v>
      </c>
      <c r="F28">
        <v>7</v>
      </c>
      <c r="G28" t="s">
        <v>25</v>
      </c>
      <c r="H28" t="s">
        <v>98</v>
      </c>
    </row>
    <row r="29" spans="1:8">
      <c r="A29">
        <v>505</v>
      </c>
      <c r="B29" t="s">
        <v>99</v>
      </c>
      <c r="C29" t="s">
        <v>9</v>
      </c>
      <c r="D29" t="s">
        <v>100</v>
      </c>
      <c r="E29" t="s">
        <v>16</v>
      </c>
      <c r="F29">
        <v>2</v>
      </c>
      <c r="G29" t="s">
        <v>12</v>
      </c>
      <c r="H29" t="s">
        <v>101</v>
      </c>
    </row>
    <row r="30" spans="1:8">
      <c r="A30">
        <v>506</v>
      </c>
      <c r="B30" t="s">
        <v>102</v>
      </c>
      <c r="C30" t="s">
        <v>9</v>
      </c>
      <c r="D30" t="s">
        <v>103</v>
      </c>
      <c r="E30" t="s">
        <v>11</v>
      </c>
      <c r="F30">
        <v>4</v>
      </c>
      <c r="G30" t="s">
        <v>12</v>
      </c>
      <c r="H30" t="s">
        <v>104</v>
      </c>
    </row>
    <row r="31" spans="1:8">
      <c r="A31">
        <v>507</v>
      </c>
      <c r="B31" t="s">
        <v>105</v>
      </c>
      <c r="C31" t="s">
        <v>9</v>
      </c>
      <c r="D31" t="s">
        <v>106</v>
      </c>
      <c r="E31" t="s">
        <v>53</v>
      </c>
      <c r="F31">
        <v>5</v>
      </c>
      <c r="G31" t="s">
        <v>12</v>
      </c>
      <c r="H31" t="s">
        <v>107</v>
      </c>
    </row>
    <row r="32" spans="1:8">
      <c r="A32">
        <v>508</v>
      </c>
      <c r="B32" t="s">
        <v>108</v>
      </c>
      <c r="C32" t="s">
        <v>9</v>
      </c>
      <c r="D32" t="s">
        <v>109</v>
      </c>
      <c r="E32" t="s">
        <v>33</v>
      </c>
      <c r="F32">
        <v>7</v>
      </c>
      <c r="G32" t="s">
        <v>25</v>
      </c>
      <c r="H32" t="s">
        <v>110</v>
      </c>
    </row>
    <row r="33" spans="1:8">
      <c r="A33">
        <v>509</v>
      </c>
      <c r="B33" t="s">
        <v>111</v>
      </c>
      <c r="C33" t="s">
        <v>20</v>
      </c>
      <c r="D33" t="s">
        <v>112</v>
      </c>
      <c r="E33" t="s">
        <v>53</v>
      </c>
      <c r="F33">
        <v>5</v>
      </c>
      <c r="G33" t="s">
        <v>12</v>
      </c>
      <c r="H33" t="s">
        <v>113</v>
      </c>
    </row>
    <row r="34" spans="1:8">
      <c r="A34">
        <v>510</v>
      </c>
      <c r="B34" t="s">
        <v>114</v>
      </c>
      <c r="C34" t="s">
        <v>9</v>
      </c>
      <c r="D34" t="s">
        <v>115</v>
      </c>
      <c r="E34" t="s">
        <v>16</v>
      </c>
      <c r="F34">
        <v>1</v>
      </c>
      <c r="G34" t="s">
        <v>25</v>
      </c>
      <c r="H34" t="s">
        <v>116</v>
      </c>
    </row>
    <row r="35" spans="1:8">
      <c r="A35">
        <v>511</v>
      </c>
      <c r="B35" t="s">
        <v>117</v>
      </c>
      <c r="C35" t="s">
        <v>20</v>
      </c>
      <c r="D35" t="s">
        <v>118</v>
      </c>
      <c r="E35" t="s">
        <v>16</v>
      </c>
      <c r="F35">
        <v>1</v>
      </c>
      <c r="G35" t="s">
        <v>12</v>
      </c>
      <c r="H35" t="s">
        <v>119</v>
      </c>
    </row>
    <row r="36" spans="1:8">
      <c r="A36">
        <v>512</v>
      </c>
      <c r="B36" t="s">
        <v>120</v>
      </c>
      <c r="C36" t="s">
        <v>9</v>
      </c>
      <c r="D36" t="s">
        <v>121</v>
      </c>
      <c r="E36" t="s">
        <v>29</v>
      </c>
      <c r="F36">
        <v>6</v>
      </c>
      <c r="G36" t="s">
        <v>17</v>
      </c>
      <c r="H36" t="s">
        <v>122</v>
      </c>
    </row>
    <row r="37" spans="1:8">
      <c r="A37">
        <v>513</v>
      </c>
      <c r="B37" t="s">
        <v>123</v>
      </c>
      <c r="C37" t="s">
        <v>9</v>
      </c>
      <c r="D37" t="s">
        <v>124</v>
      </c>
      <c r="E37" t="s">
        <v>53</v>
      </c>
      <c r="F37">
        <v>5</v>
      </c>
      <c r="G37" t="s">
        <v>12</v>
      </c>
      <c r="H37" t="s">
        <v>125</v>
      </c>
    </row>
    <row r="38" spans="1:8">
      <c r="A38">
        <v>514</v>
      </c>
      <c r="B38" t="s">
        <v>126</v>
      </c>
      <c r="C38" t="s">
        <v>20</v>
      </c>
      <c r="D38" t="s">
        <v>127</v>
      </c>
      <c r="E38" t="s">
        <v>16</v>
      </c>
      <c r="F38">
        <v>1</v>
      </c>
      <c r="G38" t="s">
        <v>25</v>
      </c>
      <c r="H38" t="s">
        <v>128</v>
      </c>
    </row>
    <row r="39" spans="1:8">
      <c r="A39">
        <v>515</v>
      </c>
      <c r="B39" t="s">
        <v>129</v>
      </c>
      <c r="C39" t="s">
        <v>9</v>
      </c>
      <c r="D39" t="s">
        <v>130</v>
      </c>
      <c r="E39" t="s">
        <v>16</v>
      </c>
      <c r="F39">
        <v>1</v>
      </c>
      <c r="G39" t="s">
        <v>12</v>
      </c>
      <c r="H39" t="s">
        <v>131</v>
      </c>
    </row>
    <row r="40" spans="1:8">
      <c r="A40">
        <v>516</v>
      </c>
      <c r="B40" t="s">
        <v>132</v>
      </c>
      <c r="C40" t="s">
        <v>9</v>
      </c>
      <c r="D40" t="s">
        <v>133</v>
      </c>
      <c r="E40" t="s">
        <v>43</v>
      </c>
      <c r="F40">
        <v>3</v>
      </c>
      <c r="G40" t="s">
        <v>12</v>
      </c>
      <c r="H40" t="s">
        <v>134</v>
      </c>
    </row>
    <row r="41" spans="1:8">
      <c r="A41">
        <v>517</v>
      </c>
      <c r="B41" t="s">
        <v>135</v>
      </c>
      <c r="C41" t="s">
        <v>20</v>
      </c>
      <c r="D41" t="s">
        <v>136</v>
      </c>
      <c r="E41" t="s">
        <v>33</v>
      </c>
      <c r="F41">
        <v>7</v>
      </c>
      <c r="G41" t="s">
        <v>17</v>
      </c>
      <c r="H41" t="s">
        <v>137</v>
      </c>
    </row>
    <row r="42" spans="1:8">
      <c r="A42">
        <v>518</v>
      </c>
      <c r="B42" t="s">
        <v>138</v>
      </c>
      <c r="C42" t="s">
        <v>9</v>
      </c>
      <c r="D42" t="s">
        <v>139</v>
      </c>
      <c r="E42" t="s">
        <v>16</v>
      </c>
      <c r="F42">
        <v>1</v>
      </c>
      <c r="G42" t="s">
        <v>25</v>
      </c>
      <c r="H42" t="s">
        <v>140</v>
      </c>
    </row>
    <row r="43" spans="1:8">
      <c r="A43">
        <v>519</v>
      </c>
      <c r="B43" t="s">
        <v>141</v>
      </c>
      <c r="C43" t="s">
        <v>20</v>
      </c>
      <c r="D43" t="s">
        <v>142</v>
      </c>
      <c r="E43" t="s">
        <v>43</v>
      </c>
      <c r="F43">
        <v>3</v>
      </c>
      <c r="G43" t="s">
        <v>12</v>
      </c>
      <c r="H43" t="s">
        <v>143</v>
      </c>
    </row>
    <row r="44" spans="1:8">
      <c r="A44">
        <v>520</v>
      </c>
      <c r="B44" t="s">
        <v>144</v>
      </c>
      <c r="C44" t="s">
        <v>9</v>
      </c>
      <c r="D44" t="s">
        <v>145</v>
      </c>
      <c r="E44" t="s">
        <v>33</v>
      </c>
      <c r="F44">
        <v>7</v>
      </c>
      <c r="G44" t="s">
        <v>12</v>
      </c>
      <c r="H44" t="s">
        <v>146</v>
      </c>
    </row>
    <row r="45" spans="1:8">
      <c r="A45">
        <v>521</v>
      </c>
      <c r="B45" t="s">
        <v>147</v>
      </c>
      <c r="C45" t="s">
        <v>9</v>
      </c>
      <c r="D45" t="s">
        <v>148</v>
      </c>
      <c r="E45" t="s">
        <v>53</v>
      </c>
      <c r="F45">
        <v>5</v>
      </c>
      <c r="G45" t="s">
        <v>12</v>
      </c>
      <c r="H45" t="s">
        <v>149</v>
      </c>
    </row>
    <row r="46" spans="1:8">
      <c r="A46">
        <v>522</v>
      </c>
      <c r="B46" t="s">
        <v>150</v>
      </c>
      <c r="C46" t="s">
        <v>9</v>
      </c>
      <c r="D46" t="s">
        <v>151</v>
      </c>
      <c r="E46" t="s">
        <v>16</v>
      </c>
      <c r="F46">
        <v>1</v>
      </c>
      <c r="G46" t="s">
        <v>12</v>
      </c>
      <c r="H46" t="s">
        <v>152</v>
      </c>
    </row>
    <row r="47" spans="1:8">
      <c r="A47">
        <v>523</v>
      </c>
      <c r="B47" t="s">
        <v>153</v>
      </c>
      <c r="C47" t="s">
        <v>20</v>
      </c>
      <c r="D47" t="s">
        <v>154</v>
      </c>
      <c r="E47" t="s">
        <v>53</v>
      </c>
      <c r="F47">
        <v>5</v>
      </c>
      <c r="G47" t="s">
        <v>12</v>
      </c>
      <c r="H47" t="s">
        <v>155</v>
      </c>
    </row>
    <row r="48" spans="1:8">
      <c r="A48">
        <v>524</v>
      </c>
      <c r="B48" t="s">
        <v>156</v>
      </c>
      <c r="C48" t="s">
        <v>20</v>
      </c>
      <c r="D48" t="s">
        <v>157</v>
      </c>
      <c r="E48" t="s">
        <v>43</v>
      </c>
      <c r="F48">
        <v>3</v>
      </c>
      <c r="G48" t="s">
        <v>12</v>
      </c>
      <c r="H48" t="s">
        <v>158</v>
      </c>
    </row>
    <row r="49" spans="1:8">
      <c r="A49">
        <v>525</v>
      </c>
      <c r="B49" t="s">
        <v>159</v>
      </c>
      <c r="C49" t="s">
        <v>20</v>
      </c>
      <c r="D49" t="s">
        <v>160</v>
      </c>
      <c r="E49" t="s">
        <v>16</v>
      </c>
      <c r="F49">
        <v>2</v>
      </c>
      <c r="G49" t="s">
        <v>12</v>
      </c>
      <c r="H49" t="s">
        <v>161</v>
      </c>
    </row>
    <row r="50" spans="1:8">
      <c r="A50">
        <v>526</v>
      </c>
      <c r="B50" t="s">
        <v>162</v>
      </c>
      <c r="C50" t="s">
        <v>9</v>
      </c>
      <c r="D50" t="s">
        <v>163</v>
      </c>
      <c r="E50" t="s">
        <v>16</v>
      </c>
      <c r="F50">
        <v>2</v>
      </c>
      <c r="G50" t="s">
        <v>17</v>
      </c>
      <c r="H50" t="s">
        <v>164</v>
      </c>
    </row>
    <row r="51" spans="1:8">
      <c r="A51">
        <v>527</v>
      </c>
      <c r="B51" t="s">
        <v>165</v>
      </c>
      <c r="C51" t="s">
        <v>20</v>
      </c>
      <c r="D51" t="s">
        <v>166</v>
      </c>
      <c r="E51" t="s">
        <v>16</v>
      </c>
      <c r="F51">
        <v>1</v>
      </c>
      <c r="G51" t="s">
        <v>17</v>
      </c>
      <c r="H51" t="s">
        <v>167</v>
      </c>
    </row>
    <row r="52" spans="1:8">
      <c r="A52">
        <v>528</v>
      </c>
      <c r="B52" t="s">
        <v>168</v>
      </c>
      <c r="C52" t="s">
        <v>20</v>
      </c>
      <c r="D52" t="s">
        <v>169</v>
      </c>
      <c r="E52" t="s">
        <v>11</v>
      </c>
      <c r="F52">
        <v>4</v>
      </c>
      <c r="G52" t="s">
        <v>12</v>
      </c>
      <c r="H52" t="s">
        <v>170</v>
      </c>
    </row>
    <row r="53" spans="1:8">
      <c r="A53">
        <v>529</v>
      </c>
      <c r="B53" t="s">
        <v>171</v>
      </c>
      <c r="C53" t="s">
        <v>9</v>
      </c>
      <c r="D53" t="s">
        <v>172</v>
      </c>
      <c r="E53" t="s">
        <v>53</v>
      </c>
      <c r="F53">
        <v>5</v>
      </c>
      <c r="G53" t="s">
        <v>25</v>
      </c>
      <c r="H53" t="s">
        <v>173</v>
      </c>
    </row>
    <row r="54" spans="1:8">
      <c r="A54">
        <v>530</v>
      </c>
      <c r="B54" t="s">
        <v>174</v>
      </c>
      <c r="C54" t="s">
        <v>20</v>
      </c>
      <c r="D54" t="s">
        <v>175</v>
      </c>
      <c r="E54" t="s">
        <v>11</v>
      </c>
      <c r="F54">
        <v>4</v>
      </c>
      <c r="G54" t="s">
        <v>25</v>
      </c>
      <c r="H54" t="s">
        <v>176</v>
      </c>
    </row>
    <row r="55" spans="1:8">
      <c r="A55">
        <v>531</v>
      </c>
      <c r="B55" t="s">
        <v>177</v>
      </c>
      <c r="C55" t="s">
        <v>9</v>
      </c>
      <c r="D55" t="s">
        <v>178</v>
      </c>
      <c r="E55" t="s">
        <v>16</v>
      </c>
      <c r="F55">
        <v>1</v>
      </c>
      <c r="G55" t="s">
        <v>12</v>
      </c>
      <c r="H55" t="s">
        <v>179</v>
      </c>
    </row>
    <row r="56" spans="1:8">
      <c r="A56">
        <v>532</v>
      </c>
      <c r="B56" t="s">
        <v>180</v>
      </c>
      <c r="C56" t="s">
        <v>20</v>
      </c>
      <c r="D56" t="s">
        <v>181</v>
      </c>
      <c r="E56" t="s">
        <v>53</v>
      </c>
      <c r="F56">
        <v>5</v>
      </c>
      <c r="G56" t="s">
        <v>12</v>
      </c>
      <c r="H56" t="s">
        <v>182</v>
      </c>
    </row>
    <row r="57" spans="1:8">
      <c r="A57">
        <v>533</v>
      </c>
      <c r="B57" t="s">
        <v>183</v>
      </c>
      <c r="C57" t="s">
        <v>20</v>
      </c>
      <c r="D57" t="s">
        <v>184</v>
      </c>
      <c r="E57" t="s">
        <v>53</v>
      </c>
      <c r="F57">
        <v>5</v>
      </c>
      <c r="G57" t="s">
        <v>12</v>
      </c>
      <c r="H57" t="s">
        <v>185</v>
      </c>
    </row>
    <row r="58" spans="1:8">
      <c r="A58">
        <v>534</v>
      </c>
      <c r="B58" t="s">
        <v>186</v>
      </c>
      <c r="C58" t="s">
        <v>20</v>
      </c>
      <c r="D58" t="s">
        <v>187</v>
      </c>
      <c r="E58" t="s">
        <v>11</v>
      </c>
      <c r="F58">
        <v>4</v>
      </c>
      <c r="G58" t="s">
        <v>17</v>
      </c>
      <c r="H58" t="s">
        <v>188</v>
      </c>
    </row>
    <row r="59" spans="1:8">
      <c r="A59">
        <v>535</v>
      </c>
      <c r="B59" t="s">
        <v>189</v>
      </c>
      <c r="C59" t="s">
        <v>20</v>
      </c>
      <c r="D59" t="s">
        <v>190</v>
      </c>
      <c r="E59" t="s">
        <v>43</v>
      </c>
      <c r="F59">
        <v>3</v>
      </c>
      <c r="G59" t="s">
        <v>17</v>
      </c>
      <c r="H59" t="s">
        <v>191</v>
      </c>
    </row>
    <row r="60" spans="1:8">
      <c r="A60">
        <v>536</v>
      </c>
      <c r="B60" t="s">
        <v>192</v>
      </c>
      <c r="C60" t="s">
        <v>9</v>
      </c>
      <c r="D60" t="s">
        <v>193</v>
      </c>
      <c r="E60" t="s">
        <v>16</v>
      </c>
      <c r="F60">
        <v>1</v>
      </c>
      <c r="G60" t="s">
        <v>12</v>
      </c>
      <c r="H60" t="s">
        <v>194</v>
      </c>
    </row>
    <row r="61" spans="1:8">
      <c r="A61">
        <v>537</v>
      </c>
      <c r="B61" t="s">
        <v>195</v>
      </c>
      <c r="C61" t="s">
        <v>9</v>
      </c>
      <c r="D61" t="s">
        <v>196</v>
      </c>
      <c r="E61" t="s">
        <v>29</v>
      </c>
      <c r="F61">
        <v>6</v>
      </c>
      <c r="G61" t="s">
        <v>17</v>
      </c>
      <c r="H61" t="s">
        <v>197</v>
      </c>
    </row>
    <row r="62" spans="1:8">
      <c r="A62">
        <v>538</v>
      </c>
      <c r="B62" t="s">
        <v>198</v>
      </c>
      <c r="C62" t="s">
        <v>20</v>
      </c>
      <c r="D62" t="s">
        <v>199</v>
      </c>
      <c r="E62" t="s">
        <v>16</v>
      </c>
      <c r="F62">
        <v>2</v>
      </c>
      <c r="G62" t="s">
        <v>25</v>
      </c>
      <c r="H62" t="s">
        <v>200</v>
      </c>
    </row>
    <row r="63" spans="1:8">
      <c r="A63">
        <v>539</v>
      </c>
      <c r="B63" t="s">
        <v>201</v>
      </c>
      <c r="C63" t="s">
        <v>9</v>
      </c>
      <c r="D63" t="s">
        <v>202</v>
      </c>
      <c r="E63" t="s">
        <v>43</v>
      </c>
      <c r="F63">
        <v>3</v>
      </c>
      <c r="G63" t="s">
        <v>25</v>
      </c>
      <c r="H63" t="s">
        <v>203</v>
      </c>
    </row>
    <row r="64" spans="1:8">
      <c r="A64">
        <v>540</v>
      </c>
      <c r="B64" t="s">
        <v>204</v>
      </c>
      <c r="C64" t="s">
        <v>20</v>
      </c>
      <c r="D64" t="s">
        <v>205</v>
      </c>
      <c r="E64" t="s">
        <v>11</v>
      </c>
      <c r="F64">
        <v>4</v>
      </c>
      <c r="G64" t="s">
        <v>12</v>
      </c>
      <c r="H64" t="s">
        <v>206</v>
      </c>
    </row>
    <row r="65" spans="1:8">
      <c r="A65">
        <v>541</v>
      </c>
      <c r="B65" t="s">
        <v>207</v>
      </c>
      <c r="C65" t="s">
        <v>9</v>
      </c>
      <c r="D65" t="s">
        <v>208</v>
      </c>
      <c r="E65" t="s">
        <v>29</v>
      </c>
      <c r="F65">
        <v>6</v>
      </c>
      <c r="G65" t="s">
        <v>17</v>
      </c>
      <c r="H65" t="s">
        <v>209</v>
      </c>
    </row>
    <row r="66" spans="1:8">
      <c r="A66">
        <v>542</v>
      </c>
      <c r="B66" t="s">
        <v>111</v>
      </c>
      <c r="C66" t="s">
        <v>20</v>
      </c>
      <c r="D66" t="s">
        <v>210</v>
      </c>
      <c r="E66" t="s">
        <v>53</v>
      </c>
      <c r="F66">
        <v>5</v>
      </c>
      <c r="G66" t="s">
        <v>17</v>
      </c>
      <c r="H66" t="s">
        <v>211</v>
      </c>
    </row>
    <row r="67" spans="1:8">
      <c r="A67">
        <v>543</v>
      </c>
      <c r="B67" t="s">
        <v>212</v>
      </c>
      <c r="C67" t="s">
        <v>9</v>
      </c>
      <c r="D67" t="s">
        <v>213</v>
      </c>
      <c r="E67" t="s">
        <v>16</v>
      </c>
      <c r="F67">
        <v>2</v>
      </c>
      <c r="G67" t="s">
        <v>12</v>
      </c>
      <c r="H67" t="s">
        <v>214</v>
      </c>
    </row>
    <row r="68" spans="1:8">
      <c r="A68">
        <v>544</v>
      </c>
      <c r="B68" t="s">
        <v>215</v>
      </c>
      <c r="C68" t="s">
        <v>9</v>
      </c>
      <c r="D68" t="s">
        <v>216</v>
      </c>
      <c r="E68" t="s">
        <v>16</v>
      </c>
      <c r="F68">
        <v>1</v>
      </c>
      <c r="G68" t="s">
        <v>25</v>
      </c>
      <c r="H68" t="s">
        <v>217</v>
      </c>
    </row>
    <row r="69" spans="1:8">
      <c r="A69">
        <v>545</v>
      </c>
      <c r="B69" t="s">
        <v>218</v>
      </c>
      <c r="C69" t="s">
        <v>9</v>
      </c>
      <c r="D69" t="s">
        <v>219</v>
      </c>
      <c r="E69" t="s">
        <v>29</v>
      </c>
      <c r="F69">
        <v>6</v>
      </c>
      <c r="G69" t="s">
        <v>12</v>
      </c>
      <c r="H69" t="s">
        <v>220</v>
      </c>
    </row>
    <row r="70" spans="1:8">
      <c r="A70">
        <v>546</v>
      </c>
      <c r="B70" t="s">
        <v>221</v>
      </c>
      <c r="C70" t="s">
        <v>9</v>
      </c>
      <c r="D70" t="s">
        <v>222</v>
      </c>
      <c r="E70" t="s">
        <v>53</v>
      </c>
      <c r="F70">
        <v>5</v>
      </c>
      <c r="G70" t="s">
        <v>12</v>
      </c>
      <c r="H70" t="s">
        <v>223</v>
      </c>
    </row>
    <row r="71" spans="1:8">
      <c r="A71">
        <v>547</v>
      </c>
      <c r="B71" t="s">
        <v>224</v>
      </c>
      <c r="C71" t="s">
        <v>20</v>
      </c>
      <c r="D71" t="s">
        <v>225</v>
      </c>
      <c r="E71" t="s">
        <v>53</v>
      </c>
      <c r="F71">
        <v>5</v>
      </c>
      <c r="G71" t="s">
        <v>12</v>
      </c>
      <c r="H71" t="s">
        <v>226</v>
      </c>
    </row>
    <row r="72" spans="1:8">
      <c r="A72">
        <v>548</v>
      </c>
      <c r="B72" t="s">
        <v>227</v>
      </c>
      <c r="C72" t="s">
        <v>20</v>
      </c>
      <c r="D72" t="s">
        <v>228</v>
      </c>
      <c r="E72" t="s">
        <v>53</v>
      </c>
      <c r="F72">
        <v>5</v>
      </c>
      <c r="G72" t="s">
        <v>25</v>
      </c>
      <c r="H72" t="s">
        <v>229</v>
      </c>
    </row>
    <row r="73" spans="1:8">
      <c r="A73">
        <v>549</v>
      </c>
      <c r="B73" t="s">
        <v>230</v>
      </c>
      <c r="C73" t="s">
        <v>20</v>
      </c>
      <c r="D73" t="s">
        <v>231</v>
      </c>
      <c r="E73" t="s">
        <v>11</v>
      </c>
      <c r="F73">
        <v>4</v>
      </c>
      <c r="G73" t="s">
        <v>17</v>
      </c>
      <c r="H73" t="s">
        <v>232</v>
      </c>
    </row>
    <row r="74" spans="1:8">
      <c r="A74">
        <v>550</v>
      </c>
      <c r="B74" t="s">
        <v>233</v>
      </c>
      <c r="C74" t="s">
        <v>20</v>
      </c>
      <c r="D74" t="s">
        <v>234</v>
      </c>
      <c r="E74" t="s">
        <v>16</v>
      </c>
      <c r="F74">
        <v>1</v>
      </c>
      <c r="G74" t="s">
        <v>12</v>
      </c>
      <c r="H74" t="s">
        <v>235</v>
      </c>
    </row>
    <row r="75" spans="1:8">
      <c r="A75">
        <v>551</v>
      </c>
      <c r="B75" t="s">
        <v>236</v>
      </c>
      <c r="C75" t="s">
        <v>20</v>
      </c>
      <c r="D75" t="s">
        <v>237</v>
      </c>
      <c r="E75" t="s">
        <v>33</v>
      </c>
      <c r="F75">
        <v>7</v>
      </c>
      <c r="G75" t="s">
        <v>12</v>
      </c>
      <c r="H75" t="s">
        <v>238</v>
      </c>
    </row>
    <row r="76" spans="1:8">
      <c r="A76">
        <v>552</v>
      </c>
      <c r="B76" t="s">
        <v>239</v>
      </c>
      <c r="C76" t="s">
        <v>9</v>
      </c>
      <c r="D76" t="s">
        <v>240</v>
      </c>
      <c r="E76" t="s">
        <v>43</v>
      </c>
      <c r="F76">
        <v>3</v>
      </c>
      <c r="G76" t="s">
        <v>25</v>
      </c>
      <c r="H76" t="s">
        <v>241</v>
      </c>
    </row>
    <row r="77" spans="1:8">
      <c r="A77">
        <v>553</v>
      </c>
      <c r="B77" t="s">
        <v>207</v>
      </c>
      <c r="C77" t="s">
        <v>9</v>
      </c>
      <c r="D77" t="s">
        <v>242</v>
      </c>
      <c r="E77" t="s">
        <v>11</v>
      </c>
      <c r="F77">
        <v>4</v>
      </c>
      <c r="G77" t="s">
        <v>25</v>
      </c>
      <c r="H77" t="s">
        <v>243</v>
      </c>
    </row>
    <row r="78" spans="1:8">
      <c r="A78">
        <v>554</v>
      </c>
      <c r="B78" t="s">
        <v>244</v>
      </c>
      <c r="C78" t="s">
        <v>20</v>
      </c>
      <c r="D78" t="s">
        <v>245</v>
      </c>
      <c r="E78" t="s">
        <v>29</v>
      </c>
      <c r="F78">
        <v>6</v>
      </c>
      <c r="G78" t="s">
        <v>25</v>
      </c>
      <c r="H78" t="s">
        <v>246</v>
      </c>
    </row>
    <row r="79" spans="1:8">
      <c r="A79">
        <v>555</v>
      </c>
      <c r="B79" t="s">
        <v>247</v>
      </c>
      <c r="C79" t="s">
        <v>20</v>
      </c>
      <c r="D79" t="s">
        <v>248</v>
      </c>
      <c r="E79" t="s">
        <v>33</v>
      </c>
      <c r="F79">
        <v>7</v>
      </c>
      <c r="G79" t="s">
        <v>25</v>
      </c>
      <c r="H79" t="s">
        <v>249</v>
      </c>
    </row>
    <row r="80" spans="1:8">
      <c r="A80">
        <v>556</v>
      </c>
      <c r="B80" t="s">
        <v>90</v>
      </c>
      <c r="C80" t="s">
        <v>20</v>
      </c>
      <c r="D80" t="s">
        <v>250</v>
      </c>
      <c r="E80" t="s">
        <v>53</v>
      </c>
      <c r="F80">
        <v>5</v>
      </c>
      <c r="G80" t="s">
        <v>25</v>
      </c>
      <c r="H80" t="s">
        <v>251</v>
      </c>
    </row>
    <row r="81" spans="1:8">
      <c r="A81">
        <v>557</v>
      </c>
      <c r="B81" t="s">
        <v>252</v>
      </c>
      <c r="C81" t="s">
        <v>20</v>
      </c>
      <c r="D81" t="s">
        <v>253</v>
      </c>
      <c r="E81" t="s">
        <v>16</v>
      </c>
      <c r="F81">
        <v>1</v>
      </c>
      <c r="G81" t="s">
        <v>12</v>
      </c>
      <c r="H81" t="s">
        <v>254</v>
      </c>
    </row>
    <row r="82" spans="1:8">
      <c r="A82">
        <v>558</v>
      </c>
      <c r="B82" t="s">
        <v>255</v>
      </c>
      <c r="C82" t="s">
        <v>20</v>
      </c>
      <c r="D82" t="s">
        <v>256</v>
      </c>
      <c r="E82" t="s">
        <v>33</v>
      </c>
      <c r="F82">
        <v>7</v>
      </c>
      <c r="G82" t="s">
        <v>12</v>
      </c>
      <c r="H82" t="s">
        <v>257</v>
      </c>
    </row>
    <row r="83" spans="1:8">
      <c r="A83">
        <v>559</v>
      </c>
      <c r="B83" t="s">
        <v>258</v>
      </c>
      <c r="C83" t="s">
        <v>9</v>
      </c>
      <c r="D83" t="s">
        <v>259</v>
      </c>
      <c r="E83" t="s">
        <v>11</v>
      </c>
      <c r="F83">
        <v>4</v>
      </c>
      <c r="G83" t="s">
        <v>12</v>
      </c>
      <c r="H83" t="s">
        <v>260</v>
      </c>
    </row>
    <row r="84" spans="1:8">
      <c r="A84">
        <v>560</v>
      </c>
      <c r="B84" t="s">
        <v>261</v>
      </c>
      <c r="C84" t="s">
        <v>9</v>
      </c>
      <c r="D84" t="s">
        <v>262</v>
      </c>
      <c r="E84" t="s">
        <v>43</v>
      </c>
      <c r="F84">
        <v>3</v>
      </c>
      <c r="G84" t="s">
        <v>12</v>
      </c>
      <c r="H84" t="s">
        <v>263</v>
      </c>
    </row>
    <row r="85" spans="1:8">
      <c r="A85">
        <v>561</v>
      </c>
      <c r="B85" t="s">
        <v>264</v>
      </c>
      <c r="C85" t="s">
        <v>20</v>
      </c>
      <c r="D85" t="s">
        <v>265</v>
      </c>
      <c r="E85" t="s">
        <v>16</v>
      </c>
      <c r="F85">
        <v>1</v>
      </c>
      <c r="G85" t="s">
        <v>25</v>
      </c>
      <c r="H85" t="s">
        <v>266</v>
      </c>
    </row>
    <row r="86" spans="1:8">
      <c r="A86">
        <v>562</v>
      </c>
      <c r="B86" t="s">
        <v>267</v>
      </c>
      <c r="C86" t="s">
        <v>20</v>
      </c>
      <c r="D86" t="s">
        <v>268</v>
      </c>
      <c r="E86" t="s">
        <v>16</v>
      </c>
      <c r="F86">
        <v>1</v>
      </c>
      <c r="G86" t="s">
        <v>25</v>
      </c>
      <c r="H86" t="s">
        <v>269</v>
      </c>
    </row>
    <row r="87" spans="1:8">
      <c r="A87">
        <v>563</v>
      </c>
      <c r="B87" t="s">
        <v>270</v>
      </c>
      <c r="C87" t="s">
        <v>9</v>
      </c>
      <c r="D87" t="s">
        <v>271</v>
      </c>
      <c r="E87" t="s">
        <v>16</v>
      </c>
      <c r="F87">
        <v>1</v>
      </c>
      <c r="G87" t="s">
        <v>25</v>
      </c>
      <c r="H87" t="s">
        <v>272</v>
      </c>
    </row>
    <row r="88" spans="1:8">
      <c r="A88">
        <v>564</v>
      </c>
      <c r="B88" t="s">
        <v>273</v>
      </c>
      <c r="C88" t="s">
        <v>9</v>
      </c>
      <c r="D88" t="s">
        <v>274</v>
      </c>
      <c r="E88" t="s">
        <v>29</v>
      </c>
      <c r="F88">
        <v>6</v>
      </c>
      <c r="G88" t="s">
        <v>12</v>
      </c>
      <c r="H88" t="s">
        <v>275</v>
      </c>
    </row>
    <row r="89" spans="1:8">
      <c r="A89">
        <v>565</v>
      </c>
      <c r="B89" t="s">
        <v>276</v>
      </c>
      <c r="C89" t="s">
        <v>20</v>
      </c>
      <c r="D89" t="s">
        <v>277</v>
      </c>
      <c r="E89" t="s">
        <v>16</v>
      </c>
      <c r="F89">
        <v>1</v>
      </c>
      <c r="G89" t="s">
        <v>25</v>
      </c>
      <c r="H89" t="s">
        <v>278</v>
      </c>
    </row>
    <row r="90" spans="1:8">
      <c r="A90">
        <v>566</v>
      </c>
      <c r="B90" t="s">
        <v>279</v>
      </c>
      <c r="C90" t="s">
        <v>20</v>
      </c>
      <c r="D90" t="s">
        <v>280</v>
      </c>
      <c r="E90" t="s">
        <v>16</v>
      </c>
      <c r="F90">
        <v>2</v>
      </c>
      <c r="G90" t="s">
        <v>25</v>
      </c>
      <c r="H90" t="s">
        <v>281</v>
      </c>
    </row>
    <row r="91" spans="1:8">
      <c r="A91">
        <v>567</v>
      </c>
      <c r="B91" t="s">
        <v>221</v>
      </c>
      <c r="C91" t="s">
        <v>9</v>
      </c>
      <c r="D91" t="s">
        <v>282</v>
      </c>
      <c r="E91" t="s">
        <v>43</v>
      </c>
      <c r="F91">
        <v>3</v>
      </c>
      <c r="G91" t="s">
        <v>12</v>
      </c>
      <c r="H91" t="s">
        <v>283</v>
      </c>
    </row>
    <row r="92" spans="1:8">
      <c r="A92">
        <v>568</v>
      </c>
      <c r="B92" t="s">
        <v>284</v>
      </c>
      <c r="C92" t="s">
        <v>20</v>
      </c>
      <c r="D92" t="s">
        <v>285</v>
      </c>
      <c r="E92" t="s">
        <v>53</v>
      </c>
      <c r="F92">
        <v>5</v>
      </c>
      <c r="G92" t="s">
        <v>12</v>
      </c>
      <c r="H92" t="s">
        <v>286</v>
      </c>
    </row>
    <row r="93" spans="1:8">
      <c r="A93">
        <v>569</v>
      </c>
      <c r="B93" t="s">
        <v>287</v>
      </c>
      <c r="C93" t="s">
        <v>9</v>
      </c>
      <c r="D93" t="s">
        <v>288</v>
      </c>
      <c r="E93" t="s">
        <v>43</v>
      </c>
      <c r="F93">
        <v>3</v>
      </c>
      <c r="G93" t="s">
        <v>12</v>
      </c>
      <c r="H93" t="s">
        <v>289</v>
      </c>
    </row>
    <row r="94" spans="1:8">
      <c r="A94">
        <v>570</v>
      </c>
      <c r="B94" t="s">
        <v>290</v>
      </c>
      <c r="C94" t="s">
        <v>9</v>
      </c>
      <c r="D94" t="s">
        <v>291</v>
      </c>
      <c r="E94" t="s">
        <v>53</v>
      </c>
      <c r="F94">
        <v>5</v>
      </c>
      <c r="G94" t="s">
        <v>25</v>
      </c>
      <c r="H94" t="s">
        <v>292</v>
      </c>
    </row>
    <row r="95" spans="1:8">
      <c r="A95">
        <v>571</v>
      </c>
      <c r="B95" t="s">
        <v>293</v>
      </c>
      <c r="C95" t="s">
        <v>9</v>
      </c>
      <c r="D95" t="s">
        <v>294</v>
      </c>
      <c r="E95" t="s">
        <v>16</v>
      </c>
      <c r="F95">
        <v>2</v>
      </c>
      <c r="G95" t="s">
        <v>12</v>
      </c>
      <c r="H95" t="s">
        <v>295</v>
      </c>
    </row>
    <row r="96" spans="1:8">
      <c r="A96">
        <v>572</v>
      </c>
      <c r="B96" t="s">
        <v>296</v>
      </c>
      <c r="C96" t="s">
        <v>20</v>
      </c>
      <c r="D96" t="s">
        <v>297</v>
      </c>
      <c r="E96" t="s">
        <v>16</v>
      </c>
      <c r="F96">
        <v>2</v>
      </c>
      <c r="G96" t="s">
        <v>12</v>
      </c>
      <c r="H96" t="s">
        <v>298</v>
      </c>
    </row>
    <row r="97" spans="1:8">
      <c r="A97">
        <v>573</v>
      </c>
      <c r="B97" t="s">
        <v>299</v>
      </c>
      <c r="C97" t="s">
        <v>9</v>
      </c>
      <c r="D97" t="s">
        <v>300</v>
      </c>
      <c r="E97" t="s">
        <v>33</v>
      </c>
      <c r="F97">
        <v>7</v>
      </c>
      <c r="G97" t="s">
        <v>12</v>
      </c>
      <c r="H97" t="s">
        <v>301</v>
      </c>
    </row>
    <row r="98" spans="1:8">
      <c r="A98">
        <v>574</v>
      </c>
      <c r="B98" t="s">
        <v>302</v>
      </c>
      <c r="C98" t="s">
        <v>20</v>
      </c>
      <c r="D98" t="s">
        <v>303</v>
      </c>
      <c r="E98" t="s">
        <v>33</v>
      </c>
      <c r="F98">
        <v>7</v>
      </c>
      <c r="G98" t="s">
        <v>12</v>
      </c>
      <c r="H98" t="s">
        <v>304</v>
      </c>
    </row>
    <row r="99" spans="1:8">
      <c r="A99">
        <v>575</v>
      </c>
      <c r="B99" t="s">
        <v>279</v>
      </c>
      <c r="C99" t="s">
        <v>20</v>
      </c>
      <c r="D99" t="s">
        <v>305</v>
      </c>
      <c r="E99" t="s">
        <v>29</v>
      </c>
      <c r="F99">
        <v>6</v>
      </c>
      <c r="G99" t="s">
        <v>12</v>
      </c>
      <c r="H99" t="s">
        <v>306</v>
      </c>
    </row>
    <row r="100" spans="1:8">
      <c r="A100">
        <v>576</v>
      </c>
      <c r="B100" t="s">
        <v>307</v>
      </c>
      <c r="C100" t="s">
        <v>20</v>
      </c>
      <c r="D100" t="s">
        <v>308</v>
      </c>
      <c r="E100" t="s">
        <v>53</v>
      </c>
      <c r="F100">
        <v>5</v>
      </c>
      <c r="G100" t="s">
        <v>25</v>
      </c>
      <c r="H100" t="s">
        <v>309</v>
      </c>
    </row>
    <row r="101" spans="1:8">
      <c r="A101">
        <v>577</v>
      </c>
      <c r="B101" t="s">
        <v>310</v>
      </c>
      <c r="C101" t="s">
        <v>20</v>
      </c>
      <c r="D101" t="s">
        <v>311</v>
      </c>
      <c r="E101" t="s">
        <v>16</v>
      </c>
      <c r="F101">
        <v>2</v>
      </c>
      <c r="G101" t="s">
        <v>25</v>
      </c>
      <c r="H101" t="s">
        <v>312</v>
      </c>
    </row>
    <row r="102" spans="1:8">
      <c r="A102">
        <v>578</v>
      </c>
      <c r="B102" t="s">
        <v>313</v>
      </c>
      <c r="C102" t="s">
        <v>9</v>
      </c>
      <c r="D102" t="s">
        <v>314</v>
      </c>
      <c r="E102" t="s">
        <v>11</v>
      </c>
      <c r="F102">
        <v>4</v>
      </c>
      <c r="G102" t="s">
        <v>12</v>
      </c>
      <c r="H102" t="s">
        <v>315</v>
      </c>
    </row>
    <row r="103" spans="1:8">
      <c r="A103">
        <v>579</v>
      </c>
      <c r="B103" t="s">
        <v>316</v>
      </c>
      <c r="C103" t="s">
        <v>9</v>
      </c>
      <c r="D103" t="s">
        <v>317</v>
      </c>
      <c r="E103" t="s">
        <v>11</v>
      </c>
      <c r="F103">
        <v>4</v>
      </c>
      <c r="G103" t="s">
        <v>17</v>
      </c>
      <c r="H103" t="s">
        <v>318</v>
      </c>
    </row>
    <row r="104" spans="1:8">
      <c r="A104">
        <v>580</v>
      </c>
      <c r="B104" t="s">
        <v>319</v>
      </c>
      <c r="C104" t="s">
        <v>20</v>
      </c>
      <c r="D104" t="s">
        <v>320</v>
      </c>
      <c r="E104" t="s">
        <v>16</v>
      </c>
      <c r="F104">
        <v>2</v>
      </c>
      <c r="G104" t="s">
        <v>12</v>
      </c>
      <c r="H104" t="s">
        <v>321</v>
      </c>
    </row>
    <row r="105" spans="1:8">
      <c r="A105">
        <v>581</v>
      </c>
      <c r="B105" t="s">
        <v>322</v>
      </c>
      <c r="C105" t="s">
        <v>9</v>
      </c>
      <c r="D105" t="s">
        <v>323</v>
      </c>
      <c r="E105" t="s">
        <v>29</v>
      </c>
      <c r="F105">
        <v>6</v>
      </c>
      <c r="G105" t="s">
        <v>12</v>
      </c>
      <c r="H105" t="s">
        <v>324</v>
      </c>
    </row>
    <row r="106" spans="1:8">
      <c r="A106">
        <v>582</v>
      </c>
      <c r="B106" t="s">
        <v>325</v>
      </c>
      <c r="C106" t="s">
        <v>9</v>
      </c>
      <c r="D106" t="s">
        <v>175</v>
      </c>
      <c r="E106" t="s">
        <v>16</v>
      </c>
      <c r="F106">
        <v>1</v>
      </c>
      <c r="G106" t="s">
        <v>12</v>
      </c>
      <c r="H106" t="s">
        <v>326</v>
      </c>
    </row>
    <row r="107" spans="1:8">
      <c r="A107">
        <v>583</v>
      </c>
      <c r="B107" t="s">
        <v>129</v>
      </c>
      <c r="C107" t="s">
        <v>9</v>
      </c>
      <c r="D107" t="s">
        <v>327</v>
      </c>
      <c r="E107" t="s">
        <v>53</v>
      </c>
      <c r="F107">
        <v>5</v>
      </c>
      <c r="G107" t="s">
        <v>25</v>
      </c>
      <c r="H107" t="s">
        <v>328</v>
      </c>
    </row>
    <row r="108" spans="1:8">
      <c r="A108">
        <v>584</v>
      </c>
      <c r="B108" t="s">
        <v>329</v>
      </c>
      <c r="C108" t="s">
        <v>9</v>
      </c>
      <c r="D108" t="s">
        <v>330</v>
      </c>
      <c r="E108" t="s">
        <v>16</v>
      </c>
      <c r="F108">
        <v>1</v>
      </c>
      <c r="G108" t="s">
        <v>25</v>
      </c>
      <c r="H108" t="s">
        <v>331</v>
      </c>
    </row>
    <row r="109" spans="1:8">
      <c r="A109">
        <v>585</v>
      </c>
      <c r="B109" t="s">
        <v>332</v>
      </c>
      <c r="C109" t="s">
        <v>9</v>
      </c>
      <c r="D109" t="s">
        <v>333</v>
      </c>
      <c r="E109" t="s">
        <v>53</v>
      </c>
      <c r="F109">
        <v>5</v>
      </c>
      <c r="G109" t="s">
        <v>25</v>
      </c>
      <c r="H109" t="s">
        <v>334</v>
      </c>
    </row>
    <row r="110" spans="1:8">
      <c r="A110">
        <v>586</v>
      </c>
      <c r="B110" t="s">
        <v>335</v>
      </c>
      <c r="C110" t="s">
        <v>20</v>
      </c>
      <c r="D110" t="s">
        <v>336</v>
      </c>
      <c r="E110" t="s">
        <v>43</v>
      </c>
      <c r="F110">
        <v>3</v>
      </c>
      <c r="G110" t="s">
        <v>12</v>
      </c>
      <c r="H110" t="s">
        <v>337</v>
      </c>
    </row>
    <row r="111" spans="1:8">
      <c r="A111">
        <v>587</v>
      </c>
      <c r="B111" t="s">
        <v>338</v>
      </c>
      <c r="C111" t="s">
        <v>20</v>
      </c>
      <c r="D111" t="s">
        <v>339</v>
      </c>
      <c r="E111" t="s">
        <v>33</v>
      </c>
      <c r="F111">
        <v>7</v>
      </c>
      <c r="G111" t="s">
        <v>25</v>
      </c>
      <c r="H111" t="s">
        <v>340</v>
      </c>
    </row>
    <row r="112" spans="1:8">
      <c r="A112">
        <v>588</v>
      </c>
      <c r="B112" t="s">
        <v>341</v>
      </c>
      <c r="C112" t="s">
        <v>20</v>
      </c>
      <c r="D112" t="s">
        <v>342</v>
      </c>
      <c r="E112" t="s">
        <v>11</v>
      </c>
      <c r="F112">
        <v>4</v>
      </c>
      <c r="G112" t="s">
        <v>17</v>
      </c>
      <c r="H112" t="s">
        <v>343</v>
      </c>
    </row>
    <row r="113" spans="1:8">
      <c r="A113">
        <v>589</v>
      </c>
      <c r="B113" t="s">
        <v>344</v>
      </c>
      <c r="C113" t="s">
        <v>20</v>
      </c>
      <c r="D113" t="s">
        <v>345</v>
      </c>
      <c r="E113" t="s">
        <v>16</v>
      </c>
      <c r="F113">
        <v>1</v>
      </c>
      <c r="G113" t="s">
        <v>25</v>
      </c>
      <c r="H113" t="s">
        <v>346</v>
      </c>
    </row>
    <row r="114" spans="1:8">
      <c r="A114">
        <v>590</v>
      </c>
      <c r="B114" t="s">
        <v>347</v>
      </c>
      <c r="C114" t="s">
        <v>20</v>
      </c>
      <c r="D114" t="s">
        <v>348</v>
      </c>
      <c r="E114" t="s">
        <v>33</v>
      </c>
      <c r="F114">
        <v>7</v>
      </c>
      <c r="G114" t="s">
        <v>17</v>
      </c>
      <c r="H114" t="s">
        <v>349</v>
      </c>
    </row>
    <row r="115" spans="1:8">
      <c r="A115">
        <v>591</v>
      </c>
      <c r="B115" t="s">
        <v>350</v>
      </c>
      <c r="C115" t="s">
        <v>20</v>
      </c>
      <c r="D115" t="s">
        <v>351</v>
      </c>
      <c r="E115" t="s">
        <v>11</v>
      </c>
      <c r="F115">
        <v>4</v>
      </c>
      <c r="G115" t="s">
        <v>17</v>
      </c>
      <c r="H115" t="s">
        <v>352</v>
      </c>
    </row>
    <row r="116" spans="1:8">
      <c r="A116">
        <v>592</v>
      </c>
      <c r="B116" t="s">
        <v>353</v>
      </c>
      <c r="C116" t="s">
        <v>9</v>
      </c>
      <c r="D116" t="s">
        <v>354</v>
      </c>
      <c r="E116" t="s">
        <v>29</v>
      </c>
      <c r="F116">
        <v>6</v>
      </c>
      <c r="G116" t="s">
        <v>25</v>
      </c>
      <c r="H116" t="s">
        <v>211</v>
      </c>
    </row>
    <row r="117" spans="1:8">
      <c r="A117">
        <v>593</v>
      </c>
      <c r="B117" t="s">
        <v>355</v>
      </c>
      <c r="C117" t="s">
        <v>9</v>
      </c>
      <c r="D117" t="s">
        <v>356</v>
      </c>
      <c r="E117" t="s">
        <v>29</v>
      </c>
      <c r="F117">
        <v>6</v>
      </c>
      <c r="G117" t="s">
        <v>25</v>
      </c>
      <c r="H117" t="s">
        <v>357</v>
      </c>
    </row>
    <row r="118" spans="1:8">
      <c r="A118">
        <v>594</v>
      </c>
      <c r="B118" t="s">
        <v>358</v>
      </c>
      <c r="C118" t="s">
        <v>20</v>
      </c>
      <c r="D118" t="s">
        <v>359</v>
      </c>
      <c r="E118" t="s">
        <v>11</v>
      </c>
      <c r="F118">
        <v>4</v>
      </c>
      <c r="G118" t="s">
        <v>12</v>
      </c>
      <c r="H118" t="s">
        <v>360</v>
      </c>
    </row>
    <row r="119" spans="1:8">
      <c r="A119">
        <v>595</v>
      </c>
      <c r="B119" t="s">
        <v>78</v>
      </c>
      <c r="C119" t="s">
        <v>20</v>
      </c>
      <c r="D119" t="s">
        <v>361</v>
      </c>
      <c r="E119" t="s">
        <v>33</v>
      </c>
      <c r="F119">
        <v>7</v>
      </c>
      <c r="G119" t="s">
        <v>17</v>
      </c>
      <c r="H119" t="s">
        <v>362</v>
      </c>
    </row>
    <row r="120" spans="1:8">
      <c r="A120">
        <v>596</v>
      </c>
      <c r="B120" t="s">
        <v>363</v>
      </c>
      <c r="C120" t="s">
        <v>20</v>
      </c>
      <c r="D120" t="s">
        <v>364</v>
      </c>
      <c r="E120" t="s">
        <v>11</v>
      </c>
      <c r="F120">
        <v>4</v>
      </c>
      <c r="G120" t="s">
        <v>12</v>
      </c>
      <c r="H120" t="s">
        <v>365</v>
      </c>
    </row>
    <row r="121" spans="1:8">
      <c r="A121">
        <v>1</v>
      </c>
      <c r="B121" t="s">
        <v>344</v>
      </c>
      <c r="C121" t="s">
        <v>20</v>
      </c>
      <c r="D121" t="s">
        <v>366</v>
      </c>
      <c r="E121" t="s">
        <v>16</v>
      </c>
      <c r="F121">
        <v>2</v>
      </c>
      <c r="G121" t="s">
        <v>25</v>
      </c>
      <c r="H121" t="s">
        <v>367</v>
      </c>
    </row>
    <row r="122" spans="1:8">
      <c r="A122">
        <v>2</v>
      </c>
      <c r="B122" t="s">
        <v>368</v>
      </c>
      <c r="C122" t="s">
        <v>20</v>
      </c>
      <c r="D122" t="s">
        <v>369</v>
      </c>
      <c r="E122" t="s">
        <v>53</v>
      </c>
      <c r="F122">
        <v>5</v>
      </c>
      <c r="G122" t="s">
        <v>12</v>
      </c>
      <c r="H122" t="s">
        <v>152</v>
      </c>
    </row>
    <row r="123" spans="1:8">
      <c r="A123">
        <v>3</v>
      </c>
      <c r="B123" t="s">
        <v>370</v>
      </c>
      <c r="C123" t="s">
        <v>20</v>
      </c>
      <c r="D123" t="s">
        <v>371</v>
      </c>
      <c r="E123" t="s">
        <v>43</v>
      </c>
      <c r="F123">
        <v>3</v>
      </c>
      <c r="G123" t="s">
        <v>12</v>
      </c>
      <c r="H123" t="s">
        <v>372</v>
      </c>
    </row>
    <row r="124" spans="1:8">
      <c r="A124">
        <v>4</v>
      </c>
      <c r="B124" t="s">
        <v>373</v>
      </c>
      <c r="C124" t="s">
        <v>9</v>
      </c>
      <c r="D124" t="s">
        <v>374</v>
      </c>
      <c r="E124" t="s">
        <v>11</v>
      </c>
      <c r="F124">
        <v>4</v>
      </c>
      <c r="G124" t="s">
        <v>12</v>
      </c>
      <c r="H124" t="s">
        <v>375</v>
      </c>
    </row>
    <row r="125" spans="1:8">
      <c r="A125">
        <v>5</v>
      </c>
      <c r="B125" t="s">
        <v>376</v>
      </c>
      <c r="C125" t="s">
        <v>20</v>
      </c>
      <c r="D125" t="s">
        <v>377</v>
      </c>
      <c r="E125" t="s">
        <v>43</v>
      </c>
      <c r="F125">
        <v>3</v>
      </c>
      <c r="G125" t="s">
        <v>12</v>
      </c>
      <c r="H125" t="s">
        <v>378</v>
      </c>
    </row>
    <row r="126" spans="1:8">
      <c r="A126">
        <v>6</v>
      </c>
      <c r="B126" t="s">
        <v>379</v>
      </c>
      <c r="C126" t="s">
        <v>9</v>
      </c>
      <c r="D126" t="s">
        <v>380</v>
      </c>
      <c r="E126" t="s">
        <v>53</v>
      </c>
      <c r="F126">
        <v>5</v>
      </c>
      <c r="G126" t="s">
        <v>25</v>
      </c>
      <c r="H126" t="s">
        <v>381</v>
      </c>
    </row>
    <row r="127" spans="1:8">
      <c r="A127">
        <v>7</v>
      </c>
      <c r="B127" t="s">
        <v>382</v>
      </c>
      <c r="C127" t="s">
        <v>9</v>
      </c>
      <c r="D127" t="s">
        <v>383</v>
      </c>
      <c r="E127" t="s">
        <v>33</v>
      </c>
      <c r="F127">
        <v>7</v>
      </c>
      <c r="G127" t="s">
        <v>25</v>
      </c>
      <c r="H127" t="s">
        <v>384</v>
      </c>
    </row>
    <row r="128" spans="1:8">
      <c r="A128">
        <v>8</v>
      </c>
      <c r="B128" t="s">
        <v>385</v>
      </c>
      <c r="C128" t="s">
        <v>20</v>
      </c>
      <c r="D128" t="s">
        <v>386</v>
      </c>
      <c r="E128" t="s">
        <v>43</v>
      </c>
      <c r="F128">
        <v>3</v>
      </c>
      <c r="G128" t="s">
        <v>12</v>
      </c>
      <c r="H128" t="s">
        <v>387</v>
      </c>
    </row>
    <row r="129" spans="1:8">
      <c r="A129">
        <v>9</v>
      </c>
      <c r="B129" t="s">
        <v>388</v>
      </c>
      <c r="C129" t="s">
        <v>20</v>
      </c>
      <c r="D129" t="s">
        <v>389</v>
      </c>
      <c r="E129" t="s">
        <v>29</v>
      </c>
      <c r="F129">
        <v>6</v>
      </c>
      <c r="G129" t="s">
        <v>25</v>
      </c>
      <c r="H129" t="s">
        <v>298</v>
      </c>
    </row>
    <row r="130" spans="1:8">
      <c r="A130">
        <v>10</v>
      </c>
      <c r="B130" t="s">
        <v>390</v>
      </c>
      <c r="C130" t="s">
        <v>9</v>
      </c>
      <c r="D130" t="s">
        <v>391</v>
      </c>
      <c r="E130" t="s">
        <v>33</v>
      </c>
      <c r="F130">
        <v>7</v>
      </c>
      <c r="G130" t="s">
        <v>12</v>
      </c>
      <c r="H130" t="s">
        <v>392</v>
      </c>
    </row>
    <row r="131" spans="1:8">
      <c r="A131">
        <v>11</v>
      </c>
      <c r="B131" t="s">
        <v>393</v>
      </c>
      <c r="C131" t="s">
        <v>9</v>
      </c>
      <c r="D131" t="s">
        <v>394</v>
      </c>
      <c r="E131" t="s">
        <v>16</v>
      </c>
      <c r="F131">
        <v>2</v>
      </c>
      <c r="G131" t="s">
        <v>17</v>
      </c>
      <c r="H131" t="s">
        <v>395</v>
      </c>
    </row>
    <row r="132" spans="1:8">
      <c r="A132">
        <v>12</v>
      </c>
      <c r="B132" t="s">
        <v>396</v>
      </c>
      <c r="C132" t="s">
        <v>20</v>
      </c>
      <c r="D132" t="s">
        <v>397</v>
      </c>
      <c r="E132" t="s">
        <v>29</v>
      </c>
      <c r="F132">
        <v>6</v>
      </c>
      <c r="G132" t="s">
        <v>12</v>
      </c>
      <c r="H132" t="s">
        <v>398</v>
      </c>
    </row>
    <row r="133" spans="1:8">
      <c r="A133">
        <v>13</v>
      </c>
      <c r="B133" t="s">
        <v>399</v>
      </c>
      <c r="C133" t="s">
        <v>9</v>
      </c>
      <c r="D133" t="s">
        <v>400</v>
      </c>
      <c r="E133" t="s">
        <v>43</v>
      </c>
      <c r="F133">
        <v>3</v>
      </c>
      <c r="G133" t="s">
        <v>25</v>
      </c>
      <c r="H133" t="s">
        <v>401</v>
      </c>
    </row>
    <row r="134" spans="1:8">
      <c r="A134">
        <v>14</v>
      </c>
      <c r="B134" t="s">
        <v>376</v>
      </c>
      <c r="C134" t="s">
        <v>20</v>
      </c>
      <c r="D134" t="s">
        <v>402</v>
      </c>
      <c r="E134" t="s">
        <v>29</v>
      </c>
      <c r="F134">
        <v>6</v>
      </c>
      <c r="G134" t="s">
        <v>17</v>
      </c>
      <c r="H134" t="s">
        <v>403</v>
      </c>
    </row>
    <row r="135" spans="1:8">
      <c r="A135">
        <v>15</v>
      </c>
      <c r="B135" t="s">
        <v>404</v>
      </c>
      <c r="C135" t="s">
        <v>20</v>
      </c>
      <c r="D135" t="s">
        <v>405</v>
      </c>
      <c r="E135" t="s">
        <v>16</v>
      </c>
      <c r="F135">
        <v>2</v>
      </c>
      <c r="G135" t="s">
        <v>12</v>
      </c>
      <c r="H135" t="s">
        <v>406</v>
      </c>
    </row>
    <row r="136" spans="1:8">
      <c r="A136">
        <v>16</v>
      </c>
      <c r="B136" t="s">
        <v>407</v>
      </c>
      <c r="C136" t="s">
        <v>20</v>
      </c>
      <c r="D136" t="s">
        <v>408</v>
      </c>
      <c r="E136" t="s">
        <v>29</v>
      </c>
      <c r="F136">
        <v>6</v>
      </c>
      <c r="G136" t="s">
        <v>25</v>
      </c>
      <c r="H136" t="s">
        <v>409</v>
      </c>
    </row>
    <row r="137" spans="1:8">
      <c r="A137">
        <v>17</v>
      </c>
      <c r="B137" t="s">
        <v>410</v>
      </c>
      <c r="C137" t="s">
        <v>9</v>
      </c>
      <c r="D137" t="s">
        <v>411</v>
      </c>
      <c r="E137" t="s">
        <v>33</v>
      </c>
      <c r="F137">
        <v>7</v>
      </c>
      <c r="G137" t="s">
        <v>17</v>
      </c>
      <c r="H137" t="s">
        <v>412</v>
      </c>
    </row>
    <row r="138" spans="1:8">
      <c r="A138">
        <v>18</v>
      </c>
      <c r="B138" t="s">
        <v>413</v>
      </c>
      <c r="C138" t="s">
        <v>20</v>
      </c>
      <c r="D138" t="s">
        <v>414</v>
      </c>
      <c r="E138" t="s">
        <v>29</v>
      </c>
      <c r="F138">
        <v>6</v>
      </c>
      <c r="G138" t="s">
        <v>12</v>
      </c>
      <c r="H138" t="s">
        <v>415</v>
      </c>
    </row>
    <row r="139" spans="1:8">
      <c r="A139">
        <v>19</v>
      </c>
      <c r="B139" t="s">
        <v>416</v>
      </c>
      <c r="C139" t="s">
        <v>20</v>
      </c>
      <c r="D139" t="s">
        <v>417</v>
      </c>
      <c r="E139" t="s">
        <v>16</v>
      </c>
      <c r="F139">
        <v>2</v>
      </c>
      <c r="G139" t="s">
        <v>17</v>
      </c>
      <c r="H139" t="s">
        <v>418</v>
      </c>
    </row>
    <row r="140" spans="1:8">
      <c r="A140">
        <v>20</v>
      </c>
      <c r="B140" t="s">
        <v>419</v>
      </c>
      <c r="C140" t="s">
        <v>9</v>
      </c>
      <c r="D140" t="s">
        <v>420</v>
      </c>
      <c r="E140" t="s">
        <v>53</v>
      </c>
      <c r="F140">
        <v>5</v>
      </c>
      <c r="G140" t="s">
        <v>12</v>
      </c>
      <c r="H140" t="s">
        <v>421</v>
      </c>
    </row>
    <row r="141" spans="1:8">
      <c r="A141">
        <v>21</v>
      </c>
      <c r="B141" t="s">
        <v>230</v>
      </c>
      <c r="C141" t="s">
        <v>20</v>
      </c>
      <c r="D141" t="s">
        <v>422</v>
      </c>
      <c r="E141" t="s">
        <v>29</v>
      </c>
      <c r="F141">
        <v>6</v>
      </c>
      <c r="G141" t="s">
        <v>17</v>
      </c>
      <c r="H141" t="s">
        <v>423</v>
      </c>
    </row>
    <row r="142" spans="1:8">
      <c r="A142">
        <v>22</v>
      </c>
      <c r="B142" t="s">
        <v>424</v>
      </c>
      <c r="C142" t="s">
        <v>20</v>
      </c>
      <c r="D142" t="s">
        <v>425</v>
      </c>
      <c r="E142" t="s">
        <v>11</v>
      </c>
      <c r="F142">
        <v>4</v>
      </c>
      <c r="G142" t="s">
        <v>25</v>
      </c>
      <c r="H142" t="s">
        <v>426</v>
      </c>
    </row>
    <row r="143" spans="1:8">
      <c r="A143">
        <v>23</v>
      </c>
      <c r="B143" t="s">
        <v>427</v>
      </c>
      <c r="C143" t="s">
        <v>20</v>
      </c>
      <c r="D143" t="s">
        <v>94</v>
      </c>
      <c r="E143" t="s">
        <v>29</v>
      </c>
      <c r="F143">
        <v>6</v>
      </c>
      <c r="G143" t="s">
        <v>17</v>
      </c>
      <c r="H143" t="s">
        <v>428</v>
      </c>
    </row>
    <row r="144" spans="1:8">
      <c r="A144">
        <v>24</v>
      </c>
      <c r="B144" t="s">
        <v>429</v>
      </c>
      <c r="C144" t="s">
        <v>9</v>
      </c>
      <c r="D144" t="s">
        <v>430</v>
      </c>
      <c r="E144" t="s">
        <v>43</v>
      </c>
      <c r="F144">
        <v>3</v>
      </c>
      <c r="G144" t="s">
        <v>12</v>
      </c>
      <c r="H144" t="s">
        <v>431</v>
      </c>
    </row>
    <row r="145" spans="1:8">
      <c r="A145">
        <v>25</v>
      </c>
      <c r="B145" t="s">
        <v>432</v>
      </c>
      <c r="C145" t="s">
        <v>20</v>
      </c>
      <c r="D145" t="s">
        <v>433</v>
      </c>
      <c r="E145" t="s">
        <v>16</v>
      </c>
      <c r="F145">
        <v>2</v>
      </c>
      <c r="G145" t="s">
        <v>12</v>
      </c>
      <c r="H145" t="s">
        <v>434</v>
      </c>
    </row>
    <row r="146" spans="1:8">
      <c r="A146">
        <v>26</v>
      </c>
      <c r="B146" t="s">
        <v>435</v>
      </c>
      <c r="C146" t="s">
        <v>20</v>
      </c>
      <c r="D146" t="s">
        <v>436</v>
      </c>
      <c r="E146" t="s">
        <v>53</v>
      </c>
      <c r="F146">
        <v>5</v>
      </c>
      <c r="G146" t="s">
        <v>25</v>
      </c>
      <c r="H146" t="s">
        <v>437</v>
      </c>
    </row>
    <row r="147" spans="1:8">
      <c r="A147">
        <v>27</v>
      </c>
      <c r="B147" t="s">
        <v>438</v>
      </c>
      <c r="C147" t="s">
        <v>9</v>
      </c>
      <c r="D147" t="s">
        <v>317</v>
      </c>
      <c r="E147" t="s">
        <v>16</v>
      </c>
      <c r="F147">
        <v>2</v>
      </c>
      <c r="G147" t="s">
        <v>12</v>
      </c>
      <c r="H147" t="s">
        <v>439</v>
      </c>
    </row>
    <row r="148" spans="1:8">
      <c r="A148">
        <v>28</v>
      </c>
      <c r="B148" t="s">
        <v>440</v>
      </c>
      <c r="C148" t="s">
        <v>9</v>
      </c>
      <c r="D148" t="s">
        <v>441</v>
      </c>
      <c r="E148" t="s">
        <v>16</v>
      </c>
      <c r="F148">
        <v>2</v>
      </c>
      <c r="G148" t="s">
        <v>17</v>
      </c>
      <c r="H148" t="s">
        <v>57</v>
      </c>
    </row>
    <row r="149" spans="1:8">
      <c r="A149">
        <v>29</v>
      </c>
      <c r="B149" t="s">
        <v>442</v>
      </c>
      <c r="C149" t="s">
        <v>20</v>
      </c>
      <c r="D149" t="s">
        <v>443</v>
      </c>
      <c r="E149" t="s">
        <v>33</v>
      </c>
      <c r="F149">
        <v>7</v>
      </c>
      <c r="G149" t="s">
        <v>25</v>
      </c>
      <c r="H149" t="s">
        <v>444</v>
      </c>
    </row>
    <row r="150" spans="1:8">
      <c r="A150">
        <v>30</v>
      </c>
      <c r="B150" t="s">
        <v>445</v>
      </c>
      <c r="C150" t="s">
        <v>9</v>
      </c>
      <c r="D150" t="s">
        <v>446</v>
      </c>
      <c r="E150" t="s">
        <v>53</v>
      </c>
      <c r="F150">
        <v>5</v>
      </c>
      <c r="G150" t="s">
        <v>12</v>
      </c>
      <c r="H150" t="s">
        <v>447</v>
      </c>
    </row>
    <row r="151" spans="1:8">
      <c r="A151">
        <v>31</v>
      </c>
      <c r="B151" t="s">
        <v>448</v>
      </c>
      <c r="C151" t="s">
        <v>20</v>
      </c>
      <c r="D151" t="s">
        <v>449</v>
      </c>
      <c r="E151" t="s">
        <v>29</v>
      </c>
      <c r="F151">
        <v>6</v>
      </c>
      <c r="G151" t="s">
        <v>12</v>
      </c>
      <c r="H151" t="s">
        <v>450</v>
      </c>
    </row>
    <row r="152" spans="1:8">
      <c r="A152">
        <v>32</v>
      </c>
      <c r="B152" t="s">
        <v>8</v>
      </c>
      <c r="C152" t="s">
        <v>9</v>
      </c>
      <c r="D152" t="s">
        <v>451</v>
      </c>
      <c r="E152" t="s">
        <v>16</v>
      </c>
      <c r="F152">
        <v>2</v>
      </c>
      <c r="G152" t="s">
        <v>12</v>
      </c>
      <c r="H152" t="s">
        <v>452</v>
      </c>
    </row>
    <row r="153" spans="1:8">
      <c r="A153">
        <v>33</v>
      </c>
      <c r="B153" t="s">
        <v>453</v>
      </c>
      <c r="C153" t="s">
        <v>20</v>
      </c>
      <c r="D153" t="s">
        <v>454</v>
      </c>
      <c r="E153" t="s">
        <v>11</v>
      </c>
      <c r="F153">
        <v>4</v>
      </c>
      <c r="G153" t="s">
        <v>12</v>
      </c>
      <c r="H153" t="s">
        <v>455</v>
      </c>
    </row>
    <row r="154" spans="1:8">
      <c r="A154">
        <v>34</v>
      </c>
      <c r="B154" t="s">
        <v>456</v>
      </c>
      <c r="C154" t="s">
        <v>20</v>
      </c>
      <c r="D154" t="s">
        <v>457</v>
      </c>
      <c r="E154" t="s">
        <v>33</v>
      </c>
      <c r="F154">
        <v>7</v>
      </c>
      <c r="G154" t="s">
        <v>17</v>
      </c>
      <c r="H154" t="s">
        <v>458</v>
      </c>
    </row>
    <row r="155" spans="1:8">
      <c r="A155">
        <v>35</v>
      </c>
      <c r="B155" t="s">
        <v>445</v>
      </c>
      <c r="C155" t="s">
        <v>9</v>
      </c>
      <c r="D155" t="s">
        <v>459</v>
      </c>
      <c r="E155" t="s">
        <v>11</v>
      </c>
      <c r="F155">
        <v>4</v>
      </c>
      <c r="G155" t="s">
        <v>25</v>
      </c>
      <c r="H155" t="s">
        <v>460</v>
      </c>
    </row>
    <row r="156" spans="1:8">
      <c r="A156">
        <v>36</v>
      </c>
      <c r="B156" t="s">
        <v>461</v>
      </c>
      <c r="C156" t="s">
        <v>9</v>
      </c>
      <c r="D156" t="s">
        <v>462</v>
      </c>
      <c r="E156" t="s">
        <v>16</v>
      </c>
      <c r="F156">
        <v>1</v>
      </c>
      <c r="G156" t="s">
        <v>12</v>
      </c>
      <c r="H156" t="s">
        <v>463</v>
      </c>
    </row>
    <row r="157" spans="1:8">
      <c r="A157">
        <v>37</v>
      </c>
      <c r="B157" t="s">
        <v>464</v>
      </c>
      <c r="C157" t="s">
        <v>9</v>
      </c>
      <c r="D157" t="s">
        <v>465</v>
      </c>
      <c r="E157" t="s">
        <v>11</v>
      </c>
      <c r="F157">
        <v>4</v>
      </c>
      <c r="G157" t="s">
        <v>25</v>
      </c>
      <c r="H157" t="s">
        <v>466</v>
      </c>
    </row>
    <row r="158" spans="1:8">
      <c r="A158">
        <v>38</v>
      </c>
      <c r="B158" t="s">
        <v>467</v>
      </c>
      <c r="C158" t="s">
        <v>20</v>
      </c>
      <c r="D158" t="s">
        <v>468</v>
      </c>
      <c r="E158" t="s">
        <v>11</v>
      </c>
      <c r="F158">
        <v>4</v>
      </c>
      <c r="G158" t="s">
        <v>17</v>
      </c>
      <c r="H158" t="s">
        <v>469</v>
      </c>
    </row>
    <row r="159" spans="1:8">
      <c r="A159">
        <v>39</v>
      </c>
      <c r="B159" t="s">
        <v>470</v>
      </c>
      <c r="C159" t="s">
        <v>20</v>
      </c>
      <c r="D159" t="s">
        <v>471</v>
      </c>
      <c r="E159" t="s">
        <v>16</v>
      </c>
      <c r="F159">
        <v>1</v>
      </c>
      <c r="G159" t="s">
        <v>12</v>
      </c>
      <c r="H159" t="s">
        <v>472</v>
      </c>
    </row>
    <row r="160" spans="1:8">
      <c r="A160">
        <v>40</v>
      </c>
      <c r="B160" t="s">
        <v>473</v>
      </c>
      <c r="C160" t="s">
        <v>20</v>
      </c>
      <c r="D160" t="s">
        <v>474</v>
      </c>
      <c r="E160" t="s">
        <v>11</v>
      </c>
      <c r="F160">
        <v>4</v>
      </c>
      <c r="G160" t="s">
        <v>25</v>
      </c>
      <c r="H160" t="s">
        <v>475</v>
      </c>
    </row>
    <row r="161" spans="1:8">
      <c r="A161">
        <v>41</v>
      </c>
      <c r="B161" t="s">
        <v>476</v>
      </c>
      <c r="C161" t="s">
        <v>9</v>
      </c>
      <c r="D161" t="s">
        <v>477</v>
      </c>
      <c r="E161" t="s">
        <v>29</v>
      </c>
      <c r="F161">
        <v>6</v>
      </c>
      <c r="G161" t="s">
        <v>12</v>
      </c>
      <c r="H161" t="s">
        <v>478</v>
      </c>
    </row>
    <row r="162" spans="1:8">
      <c r="A162">
        <v>42</v>
      </c>
      <c r="B162" t="s">
        <v>479</v>
      </c>
      <c r="C162" t="s">
        <v>9</v>
      </c>
      <c r="D162" t="s">
        <v>480</v>
      </c>
      <c r="E162" t="s">
        <v>29</v>
      </c>
      <c r="F162">
        <v>6</v>
      </c>
      <c r="G162" t="s">
        <v>12</v>
      </c>
      <c r="H162" t="s">
        <v>214</v>
      </c>
    </row>
    <row r="163" spans="1:8">
      <c r="A163">
        <v>43</v>
      </c>
      <c r="B163" t="s">
        <v>481</v>
      </c>
      <c r="C163" t="s">
        <v>9</v>
      </c>
      <c r="D163" t="s">
        <v>482</v>
      </c>
      <c r="E163" t="s">
        <v>33</v>
      </c>
      <c r="F163">
        <v>7</v>
      </c>
      <c r="G163" t="s">
        <v>17</v>
      </c>
      <c r="H163" t="s">
        <v>483</v>
      </c>
    </row>
    <row r="164" spans="1:8">
      <c r="A164">
        <v>44</v>
      </c>
      <c r="B164" t="s">
        <v>484</v>
      </c>
      <c r="C164" t="s">
        <v>20</v>
      </c>
      <c r="D164" t="s">
        <v>485</v>
      </c>
      <c r="E164" t="s">
        <v>53</v>
      </c>
      <c r="F164">
        <v>5</v>
      </c>
      <c r="G164" t="s">
        <v>12</v>
      </c>
      <c r="H164" t="s">
        <v>486</v>
      </c>
    </row>
    <row r="165" spans="1:8">
      <c r="A165">
        <v>45</v>
      </c>
      <c r="B165" t="s">
        <v>487</v>
      </c>
      <c r="C165" t="s">
        <v>9</v>
      </c>
      <c r="D165" t="s">
        <v>488</v>
      </c>
      <c r="E165" t="s">
        <v>16</v>
      </c>
      <c r="F165">
        <v>2</v>
      </c>
      <c r="G165" t="s">
        <v>25</v>
      </c>
      <c r="H165" t="s">
        <v>489</v>
      </c>
    </row>
    <row r="166" spans="1:8">
      <c r="A166">
        <v>46</v>
      </c>
      <c r="B166" t="s">
        <v>490</v>
      </c>
      <c r="C166" t="s">
        <v>20</v>
      </c>
      <c r="D166" t="s">
        <v>491</v>
      </c>
      <c r="E166" t="s">
        <v>53</v>
      </c>
      <c r="F166">
        <v>5</v>
      </c>
      <c r="G166" t="s">
        <v>25</v>
      </c>
      <c r="H166" t="s">
        <v>492</v>
      </c>
    </row>
    <row r="167" spans="1:8">
      <c r="A167">
        <v>47</v>
      </c>
      <c r="B167" t="s">
        <v>493</v>
      </c>
      <c r="C167" t="s">
        <v>9</v>
      </c>
      <c r="D167" t="s">
        <v>494</v>
      </c>
      <c r="E167" t="s">
        <v>29</v>
      </c>
      <c r="F167">
        <v>6</v>
      </c>
      <c r="G167" t="s">
        <v>12</v>
      </c>
      <c r="H167" t="s">
        <v>495</v>
      </c>
    </row>
    <row r="168" spans="1:8">
      <c r="A168">
        <v>48</v>
      </c>
      <c r="B168" t="s">
        <v>261</v>
      </c>
      <c r="C168" t="s">
        <v>9</v>
      </c>
      <c r="D168" t="s">
        <v>496</v>
      </c>
      <c r="E168" t="s">
        <v>53</v>
      </c>
      <c r="F168">
        <v>5</v>
      </c>
      <c r="G168" t="s">
        <v>25</v>
      </c>
      <c r="H168" t="s">
        <v>497</v>
      </c>
    </row>
    <row r="169" spans="1:8">
      <c r="A169">
        <v>49</v>
      </c>
      <c r="B169" t="s">
        <v>498</v>
      </c>
      <c r="C169" t="s">
        <v>20</v>
      </c>
      <c r="D169" t="s">
        <v>499</v>
      </c>
      <c r="E169" t="s">
        <v>29</v>
      </c>
      <c r="F169">
        <v>6</v>
      </c>
      <c r="G169" t="s">
        <v>12</v>
      </c>
      <c r="H169" t="s">
        <v>500</v>
      </c>
    </row>
    <row r="170" spans="1:8">
      <c r="A170">
        <v>50</v>
      </c>
      <c r="B170" t="s">
        <v>501</v>
      </c>
      <c r="C170" t="s">
        <v>20</v>
      </c>
      <c r="D170" t="s">
        <v>502</v>
      </c>
      <c r="E170" t="s">
        <v>53</v>
      </c>
      <c r="F170">
        <v>5</v>
      </c>
      <c r="G170" t="s">
        <v>12</v>
      </c>
      <c r="H170" t="s">
        <v>503</v>
      </c>
    </row>
    <row r="171" spans="1:8">
      <c r="A171">
        <v>51</v>
      </c>
      <c r="B171" t="s">
        <v>504</v>
      </c>
      <c r="C171" t="s">
        <v>9</v>
      </c>
      <c r="D171" t="s">
        <v>505</v>
      </c>
      <c r="E171" t="s">
        <v>29</v>
      </c>
      <c r="F171">
        <v>6</v>
      </c>
      <c r="G171" t="s">
        <v>12</v>
      </c>
      <c r="H171" t="s">
        <v>506</v>
      </c>
    </row>
    <row r="172" spans="1:8">
      <c r="A172">
        <v>52</v>
      </c>
      <c r="B172" t="s">
        <v>507</v>
      </c>
      <c r="C172" t="s">
        <v>20</v>
      </c>
      <c r="D172" t="s">
        <v>508</v>
      </c>
      <c r="E172" t="s">
        <v>11</v>
      </c>
      <c r="F172">
        <v>4</v>
      </c>
      <c r="G172" t="s">
        <v>12</v>
      </c>
      <c r="H172" t="s">
        <v>509</v>
      </c>
    </row>
    <row r="173" spans="1:8">
      <c r="A173">
        <v>53</v>
      </c>
      <c r="B173" t="s">
        <v>510</v>
      </c>
      <c r="C173" t="s">
        <v>9</v>
      </c>
      <c r="D173" t="s">
        <v>511</v>
      </c>
      <c r="E173" t="s">
        <v>16</v>
      </c>
      <c r="F173">
        <v>2</v>
      </c>
      <c r="G173" t="s">
        <v>12</v>
      </c>
      <c r="H173" t="s">
        <v>512</v>
      </c>
    </row>
    <row r="174" spans="1:8">
      <c r="A174">
        <v>54</v>
      </c>
      <c r="B174" t="s">
        <v>513</v>
      </c>
      <c r="C174" t="s">
        <v>9</v>
      </c>
      <c r="D174" t="s">
        <v>514</v>
      </c>
      <c r="E174" t="s">
        <v>53</v>
      </c>
      <c r="F174">
        <v>5</v>
      </c>
      <c r="G174" t="s">
        <v>17</v>
      </c>
      <c r="H174" t="s">
        <v>515</v>
      </c>
    </row>
    <row r="175" spans="1:8">
      <c r="A175">
        <v>55</v>
      </c>
      <c r="B175" t="s">
        <v>516</v>
      </c>
      <c r="C175" t="s">
        <v>20</v>
      </c>
      <c r="D175" t="s">
        <v>517</v>
      </c>
      <c r="E175" t="s">
        <v>16</v>
      </c>
      <c r="F175">
        <v>1</v>
      </c>
      <c r="G175" t="s">
        <v>25</v>
      </c>
      <c r="H175" t="s">
        <v>518</v>
      </c>
    </row>
    <row r="176" spans="1:8">
      <c r="A176">
        <v>56</v>
      </c>
      <c r="B176" t="s">
        <v>519</v>
      </c>
      <c r="C176" t="s">
        <v>9</v>
      </c>
      <c r="D176" t="s">
        <v>520</v>
      </c>
      <c r="E176" t="s">
        <v>33</v>
      </c>
      <c r="F176">
        <v>7</v>
      </c>
      <c r="G176" t="s">
        <v>25</v>
      </c>
      <c r="H176" t="s">
        <v>521</v>
      </c>
    </row>
    <row r="177" spans="1:8">
      <c r="A177">
        <v>57</v>
      </c>
      <c r="B177" t="s">
        <v>522</v>
      </c>
      <c r="C177" t="s">
        <v>20</v>
      </c>
      <c r="D177" t="s">
        <v>523</v>
      </c>
      <c r="E177" t="s">
        <v>43</v>
      </c>
      <c r="F177">
        <v>3</v>
      </c>
      <c r="G177" t="s">
        <v>12</v>
      </c>
      <c r="H177" t="s">
        <v>524</v>
      </c>
    </row>
    <row r="178" spans="1:8">
      <c r="A178">
        <v>58</v>
      </c>
      <c r="B178" t="s">
        <v>525</v>
      </c>
      <c r="C178" t="s">
        <v>20</v>
      </c>
      <c r="D178" t="s">
        <v>526</v>
      </c>
      <c r="E178" t="s">
        <v>16</v>
      </c>
      <c r="F178">
        <v>1</v>
      </c>
      <c r="G178" t="s">
        <v>12</v>
      </c>
      <c r="H178" t="s">
        <v>527</v>
      </c>
    </row>
    <row r="179" spans="1:8">
      <c r="A179">
        <v>59</v>
      </c>
      <c r="B179" t="s">
        <v>528</v>
      </c>
      <c r="C179" t="s">
        <v>9</v>
      </c>
      <c r="D179" t="s">
        <v>529</v>
      </c>
      <c r="E179" t="s">
        <v>16</v>
      </c>
      <c r="F179">
        <v>1</v>
      </c>
      <c r="G179" t="s">
        <v>25</v>
      </c>
      <c r="H179" t="s">
        <v>530</v>
      </c>
    </row>
    <row r="180" spans="1:8">
      <c r="A180">
        <v>60</v>
      </c>
      <c r="B180" t="s">
        <v>531</v>
      </c>
      <c r="C180" t="s">
        <v>9</v>
      </c>
      <c r="D180" t="s">
        <v>532</v>
      </c>
      <c r="E180" t="s">
        <v>33</v>
      </c>
      <c r="F180">
        <v>7</v>
      </c>
      <c r="G180" t="s">
        <v>17</v>
      </c>
      <c r="H180" t="s">
        <v>533</v>
      </c>
    </row>
    <row r="181" spans="1:8">
      <c r="A181">
        <v>61</v>
      </c>
      <c r="B181" t="s">
        <v>534</v>
      </c>
      <c r="C181" t="s">
        <v>9</v>
      </c>
      <c r="D181" t="s">
        <v>535</v>
      </c>
      <c r="E181" t="s">
        <v>43</v>
      </c>
      <c r="F181">
        <v>3</v>
      </c>
      <c r="G181" t="s">
        <v>25</v>
      </c>
      <c r="H181" t="s">
        <v>536</v>
      </c>
    </row>
    <row r="182" spans="1:8">
      <c r="A182">
        <v>62</v>
      </c>
      <c r="B182" t="s">
        <v>537</v>
      </c>
      <c r="C182" t="s">
        <v>9</v>
      </c>
      <c r="D182" t="s">
        <v>538</v>
      </c>
      <c r="E182" t="s">
        <v>16</v>
      </c>
      <c r="F182">
        <v>2</v>
      </c>
      <c r="G182" t="s">
        <v>17</v>
      </c>
      <c r="H182" t="s">
        <v>539</v>
      </c>
    </row>
    <row r="183" spans="1:8">
      <c r="A183">
        <v>63</v>
      </c>
      <c r="B183" t="s">
        <v>540</v>
      </c>
      <c r="C183" t="s">
        <v>9</v>
      </c>
      <c r="D183" t="s">
        <v>541</v>
      </c>
      <c r="E183" t="s">
        <v>11</v>
      </c>
      <c r="F183">
        <v>4</v>
      </c>
      <c r="G183" t="s">
        <v>12</v>
      </c>
      <c r="H183" t="s">
        <v>312</v>
      </c>
    </row>
    <row r="184" spans="1:8">
      <c r="A184">
        <v>64</v>
      </c>
      <c r="B184" t="s">
        <v>542</v>
      </c>
      <c r="C184" t="s">
        <v>9</v>
      </c>
      <c r="D184" t="s">
        <v>543</v>
      </c>
      <c r="E184" t="s">
        <v>43</v>
      </c>
      <c r="F184">
        <v>3</v>
      </c>
      <c r="G184" t="s">
        <v>25</v>
      </c>
      <c r="H184" t="s">
        <v>544</v>
      </c>
    </row>
    <row r="185" spans="1:8">
      <c r="A185">
        <v>65</v>
      </c>
      <c r="B185" t="s">
        <v>545</v>
      </c>
      <c r="C185" t="s">
        <v>9</v>
      </c>
      <c r="D185" t="s">
        <v>546</v>
      </c>
      <c r="E185" t="s">
        <v>16</v>
      </c>
      <c r="F185">
        <v>2</v>
      </c>
      <c r="G185" t="s">
        <v>12</v>
      </c>
      <c r="H185" t="s">
        <v>547</v>
      </c>
    </row>
    <row r="186" spans="1:8">
      <c r="A186">
        <v>66</v>
      </c>
      <c r="B186" t="s">
        <v>548</v>
      </c>
      <c r="C186" t="s">
        <v>9</v>
      </c>
      <c r="D186" t="s">
        <v>549</v>
      </c>
      <c r="E186" t="s">
        <v>53</v>
      </c>
      <c r="F186">
        <v>5</v>
      </c>
      <c r="G186" t="s">
        <v>12</v>
      </c>
      <c r="H186" t="s">
        <v>550</v>
      </c>
    </row>
    <row r="187" spans="1:8">
      <c r="A187">
        <v>67</v>
      </c>
      <c r="B187" t="s">
        <v>353</v>
      </c>
      <c r="C187" t="s">
        <v>9</v>
      </c>
      <c r="D187" t="s">
        <v>551</v>
      </c>
      <c r="E187" t="s">
        <v>33</v>
      </c>
      <c r="F187">
        <v>7</v>
      </c>
      <c r="G187" t="s">
        <v>25</v>
      </c>
      <c r="H187" t="s">
        <v>552</v>
      </c>
    </row>
    <row r="188" spans="1:8">
      <c r="A188">
        <v>68</v>
      </c>
      <c r="B188" t="s">
        <v>553</v>
      </c>
      <c r="C188" t="s">
        <v>20</v>
      </c>
      <c r="D188" t="s">
        <v>554</v>
      </c>
      <c r="E188" t="s">
        <v>11</v>
      </c>
      <c r="F188">
        <v>4</v>
      </c>
      <c r="G188" t="s">
        <v>12</v>
      </c>
      <c r="H188" t="s">
        <v>555</v>
      </c>
    </row>
    <row r="189" spans="1:8">
      <c r="A189">
        <v>69</v>
      </c>
      <c r="B189" t="s">
        <v>556</v>
      </c>
      <c r="C189" t="s">
        <v>9</v>
      </c>
      <c r="D189" t="s">
        <v>557</v>
      </c>
      <c r="E189" t="s">
        <v>16</v>
      </c>
      <c r="F189">
        <v>1</v>
      </c>
      <c r="G189" t="s">
        <v>25</v>
      </c>
      <c r="H189" t="s">
        <v>558</v>
      </c>
    </row>
    <row r="190" spans="1:8">
      <c r="A190">
        <v>70</v>
      </c>
      <c r="B190" t="s">
        <v>93</v>
      </c>
      <c r="C190" t="s">
        <v>9</v>
      </c>
      <c r="D190" t="s">
        <v>559</v>
      </c>
      <c r="E190" t="s">
        <v>16</v>
      </c>
      <c r="F190">
        <v>1</v>
      </c>
      <c r="G190" t="s">
        <v>17</v>
      </c>
      <c r="H190" t="s">
        <v>560</v>
      </c>
    </row>
    <row r="191" spans="1:8">
      <c r="A191">
        <v>71</v>
      </c>
      <c r="B191" t="s">
        <v>561</v>
      </c>
      <c r="C191" t="s">
        <v>9</v>
      </c>
      <c r="D191" t="s">
        <v>562</v>
      </c>
      <c r="E191" t="s">
        <v>43</v>
      </c>
      <c r="F191">
        <v>3</v>
      </c>
      <c r="G191" t="s">
        <v>17</v>
      </c>
      <c r="H191" t="s">
        <v>563</v>
      </c>
    </row>
    <row r="192" spans="1:8">
      <c r="A192">
        <v>72</v>
      </c>
      <c r="B192" t="s">
        <v>564</v>
      </c>
      <c r="C192" t="s">
        <v>20</v>
      </c>
      <c r="D192" t="s">
        <v>565</v>
      </c>
      <c r="E192" t="s">
        <v>16</v>
      </c>
      <c r="F192">
        <v>2</v>
      </c>
      <c r="G192" t="s">
        <v>25</v>
      </c>
      <c r="H192" t="s">
        <v>566</v>
      </c>
    </row>
    <row r="193" spans="1:8">
      <c r="A193">
        <v>73</v>
      </c>
      <c r="B193" t="s">
        <v>567</v>
      </c>
      <c r="C193" t="s">
        <v>20</v>
      </c>
      <c r="D193" t="s">
        <v>568</v>
      </c>
      <c r="E193" t="s">
        <v>29</v>
      </c>
      <c r="F193">
        <v>6</v>
      </c>
      <c r="G193" t="s">
        <v>17</v>
      </c>
      <c r="H193" t="s">
        <v>569</v>
      </c>
    </row>
    <row r="194" spans="1:8">
      <c r="A194">
        <v>74</v>
      </c>
      <c r="B194" t="s">
        <v>570</v>
      </c>
      <c r="C194" t="s">
        <v>20</v>
      </c>
      <c r="D194" t="s">
        <v>571</v>
      </c>
      <c r="E194" t="s">
        <v>11</v>
      </c>
      <c r="F194">
        <v>4</v>
      </c>
      <c r="G194" t="s">
        <v>12</v>
      </c>
      <c r="H194" t="s">
        <v>572</v>
      </c>
    </row>
    <row r="195" spans="1:8">
      <c r="A195">
        <v>75</v>
      </c>
      <c r="B195" t="s">
        <v>153</v>
      </c>
      <c r="C195" t="s">
        <v>20</v>
      </c>
      <c r="D195" t="s">
        <v>573</v>
      </c>
      <c r="E195" t="s">
        <v>16</v>
      </c>
      <c r="F195">
        <v>1</v>
      </c>
      <c r="G195" t="s">
        <v>12</v>
      </c>
      <c r="H195" t="s">
        <v>574</v>
      </c>
    </row>
    <row r="196" spans="1:8">
      <c r="A196">
        <v>76</v>
      </c>
      <c r="B196" t="s">
        <v>575</v>
      </c>
      <c r="C196" t="s">
        <v>9</v>
      </c>
      <c r="D196" t="s">
        <v>576</v>
      </c>
      <c r="E196" t="s">
        <v>11</v>
      </c>
      <c r="F196">
        <v>4</v>
      </c>
      <c r="G196" t="s">
        <v>12</v>
      </c>
      <c r="H196" t="s">
        <v>577</v>
      </c>
    </row>
    <row r="197" spans="1:8">
      <c r="A197">
        <v>77</v>
      </c>
      <c r="B197" t="s">
        <v>307</v>
      </c>
      <c r="C197" t="s">
        <v>20</v>
      </c>
      <c r="D197" t="s">
        <v>578</v>
      </c>
      <c r="E197" t="s">
        <v>29</v>
      </c>
      <c r="F197">
        <v>6</v>
      </c>
      <c r="G197" t="s">
        <v>17</v>
      </c>
      <c r="H197" t="s">
        <v>579</v>
      </c>
    </row>
    <row r="198" spans="1:8">
      <c r="A198">
        <v>78</v>
      </c>
      <c r="B198" t="s">
        <v>580</v>
      </c>
      <c r="C198" t="s">
        <v>20</v>
      </c>
      <c r="D198" t="s">
        <v>581</v>
      </c>
      <c r="E198" t="s">
        <v>11</v>
      </c>
      <c r="F198">
        <v>4</v>
      </c>
      <c r="G198" t="s">
        <v>25</v>
      </c>
      <c r="H198" t="s">
        <v>582</v>
      </c>
    </row>
    <row r="199" spans="1:8">
      <c r="A199">
        <v>79</v>
      </c>
      <c r="B199" t="s">
        <v>583</v>
      </c>
      <c r="C199" t="s">
        <v>9</v>
      </c>
      <c r="D199" t="s">
        <v>584</v>
      </c>
      <c r="E199" t="s">
        <v>16</v>
      </c>
      <c r="F199">
        <v>1</v>
      </c>
      <c r="G199" t="s">
        <v>17</v>
      </c>
      <c r="H199" t="s">
        <v>585</v>
      </c>
    </row>
    <row r="200" spans="1:8">
      <c r="A200">
        <v>80</v>
      </c>
      <c r="B200" t="s">
        <v>586</v>
      </c>
      <c r="C200" t="s">
        <v>9</v>
      </c>
      <c r="D200" t="s">
        <v>587</v>
      </c>
      <c r="E200" t="s">
        <v>16</v>
      </c>
      <c r="F200">
        <v>2</v>
      </c>
      <c r="G200" t="s">
        <v>12</v>
      </c>
      <c r="H200" t="s">
        <v>588</v>
      </c>
    </row>
    <row r="201" spans="1:8">
      <c r="A201">
        <v>81</v>
      </c>
      <c r="B201" t="s">
        <v>99</v>
      </c>
      <c r="C201" t="s">
        <v>9</v>
      </c>
      <c r="D201" t="s">
        <v>589</v>
      </c>
      <c r="E201" t="s">
        <v>11</v>
      </c>
      <c r="F201">
        <v>4</v>
      </c>
      <c r="G201" t="s">
        <v>12</v>
      </c>
      <c r="H201" t="s">
        <v>590</v>
      </c>
    </row>
    <row r="202" spans="1:8">
      <c r="A202">
        <v>82</v>
      </c>
      <c r="B202" t="s">
        <v>591</v>
      </c>
      <c r="C202" t="s">
        <v>20</v>
      </c>
      <c r="D202" t="s">
        <v>592</v>
      </c>
      <c r="E202" t="s">
        <v>16</v>
      </c>
      <c r="F202">
        <v>2</v>
      </c>
      <c r="G202" t="s">
        <v>12</v>
      </c>
      <c r="H202" t="s">
        <v>593</v>
      </c>
    </row>
    <row r="203" spans="1:8">
      <c r="A203">
        <v>83</v>
      </c>
      <c r="B203" t="s">
        <v>594</v>
      </c>
      <c r="C203" t="s">
        <v>20</v>
      </c>
      <c r="D203" t="s">
        <v>595</v>
      </c>
      <c r="E203" t="s">
        <v>43</v>
      </c>
      <c r="F203">
        <v>3</v>
      </c>
      <c r="G203" t="s">
        <v>25</v>
      </c>
      <c r="H203" t="s">
        <v>596</v>
      </c>
    </row>
    <row r="204" spans="1:8">
      <c r="A204">
        <v>84</v>
      </c>
      <c r="B204" t="s">
        <v>445</v>
      </c>
      <c r="C204" t="s">
        <v>9</v>
      </c>
      <c r="D204" t="s">
        <v>597</v>
      </c>
      <c r="E204" t="s">
        <v>43</v>
      </c>
      <c r="F204">
        <v>3</v>
      </c>
      <c r="G204" t="s">
        <v>17</v>
      </c>
      <c r="H204" t="s">
        <v>598</v>
      </c>
    </row>
    <row r="205" spans="1:8">
      <c r="A205">
        <v>85</v>
      </c>
      <c r="B205" t="s">
        <v>599</v>
      </c>
      <c r="C205" t="s">
        <v>20</v>
      </c>
      <c r="D205" t="s">
        <v>600</v>
      </c>
      <c r="E205" t="s">
        <v>16</v>
      </c>
      <c r="F205">
        <v>1</v>
      </c>
      <c r="G205" t="s">
        <v>25</v>
      </c>
      <c r="H205" t="s">
        <v>601</v>
      </c>
    </row>
    <row r="206" spans="1:8">
      <c r="A206">
        <v>86</v>
      </c>
      <c r="B206" t="s">
        <v>602</v>
      </c>
      <c r="C206" t="s">
        <v>9</v>
      </c>
      <c r="D206" t="s">
        <v>603</v>
      </c>
      <c r="E206" t="s">
        <v>16</v>
      </c>
      <c r="F206">
        <v>1</v>
      </c>
      <c r="G206" t="s">
        <v>25</v>
      </c>
      <c r="H206" t="s">
        <v>604</v>
      </c>
    </row>
    <row r="207" spans="1:8">
      <c r="A207">
        <v>87</v>
      </c>
      <c r="B207" t="s">
        <v>605</v>
      </c>
      <c r="C207" t="s">
        <v>20</v>
      </c>
      <c r="D207" t="s">
        <v>606</v>
      </c>
      <c r="E207" t="s">
        <v>16</v>
      </c>
      <c r="F207">
        <v>2</v>
      </c>
      <c r="G207" t="s">
        <v>17</v>
      </c>
      <c r="H207" t="s">
        <v>365</v>
      </c>
    </row>
    <row r="208" spans="1:8">
      <c r="A208">
        <v>88</v>
      </c>
      <c r="B208" t="s">
        <v>607</v>
      </c>
      <c r="C208" t="s">
        <v>20</v>
      </c>
      <c r="D208" t="s">
        <v>608</v>
      </c>
      <c r="E208" t="s">
        <v>16</v>
      </c>
      <c r="F208">
        <v>2</v>
      </c>
      <c r="G208" t="s">
        <v>25</v>
      </c>
      <c r="H208" t="s">
        <v>609</v>
      </c>
    </row>
    <row r="209" spans="1:8">
      <c r="A209">
        <v>89</v>
      </c>
      <c r="B209" t="s">
        <v>610</v>
      </c>
      <c r="C209" t="s">
        <v>9</v>
      </c>
      <c r="D209" t="s">
        <v>611</v>
      </c>
      <c r="E209" t="s">
        <v>16</v>
      </c>
      <c r="F209">
        <v>1</v>
      </c>
      <c r="G209" t="s">
        <v>25</v>
      </c>
      <c r="H209" t="s">
        <v>612</v>
      </c>
    </row>
    <row r="210" spans="1:8">
      <c r="A210">
        <v>90</v>
      </c>
      <c r="B210" t="s">
        <v>613</v>
      </c>
      <c r="C210" t="s">
        <v>9</v>
      </c>
      <c r="D210" t="s">
        <v>614</v>
      </c>
      <c r="E210" t="s">
        <v>11</v>
      </c>
      <c r="F210">
        <v>4</v>
      </c>
      <c r="G210" t="s">
        <v>25</v>
      </c>
      <c r="H210" t="s">
        <v>615</v>
      </c>
    </row>
    <row r="211" spans="1:8">
      <c r="A211">
        <v>91</v>
      </c>
      <c r="B211" t="s">
        <v>616</v>
      </c>
      <c r="C211" t="s">
        <v>20</v>
      </c>
      <c r="D211" t="s">
        <v>617</v>
      </c>
      <c r="E211" t="s">
        <v>33</v>
      </c>
      <c r="F211">
        <v>7</v>
      </c>
      <c r="G211" t="s">
        <v>25</v>
      </c>
      <c r="H211" t="s">
        <v>618</v>
      </c>
    </row>
    <row r="212" spans="1:8">
      <c r="A212">
        <v>92</v>
      </c>
      <c r="B212" t="s">
        <v>619</v>
      </c>
      <c r="C212" t="s">
        <v>9</v>
      </c>
      <c r="D212" t="s">
        <v>620</v>
      </c>
      <c r="E212" t="s">
        <v>11</v>
      </c>
      <c r="F212">
        <v>4</v>
      </c>
      <c r="G212" t="s">
        <v>12</v>
      </c>
      <c r="H212" t="s">
        <v>621</v>
      </c>
    </row>
    <row r="213" spans="1:8">
      <c r="A213">
        <v>93</v>
      </c>
      <c r="B213" t="s">
        <v>212</v>
      </c>
      <c r="C213" t="s">
        <v>9</v>
      </c>
      <c r="D213" t="s">
        <v>622</v>
      </c>
      <c r="E213" t="s">
        <v>43</v>
      </c>
      <c r="F213">
        <v>3</v>
      </c>
      <c r="G213" t="s">
        <v>25</v>
      </c>
      <c r="H213" t="s">
        <v>623</v>
      </c>
    </row>
    <row r="214" spans="1:8">
      <c r="A214">
        <v>94</v>
      </c>
      <c r="B214" t="s">
        <v>624</v>
      </c>
      <c r="C214" t="s">
        <v>20</v>
      </c>
      <c r="D214" t="s">
        <v>625</v>
      </c>
      <c r="E214" t="s">
        <v>29</v>
      </c>
      <c r="F214">
        <v>6</v>
      </c>
      <c r="G214" t="s">
        <v>25</v>
      </c>
      <c r="H214" t="s">
        <v>44</v>
      </c>
    </row>
    <row r="215" spans="1:8">
      <c r="A215">
        <v>95</v>
      </c>
      <c r="B215" t="s">
        <v>239</v>
      </c>
      <c r="C215" t="s">
        <v>9</v>
      </c>
      <c r="D215" t="s">
        <v>626</v>
      </c>
      <c r="E215" t="s">
        <v>43</v>
      </c>
      <c r="F215">
        <v>3</v>
      </c>
      <c r="G215" t="s">
        <v>12</v>
      </c>
      <c r="H215" t="s">
        <v>627</v>
      </c>
    </row>
    <row r="216" spans="1:8">
      <c r="A216">
        <v>96</v>
      </c>
      <c r="B216" t="s">
        <v>628</v>
      </c>
      <c r="C216" t="s">
        <v>9</v>
      </c>
      <c r="D216" t="s">
        <v>629</v>
      </c>
      <c r="E216" t="s">
        <v>53</v>
      </c>
      <c r="F216">
        <v>5</v>
      </c>
      <c r="G216" t="s">
        <v>12</v>
      </c>
      <c r="H216" t="s">
        <v>630</v>
      </c>
    </row>
    <row r="217" spans="1:8">
      <c r="A217">
        <v>97</v>
      </c>
      <c r="B217" t="s">
        <v>631</v>
      </c>
      <c r="C217" t="s">
        <v>20</v>
      </c>
      <c r="D217" t="s">
        <v>632</v>
      </c>
      <c r="E217" t="s">
        <v>11</v>
      </c>
      <c r="F217">
        <v>4</v>
      </c>
      <c r="G217" t="s">
        <v>25</v>
      </c>
      <c r="H217" t="s">
        <v>633</v>
      </c>
    </row>
    <row r="218" spans="1:8">
      <c r="A218">
        <v>98</v>
      </c>
      <c r="B218" t="s">
        <v>634</v>
      </c>
      <c r="C218" t="s">
        <v>20</v>
      </c>
      <c r="D218" t="s">
        <v>635</v>
      </c>
      <c r="E218" t="s">
        <v>11</v>
      </c>
      <c r="F218">
        <v>4</v>
      </c>
      <c r="G218" t="s">
        <v>12</v>
      </c>
      <c r="H218" t="s">
        <v>636</v>
      </c>
    </row>
    <row r="219" spans="1:8">
      <c r="A219">
        <v>99</v>
      </c>
      <c r="B219" t="s">
        <v>634</v>
      </c>
      <c r="C219" t="s">
        <v>20</v>
      </c>
      <c r="D219" t="s">
        <v>637</v>
      </c>
      <c r="E219" t="s">
        <v>53</v>
      </c>
      <c r="F219">
        <v>5</v>
      </c>
      <c r="G219" t="s">
        <v>12</v>
      </c>
      <c r="H219" t="s">
        <v>638</v>
      </c>
    </row>
    <row r="220" spans="1:8">
      <c r="A220">
        <v>100</v>
      </c>
      <c r="B220" t="s">
        <v>639</v>
      </c>
      <c r="C220" t="s">
        <v>9</v>
      </c>
      <c r="D220" t="s">
        <v>640</v>
      </c>
      <c r="E220" t="s">
        <v>29</v>
      </c>
      <c r="F220">
        <v>6</v>
      </c>
      <c r="G220" t="s">
        <v>25</v>
      </c>
      <c r="H220" t="s">
        <v>641</v>
      </c>
    </row>
    <row r="221" spans="1:8">
      <c r="A221">
        <v>101</v>
      </c>
      <c r="B221" t="s">
        <v>642</v>
      </c>
      <c r="C221" t="s">
        <v>9</v>
      </c>
      <c r="D221" t="s">
        <v>643</v>
      </c>
      <c r="E221" t="s">
        <v>11</v>
      </c>
      <c r="F221">
        <v>4</v>
      </c>
      <c r="G221" t="s">
        <v>12</v>
      </c>
      <c r="H221" t="s">
        <v>644</v>
      </c>
    </row>
    <row r="222" spans="1:8">
      <c r="A222">
        <v>102</v>
      </c>
      <c r="B222" t="s">
        <v>645</v>
      </c>
      <c r="C222" t="s">
        <v>20</v>
      </c>
      <c r="D222" t="s">
        <v>646</v>
      </c>
      <c r="E222" t="s">
        <v>16</v>
      </c>
      <c r="F222">
        <v>1</v>
      </c>
      <c r="G222" t="s">
        <v>12</v>
      </c>
      <c r="H222" t="s">
        <v>647</v>
      </c>
    </row>
    <row r="223" spans="1:8">
      <c r="A223">
        <v>103</v>
      </c>
      <c r="B223" t="s">
        <v>648</v>
      </c>
      <c r="C223" t="s">
        <v>9</v>
      </c>
      <c r="D223" t="s">
        <v>649</v>
      </c>
      <c r="E223" t="s">
        <v>43</v>
      </c>
      <c r="F223">
        <v>3</v>
      </c>
      <c r="G223" t="s">
        <v>25</v>
      </c>
      <c r="H223" t="s">
        <v>650</v>
      </c>
    </row>
    <row r="224" spans="1:8">
      <c r="A224">
        <v>104</v>
      </c>
      <c r="B224" t="s">
        <v>651</v>
      </c>
      <c r="C224" t="s">
        <v>9</v>
      </c>
      <c r="D224" t="s">
        <v>652</v>
      </c>
      <c r="E224" t="s">
        <v>43</v>
      </c>
      <c r="F224">
        <v>3</v>
      </c>
      <c r="G224" t="s">
        <v>12</v>
      </c>
      <c r="H224" t="s">
        <v>653</v>
      </c>
    </row>
    <row r="225" spans="1:8">
      <c r="A225">
        <v>105</v>
      </c>
      <c r="B225" t="s">
        <v>654</v>
      </c>
      <c r="C225" t="s">
        <v>20</v>
      </c>
      <c r="D225" t="s">
        <v>655</v>
      </c>
      <c r="E225" t="s">
        <v>53</v>
      </c>
      <c r="F225">
        <v>5</v>
      </c>
      <c r="G225" t="s">
        <v>12</v>
      </c>
      <c r="H225" t="s">
        <v>656</v>
      </c>
    </row>
    <row r="226" spans="1:8">
      <c r="A226">
        <v>106</v>
      </c>
      <c r="B226" t="s">
        <v>657</v>
      </c>
      <c r="C226" t="s">
        <v>20</v>
      </c>
      <c r="D226" t="s">
        <v>658</v>
      </c>
      <c r="E226" t="s">
        <v>53</v>
      </c>
      <c r="F226">
        <v>5</v>
      </c>
      <c r="G226" t="s">
        <v>12</v>
      </c>
      <c r="H226" t="s">
        <v>349</v>
      </c>
    </row>
    <row r="227" spans="1:8">
      <c r="A227">
        <v>107</v>
      </c>
      <c r="B227" t="s">
        <v>659</v>
      </c>
      <c r="C227" t="s">
        <v>9</v>
      </c>
      <c r="D227" t="s">
        <v>660</v>
      </c>
      <c r="E227" t="s">
        <v>16</v>
      </c>
      <c r="F227">
        <v>2</v>
      </c>
      <c r="G227" t="s">
        <v>12</v>
      </c>
      <c r="H227" t="s">
        <v>661</v>
      </c>
    </row>
    <row r="228" spans="1:8">
      <c r="A228">
        <v>108</v>
      </c>
      <c r="B228" t="s">
        <v>662</v>
      </c>
      <c r="C228" t="s">
        <v>20</v>
      </c>
      <c r="D228" t="s">
        <v>663</v>
      </c>
      <c r="E228" t="s">
        <v>11</v>
      </c>
      <c r="F228">
        <v>4</v>
      </c>
      <c r="G228" t="s">
        <v>12</v>
      </c>
      <c r="H228" t="s">
        <v>664</v>
      </c>
    </row>
    <row r="229" spans="1:8">
      <c r="A229">
        <v>109</v>
      </c>
      <c r="B229" t="s">
        <v>665</v>
      </c>
      <c r="C229" t="s">
        <v>20</v>
      </c>
      <c r="D229" t="s">
        <v>666</v>
      </c>
      <c r="E229" t="s">
        <v>43</v>
      </c>
      <c r="F229">
        <v>3</v>
      </c>
      <c r="G229" t="s">
        <v>12</v>
      </c>
      <c r="H229" t="s">
        <v>667</v>
      </c>
    </row>
    <row r="230" spans="1:8">
      <c r="A230">
        <v>110</v>
      </c>
      <c r="B230" t="s">
        <v>668</v>
      </c>
      <c r="C230" t="s">
        <v>20</v>
      </c>
      <c r="D230" t="s">
        <v>669</v>
      </c>
      <c r="E230" t="s">
        <v>33</v>
      </c>
      <c r="F230">
        <v>7</v>
      </c>
      <c r="G230" t="s">
        <v>12</v>
      </c>
      <c r="H230" t="s">
        <v>670</v>
      </c>
    </row>
    <row r="231" spans="1:8">
      <c r="A231">
        <v>111</v>
      </c>
      <c r="B231" t="s">
        <v>671</v>
      </c>
      <c r="C231" t="s">
        <v>20</v>
      </c>
      <c r="D231" t="s">
        <v>672</v>
      </c>
      <c r="E231" t="s">
        <v>53</v>
      </c>
      <c r="F231">
        <v>5</v>
      </c>
      <c r="G231" t="s">
        <v>12</v>
      </c>
      <c r="H231" t="s">
        <v>673</v>
      </c>
    </row>
    <row r="232" spans="1:8">
      <c r="A232">
        <v>112</v>
      </c>
      <c r="B232" t="s">
        <v>674</v>
      </c>
      <c r="C232" t="s">
        <v>9</v>
      </c>
      <c r="D232" t="s">
        <v>675</v>
      </c>
      <c r="E232" t="s">
        <v>53</v>
      </c>
      <c r="F232">
        <v>5</v>
      </c>
      <c r="G232" t="s">
        <v>12</v>
      </c>
      <c r="H232" t="s">
        <v>676</v>
      </c>
    </row>
    <row r="233" spans="1:8">
      <c r="A233">
        <v>113</v>
      </c>
      <c r="B233" t="s">
        <v>419</v>
      </c>
      <c r="C233" t="s">
        <v>9</v>
      </c>
      <c r="D233" t="s">
        <v>677</v>
      </c>
      <c r="E233" t="s">
        <v>43</v>
      </c>
      <c r="F233">
        <v>3</v>
      </c>
      <c r="G233" t="s">
        <v>17</v>
      </c>
      <c r="H233" t="s">
        <v>667</v>
      </c>
    </row>
    <row r="234" spans="1:8">
      <c r="A234">
        <v>114</v>
      </c>
      <c r="B234" t="s">
        <v>461</v>
      </c>
      <c r="C234" t="s">
        <v>9</v>
      </c>
      <c r="D234" t="s">
        <v>678</v>
      </c>
      <c r="E234" t="s">
        <v>53</v>
      </c>
      <c r="F234">
        <v>5</v>
      </c>
      <c r="G234" t="s">
        <v>12</v>
      </c>
      <c r="H234" t="s">
        <v>679</v>
      </c>
    </row>
    <row r="235" spans="1:8">
      <c r="A235">
        <v>115</v>
      </c>
      <c r="B235" t="s">
        <v>680</v>
      </c>
      <c r="C235" t="s">
        <v>9</v>
      </c>
      <c r="D235" t="s">
        <v>681</v>
      </c>
      <c r="E235" t="s">
        <v>16</v>
      </c>
      <c r="F235">
        <v>1</v>
      </c>
      <c r="G235" t="s">
        <v>12</v>
      </c>
      <c r="H235" t="s">
        <v>682</v>
      </c>
    </row>
    <row r="236" spans="1:8">
      <c r="A236">
        <v>116</v>
      </c>
      <c r="B236" t="s">
        <v>683</v>
      </c>
      <c r="C236" t="s">
        <v>20</v>
      </c>
      <c r="D236" t="s">
        <v>684</v>
      </c>
      <c r="E236" t="s">
        <v>11</v>
      </c>
      <c r="F236">
        <v>4</v>
      </c>
      <c r="G236" t="s">
        <v>25</v>
      </c>
      <c r="H236" t="s">
        <v>685</v>
      </c>
    </row>
    <row r="237" spans="1:8">
      <c r="A237">
        <v>117</v>
      </c>
      <c r="B237" t="s">
        <v>316</v>
      </c>
      <c r="C237" t="s">
        <v>9</v>
      </c>
      <c r="D237" t="s">
        <v>686</v>
      </c>
      <c r="E237" t="s">
        <v>16</v>
      </c>
      <c r="F237">
        <v>1</v>
      </c>
      <c r="G237" t="s">
        <v>17</v>
      </c>
      <c r="H237" t="s">
        <v>687</v>
      </c>
    </row>
    <row r="238" spans="1:8">
      <c r="A238">
        <v>118</v>
      </c>
      <c r="B238" t="s">
        <v>688</v>
      </c>
      <c r="C238" t="s">
        <v>9</v>
      </c>
      <c r="D238" t="s">
        <v>689</v>
      </c>
      <c r="E238" t="s">
        <v>53</v>
      </c>
      <c r="F238">
        <v>5</v>
      </c>
      <c r="G238" t="s">
        <v>12</v>
      </c>
      <c r="H238" t="s">
        <v>690</v>
      </c>
    </row>
    <row r="239" spans="1:8">
      <c r="A239">
        <v>119</v>
      </c>
      <c r="B239" t="s">
        <v>691</v>
      </c>
      <c r="C239" t="s">
        <v>20</v>
      </c>
      <c r="D239" t="s">
        <v>692</v>
      </c>
      <c r="E239" t="s">
        <v>53</v>
      </c>
      <c r="F239">
        <v>5</v>
      </c>
      <c r="G239" t="s">
        <v>12</v>
      </c>
      <c r="H239" t="s">
        <v>60</v>
      </c>
    </row>
    <row r="240" spans="1:8">
      <c r="A240">
        <v>120</v>
      </c>
      <c r="B240" t="s">
        <v>693</v>
      </c>
      <c r="C240" t="s">
        <v>20</v>
      </c>
      <c r="D240" t="s">
        <v>694</v>
      </c>
      <c r="E240" t="s">
        <v>53</v>
      </c>
      <c r="F240">
        <v>5</v>
      </c>
      <c r="G240" t="s">
        <v>17</v>
      </c>
      <c r="H240" t="s">
        <v>395</v>
      </c>
    </row>
    <row r="241" spans="1:8">
      <c r="A241">
        <v>121</v>
      </c>
      <c r="B241" t="s">
        <v>284</v>
      </c>
      <c r="C241" t="s">
        <v>20</v>
      </c>
      <c r="D241" t="s">
        <v>695</v>
      </c>
      <c r="E241" t="s">
        <v>16</v>
      </c>
      <c r="F241">
        <v>1</v>
      </c>
      <c r="G241" t="s">
        <v>12</v>
      </c>
      <c r="H241" t="s">
        <v>696</v>
      </c>
    </row>
    <row r="242" spans="1:8">
      <c r="A242">
        <v>122</v>
      </c>
      <c r="B242" t="s">
        <v>697</v>
      </c>
      <c r="C242" t="s">
        <v>20</v>
      </c>
      <c r="D242" t="s">
        <v>698</v>
      </c>
      <c r="E242" t="s">
        <v>43</v>
      </c>
      <c r="F242">
        <v>3</v>
      </c>
      <c r="G242" t="s">
        <v>25</v>
      </c>
      <c r="H242" t="s">
        <v>699</v>
      </c>
    </row>
    <row r="243" spans="1:8">
      <c r="A243">
        <v>123</v>
      </c>
      <c r="B243" t="s">
        <v>700</v>
      </c>
      <c r="C243" t="s">
        <v>9</v>
      </c>
      <c r="D243" t="s">
        <v>701</v>
      </c>
      <c r="E243" t="s">
        <v>29</v>
      </c>
      <c r="F243">
        <v>6</v>
      </c>
      <c r="G243" t="s">
        <v>12</v>
      </c>
      <c r="H243" t="s">
        <v>702</v>
      </c>
    </row>
    <row r="244" spans="1:8">
      <c r="A244">
        <v>124</v>
      </c>
      <c r="B244" t="s">
        <v>703</v>
      </c>
      <c r="C244" t="s">
        <v>20</v>
      </c>
      <c r="D244" t="s">
        <v>704</v>
      </c>
      <c r="E244" t="s">
        <v>29</v>
      </c>
      <c r="F244">
        <v>6</v>
      </c>
      <c r="G244" t="s">
        <v>25</v>
      </c>
      <c r="H244" t="s">
        <v>705</v>
      </c>
    </row>
    <row r="245" spans="1:8">
      <c r="A245">
        <v>125</v>
      </c>
      <c r="B245" t="s">
        <v>358</v>
      </c>
      <c r="C245" t="s">
        <v>20</v>
      </c>
      <c r="D245" t="s">
        <v>706</v>
      </c>
      <c r="E245" t="s">
        <v>11</v>
      </c>
      <c r="F245">
        <v>4</v>
      </c>
      <c r="G245" t="s">
        <v>25</v>
      </c>
      <c r="H245" t="s">
        <v>707</v>
      </c>
    </row>
    <row r="246" spans="1:8">
      <c r="A246">
        <v>126</v>
      </c>
      <c r="B246" t="s">
        <v>708</v>
      </c>
      <c r="C246" t="s">
        <v>20</v>
      </c>
      <c r="D246" t="s">
        <v>709</v>
      </c>
      <c r="E246" t="s">
        <v>29</v>
      </c>
      <c r="F246">
        <v>6</v>
      </c>
      <c r="G246" t="s">
        <v>12</v>
      </c>
      <c r="H246" t="s">
        <v>574</v>
      </c>
    </row>
    <row r="247" spans="1:8">
      <c r="A247">
        <v>127</v>
      </c>
      <c r="B247" t="s">
        <v>212</v>
      </c>
      <c r="C247" t="s">
        <v>9</v>
      </c>
      <c r="D247" t="s">
        <v>333</v>
      </c>
      <c r="E247" t="s">
        <v>16</v>
      </c>
      <c r="F247">
        <v>2</v>
      </c>
      <c r="G247" t="s">
        <v>25</v>
      </c>
      <c r="H247" t="s">
        <v>710</v>
      </c>
    </row>
    <row r="248" spans="1:8">
      <c r="A248">
        <v>128</v>
      </c>
      <c r="B248" t="s">
        <v>484</v>
      </c>
      <c r="C248" t="s">
        <v>20</v>
      </c>
      <c r="D248" t="s">
        <v>711</v>
      </c>
      <c r="E248" t="s">
        <v>16</v>
      </c>
      <c r="F248">
        <v>1</v>
      </c>
      <c r="G248" t="s">
        <v>25</v>
      </c>
      <c r="H248" t="s">
        <v>712</v>
      </c>
    </row>
    <row r="249" spans="1:8">
      <c r="A249">
        <v>129</v>
      </c>
      <c r="B249" t="s">
        <v>713</v>
      </c>
      <c r="C249" t="s">
        <v>20</v>
      </c>
      <c r="D249" t="s">
        <v>714</v>
      </c>
      <c r="E249" t="s">
        <v>11</v>
      </c>
      <c r="F249">
        <v>4</v>
      </c>
      <c r="G249" t="s">
        <v>25</v>
      </c>
      <c r="H249" t="s">
        <v>715</v>
      </c>
    </row>
    <row r="250" spans="1:8">
      <c r="A250">
        <v>130</v>
      </c>
      <c r="B250" t="s">
        <v>716</v>
      </c>
      <c r="C250" t="s">
        <v>20</v>
      </c>
      <c r="D250" t="s">
        <v>717</v>
      </c>
      <c r="E250" t="s">
        <v>53</v>
      </c>
      <c r="F250">
        <v>5</v>
      </c>
      <c r="G250" t="s">
        <v>12</v>
      </c>
      <c r="H250" t="s">
        <v>718</v>
      </c>
    </row>
    <row r="251" spans="1:8">
      <c r="A251">
        <v>131</v>
      </c>
      <c r="B251" t="s">
        <v>719</v>
      </c>
      <c r="C251" t="s">
        <v>20</v>
      </c>
      <c r="D251" t="s">
        <v>720</v>
      </c>
      <c r="E251" t="s">
        <v>11</v>
      </c>
      <c r="F251">
        <v>4</v>
      </c>
      <c r="G251" t="s">
        <v>12</v>
      </c>
      <c r="H251" t="s">
        <v>721</v>
      </c>
    </row>
    <row r="252" spans="1:8">
      <c r="A252">
        <v>132</v>
      </c>
      <c r="B252" t="s">
        <v>267</v>
      </c>
      <c r="C252" t="s">
        <v>20</v>
      </c>
      <c r="D252" t="s">
        <v>722</v>
      </c>
      <c r="E252" t="s">
        <v>11</v>
      </c>
      <c r="F252">
        <v>4</v>
      </c>
      <c r="G252" t="s">
        <v>12</v>
      </c>
      <c r="H252" t="s">
        <v>723</v>
      </c>
    </row>
    <row r="253" spans="1:8">
      <c r="A253">
        <v>133</v>
      </c>
      <c r="B253" t="s">
        <v>724</v>
      </c>
      <c r="C253" t="s">
        <v>9</v>
      </c>
      <c r="D253" t="s">
        <v>725</v>
      </c>
      <c r="E253" t="s">
        <v>33</v>
      </c>
      <c r="F253">
        <v>7</v>
      </c>
      <c r="G253" t="s">
        <v>25</v>
      </c>
      <c r="H253" t="s">
        <v>726</v>
      </c>
    </row>
    <row r="254" spans="1:8">
      <c r="A254">
        <v>134</v>
      </c>
      <c r="B254" t="s">
        <v>727</v>
      </c>
      <c r="C254" t="s">
        <v>20</v>
      </c>
      <c r="D254" t="s">
        <v>728</v>
      </c>
      <c r="E254" t="s">
        <v>29</v>
      </c>
      <c r="F254">
        <v>6</v>
      </c>
      <c r="G254" t="s">
        <v>12</v>
      </c>
      <c r="H254" t="s">
        <v>729</v>
      </c>
    </row>
    <row r="255" spans="1:8">
      <c r="A255">
        <v>135</v>
      </c>
      <c r="B255" t="s">
        <v>165</v>
      </c>
      <c r="C255" t="s">
        <v>20</v>
      </c>
      <c r="D255" t="s">
        <v>730</v>
      </c>
      <c r="E255" t="s">
        <v>29</v>
      </c>
      <c r="F255">
        <v>6</v>
      </c>
      <c r="G255" t="s">
        <v>25</v>
      </c>
      <c r="H255" t="s">
        <v>731</v>
      </c>
    </row>
    <row r="256" spans="1:8">
      <c r="A256">
        <v>136</v>
      </c>
      <c r="B256" t="s">
        <v>498</v>
      </c>
      <c r="C256" t="s">
        <v>20</v>
      </c>
      <c r="D256" t="s">
        <v>732</v>
      </c>
      <c r="E256" t="s">
        <v>16</v>
      </c>
      <c r="F256">
        <v>2</v>
      </c>
      <c r="G256" t="s">
        <v>12</v>
      </c>
      <c r="H256" t="s">
        <v>492</v>
      </c>
    </row>
    <row r="257" spans="1:8">
      <c r="A257">
        <v>137</v>
      </c>
      <c r="B257" t="s">
        <v>733</v>
      </c>
      <c r="C257" t="s">
        <v>20</v>
      </c>
      <c r="D257" t="s">
        <v>734</v>
      </c>
      <c r="E257" t="s">
        <v>33</v>
      </c>
      <c r="F257">
        <v>7</v>
      </c>
      <c r="G257" t="s">
        <v>12</v>
      </c>
      <c r="H257" t="s">
        <v>735</v>
      </c>
    </row>
    <row r="258" spans="1:8">
      <c r="A258">
        <v>138</v>
      </c>
      <c r="B258" t="s">
        <v>583</v>
      </c>
      <c r="C258" t="s">
        <v>9</v>
      </c>
      <c r="D258" t="s">
        <v>736</v>
      </c>
      <c r="E258" t="s">
        <v>16</v>
      </c>
      <c r="F258">
        <v>2</v>
      </c>
      <c r="G258" t="s">
        <v>25</v>
      </c>
      <c r="H258" t="s">
        <v>737</v>
      </c>
    </row>
    <row r="259" spans="1:8">
      <c r="A259">
        <v>139</v>
      </c>
      <c r="B259" t="s">
        <v>738</v>
      </c>
      <c r="C259" t="s">
        <v>9</v>
      </c>
      <c r="D259" t="s">
        <v>739</v>
      </c>
      <c r="E259" t="s">
        <v>43</v>
      </c>
      <c r="F259">
        <v>3</v>
      </c>
      <c r="G259" t="s">
        <v>12</v>
      </c>
      <c r="H259" t="s">
        <v>740</v>
      </c>
    </row>
    <row r="260" spans="1:8">
      <c r="A260">
        <v>140</v>
      </c>
      <c r="B260" t="s">
        <v>741</v>
      </c>
      <c r="C260" t="s">
        <v>9</v>
      </c>
      <c r="D260" t="s">
        <v>742</v>
      </c>
      <c r="E260" t="s">
        <v>16</v>
      </c>
      <c r="F260">
        <v>1</v>
      </c>
      <c r="G260" t="s">
        <v>12</v>
      </c>
      <c r="H260" t="s">
        <v>743</v>
      </c>
    </row>
    <row r="261" spans="1:8">
      <c r="A261">
        <v>141</v>
      </c>
      <c r="B261" t="s">
        <v>744</v>
      </c>
      <c r="C261" t="s">
        <v>20</v>
      </c>
      <c r="D261" t="s">
        <v>745</v>
      </c>
      <c r="E261" t="s">
        <v>43</v>
      </c>
      <c r="F261">
        <v>3</v>
      </c>
      <c r="G261" t="s">
        <v>12</v>
      </c>
      <c r="H261" t="s">
        <v>746</v>
      </c>
    </row>
    <row r="262" spans="1:8">
      <c r="A262">
        <v>142</v>
      </c>
      <c r="B262" t="s">
        <v>747</v>
      </c>
      <c r="C262" t="s">
        <v>9</v>
      </c>
      <c r="D262" t="s">
        <v>748</v>
      </c>
      <c r="E262" t="s">
        <v>11</v>
      </c>
      <c r="F262">
        <v>4</v>
      </c>
      <c r="G262" t="s">
        <v>12</v>
      </c>
      <c r="H262" t="s">
        <v>749</v>
      </c>
    </row>
    <row r="263" spans="1:8">
      <c r="A263">
        <v>143</v>
      </c>
      <c r="B263" t="s">
        <v>750</v>
      </c>
      <c r="C263" t="s">
        <v>9</v>
      </c>
      <c r="D263" t="s">
        <v>751</v>
      </c>
      <c r="E263" t="s">
        <v>43</v>
      </c>
      <c r="F263">
        <v>3</v>
      </c>
      <c r="G263" t="s">
        <v>12</v>
      </c>
      <c r="H263" t="s">
        <v>752</v>
      </c>
    </row>
    <row r="264" spans="1:8">
      <c r="A264">
        <v>144</v>
      </c>
      <c r="B264" t="s">
        <v>224</v>
      </c>
      <c r="C264" t="s">
        <v>20</v>
      </c>
      <c r="D264" t="s">
        <v>753</v>
      </c>
      <c r="E264" t="s">
        <v>16</v>
      </c>
      <c r="F264">
        <v>2</v>
      </c>
      <c r="G264" t="s">
        <v>25</v>
      </c>
      <c r="H264" t="s">
        <v>754</v>
      </c>
    </row>
    <row r="265" spans="1:8">
      <c r="A265">
        <v>145</v>
      </c>
      <c r="B265" t="s">
        <v>435</v>
      </c>
      <c r="C265" t="s">
        <v>20</v>
      </c>
      <c r="D265" t="s">
        <v>755</v>
      </c>
      <c r="E265" t="s">
        <v>29</v>
      </c>
      <c r="F265">
        <v>6</v>
      </c>
      <c r="G265" t="s">
        <v>12</v>
      </c>
      <c r="H265" t="s">
        <v>756</v>
      </c>
    </row>
    <row r="266" spans="1:8">
      <c r="A266">
        <v>146</v>
      </c>
      <c r="B266" t="s">
        <v>296</v>
      </c>
      <c r="C266" t="s">
        <v>20</v>
      </c>
      <c r="D266" t="s">
        <v>757</v>
      </c>
      <c r="E266" t="s">
        <v>16</v>
      </c>
      <c r="F266">
        <v>1</v>
      </c>
      <c r="G266" t="s">
        <v>25</v>
      </c>
      <c r="H266" t="s">
        <v>758</v>
      </c>
    </row>
    <row r="267" spans="1:8">
      <c r="A267">
        <v>147</v>
      </c>
      <c r="B267" t="s">
        <v>759</v>
      </c>
      <c r="C267" t="s">
        <v>9</v>
      </c>
      <c r="D267" t="s">
        <v>760</v>
      </c>
      <c r="E267" t="s">
        <v>29</v>
      </c>
      <c r="F267">
        <v>6</v>
      </c>
      <c r="G267" t="s">
        <v>12</v>
      </c>
      <c r="H267" t="s">
        <v>337</v>
      </c>
    </row>
    <row r="268" spans="1:8">
      <c r="A268">
        <v>148</v>
      </c>
      <c r="B268" t="s">
        <v>247</v>
      </c>
      <c r="C268" t="s">
        <v>20</v>
      </c>
      <c r="D268" t="s">
        <v>761</v>
      </c>
      <c r="E268" t="s">
        <v>53</v>
      </c>
      <c r="F268">
        <v>5</v>
      </c>
      <c r="G268" t="s">
        <v>12</v>
      </c>
      <c r="H268" t="s">
        <v>762</v>
      </c>
    </row>
    <row r="269" spans="1:8">
      <c r="A269">
        <v>149</v>
      </c>
      <c r="B269" t="s">
        <v>763</v>
      </c>
      <c r="C269" t="s">
        <v>9</v>
      </c>
      <c r="D269" t="s">
        <v>764</v>
      </c>
      <c r="E269" t="s">
        <v>16</v>
      </c>
      <c r="F269">
        <v>1</v>
      </c>
      <c r="G269" t="s">
        <v>12</v>
      </c>
      <c r="H269" t="s">
        <v>765</v>
      </c>
    </row>
    <row r="270" spans="1:8">
      <c r="A270">
        <v>150</v>
      </c>
      <c r="B270" t="s">
        <v>766</v>
      </c>
      <c r="C270" t="s">
        <v>9</v>
      </c>
      <c r="D270" t="s">
        <v>767</v>
      </c>
      <c r="E270" t="s">
        <v>16</v>
      </c>
      <c r="F270">
        <v>2</v>
      </c>
      <c r="G270" t="s">
        <v>17</v>
      </c>
      <c r="H270" t="s">
        <v>768</v>
      </c>
    </row>
    <row r="271" spans="1:8">
      <c r="A271">
        <v>151</v>
      </c>
      <c r="B271" t="s">
        <v>769</v>
      </c>
      <c r="C271" t="s">
        <v>20</v>
      </c>
      <c r="D271" t="s">
        <v>770</v>
      </c>
      <c r="E271" t="s">
        <v>29</v>
      </c>
      <c r="F271">
        <v>6</v>
      </c>
      <c r="G271" t="s">
        <v>12</v>
      </c>
      <c r="H271" t="s">
        <v>771</v>
      </c>
    </row>
    <row r="272" spans="1:8">
      <c r="A272">
        <v>152</v>
      </c>
      <c r="B272" t="s">
        <v>329</v>
      </c>
      <c r="C272" t="s">
        <v>9</v>
      </c>
      <c r="D272" t="s">
        <v>772</v>
      </c>
      <c r="E272" t="s">
        <v>11</v>
      </c>
      <c r="F272">
        <v>4</v>
      </c>
      <c r="G272" t="s">
        <v>25</v>
      </c>
      <c r="H272" t="s">
        <v>773</v>
      </c>
    </row>
    <row r="273" spans="1:8">
      <c r="A273">
        <v>153</v>
      </c>
      <c r="B273" t="s">
        <v>774</v>
      </c>
      <c r="C273" t="s">
        <v>9</v>
      </c>
      <c r="D273" t="s">
        <v>775</v>
      </c>
      <c r="E273" t="s">
        <v>53</v>
      </c>
      <c r="F273">
        <v>5</v>
      </c>
      <c r="G273" t="s">
        <v>12</v>
      </c>
      <c r="H273" t="s">
        <v>776</v>
      </c>
    </row>
    <row r="274" spans="1:8">
      <c r="A274">
        <v>154</v>
      </c>
      <c r="B274" t="s">
        <v>777</v>
      </c>
      <c r="C274" t="s">
        <v>20</v>
      </c>
      <c r="D274" t="s">
        <v>778</v>
      </c>
      <c r="E274" t="s">
        <v>16</v>
      </c>
      <c r="F274">
        <v>1</v>
      </c>
      <c r="G274" t="s">
        <v>12</v>
      </c>
      <c r="H274" t="s">
        <v>71</v>
      </c>
    </row>
    <row r="275" spans="1:8">
      <c r="A275">
        <v>155</v>
      </c>
      <c r="B275" t="s">
        <v>779</v>
      </c>
      <c r="C275" t="s">
        <v>9</v>
      </c>
      <c r="D275" t="s">
        <v>780</v>
      </c>
      <c r="E275" t="s">
        <v>29</v>
      </c>
      <c r="F275">
        <v>6</v>
      </c>
      <c r="G275" t="s">
        <v>12</v>
      </c>
      <c r="H275" t="s">
        <v>781</v>
      </c>
    </row>
    <row r="276" spans="1:8">
      <c r="A276">
        <v>156</v>
      </c>
      <c r="B276" t="s">
        <v>782</v>
      </c>
      <c r="C276" t="s">
        <v>20</v>
      </c>
      <c r="D276" t="s">
        <v>783</v>
      </c>
      <c r="E276" t="s">
        <v>29</v>
      </c>
      <c r="F276">
        <v>6</v>
      </c>
      <c r="G276" t="s">
        <v>17</v>
      </c>
      <c r="H276" t="s">
        <v>784</v>
      </c>
    </row>
    <row r="277" spans="1:8">
      <c r="A277">
        <v>157</v>
      </c>
      <c r="B277" t="s">
        <v>645</v>
      </c>
      <c r="C277" t="s">
        <v>20</v>
      </c>
      <c r="D277" t="s">
        <v>785</v>
      </c>
      <c r="E277" t="s">
        <v>43</v>
      </c>
      <c r="F277">
        <v>3</v>
      </c>
      <c r="G277" t="s">
        <v>12</v>
      </c>
      <c r="H277" t="s">
        <v>786</v>
      </c>
    </row>
    <row r="278" spans="1:8">
      <c r="A278">
        <v>158</v>
      </c>
      <c r="B278" t="s">
        <v>787</v>
      </c>
      <c r="C278" t="s">
        <v>20</v>
      </c>
      <c r="D278" t="s">
        <v>788</v>
      </c>
      <c r="E278" t="s">
        <v>29</v>
      </c>
      <c r="F278">
        <v>6</v>
      </c>
      <c r="G278" t="s">
        <v>12</v>
      </c>
      <c r="H278" t="s">
        <v>789</v>
      </c>
    </row>
    <row r="279" spans="1:8">
      <c r="A279">
        <v>159</v>
      </c>
      <c r="B279" t="s">
        <v>790</v>
      </c>
      <c r="C279" t="s">
        <v>9</v>
      </c>
      <c r="D279" t="s">
        <v>791</v>
      </c>
      <c r="E279" t="s">
        <v>33</v>
      </c>
      <c r="F279">
        <v>7</v>
      </c>
      <c r="G279" t="s">
        <v>12</v>
      </c>
      <c r="H279" t="s">
        <v>792</v>
      </c>
    </row>
    <row r="280" spans="1:8">
      <c r="A280">
        <v>160</v>
      </c>
      <c r="B280" t="s">
        <v>479</v>
      </c>
      <c r="C280" t="s">
        <v>9</v>
      </c>
      <c r="D280" t="s">
        <v>793</v>
      </c>
      <c r="E280" t="s">
        <v>43</v>
      </c>
      <c r="F280">
        <v>3</v>
      </c>
      <c r="G280" t="s">
        <v>12</v>
      </c>
      <c r="H280" t="s">
        <v>794</v>
      </c>
    </row>
    <row r="281" spans="1:8">
      <c r="A281">
        <v>161</v>
      </c>
      <c r="B281" t="s">
        <v>144</v>
      </c>
      <c r="C281" t="s">
        <v>9</v>
      </c>
      <c r="D281" t="s">
        <v>795</v>
      </c>
      <c r="E281" t="s">
        <v>16</v>
      </c>
      <c r="F281">
        <v>1</v>
      </c>
      <c r="G281" t="s">
        <v>25</v>
      </c>
      <c r="H281" t="s">
        <v>796</v>
      </c>
    </row>
    <row r="282" spans="1:8">
      <c r="A282">
        <v>162</v>
      </c>
      <c r="B282" t="s">
        <v>797</v>
      </c>
      <c r="C282" t="s">
        <v>20</v>
      </c>
      <c r="D282" t="s">
        <v>798</v>
      </c>
      <c r="E282" t="s">
        <v>53</v>
      </c>
      <c r="F282">
        <v>5</v>
      </c>
      <c r="G282" t="s">
        <v>12</v>
      </c>
      <c r="H282" t="s">
        <v>799</v>
      </c>
    </row>
    <row r="283" spans="1:8">
      <c r="A283">
        <v>163</v>
      </c>
      <c r="B283" t="s">
        <v>800</v>
      </c>
      <c r="C283" t="s">
        <v>20</v>
      </c>
      <c r="D283" t="s">
        <v>801</v>
      </c>
      <c r="E283" t="s">
        <v>16</v>
      </c>
      <c r="F283">
        <v>1</v>
      </c>
      <c r="G283" t="s">
        <v>12</v>
      </c>
      <c r="H283" t="s">
        <v>802</v>
      </c>
    </row>
    <row r="284" spans="1:8">
      <c r="A284">
        <v>164</v>
      </c>
      <c r="B284" t="s">
        <v>338</v>
      </c>
      <c r="C284" t="s">
        <v>20</v>
      </c>
      <c r="D284" t="s">
        <v>803</v>
      </c>
      <c r="E284" t="s">
        <v>16</v>
      </c>
      <c r="F284">
        <v>1</v>
      </c>
      <c r="G284" t="s">
        <v>17</v>
      </c>
      <c r="H284" t="s">
        <v>804</v>
      </c>
    </row>
    <row r="285" spans="1:8">
      <c r="A285">
        <v>165</v>
      </c>
      <c r="B285" t="s">
        <v>805</v>
      </c>
      <c r="C285" t="s">
        <v>20</v>
      </c>
      <c r="D285" t="s">
        <v>806</v>
      </c>
      <c r="E285" t="s">
        <v>16</v>
      </c>
      <c r="F285">
        <v>2</v>
      </c>
      <c r="G285" t="s">
        <v>25</v>
      </c>
      <c r="H285" t="s">
        <v>286</v>
      </c>
    </row>
    <row r="286" spans="1:8">
      <c r="A286">
        <v>166</v>
      </c>
      <c r="B286" t="s">
        <v>807</v>
      </c>
      <c r="C286" t="s">
        <v>9</v>
      </c>
      <c r="D286" t="s">
        <v>808</v>
      </c>
      <c r="E286" t="s">
        <v>29</v>
      </c>
      <c r="F286">
        <v>6</v>
      </c>
      <c r="G286" t="s">
        <v>12</v>
      </c>
      <c r="H286" t="s">
        <v>809</v>
      </c>
    </row>
    <row r="287" spans="1:8">
      <c r="A287">
        <v>167</v>
      </c>
      <c r="B287" t="s">
        <v>810</v>
      </c>
      <c r="C287" t="s">
        <v>9</v>
      </c>
      <c r="D287" t="s">
        <v>811</v>
      </c>
      <c r="E287" t="s">
        <v>53</v>
      </c>
      <c r="F287">
        <v>5</v>
      </c>
      <c r="G287" t="s">
        <v>17</v>
      </c>
      <c r="H287" t="s">
        <v>812</v>
      </c>
    </row>
    <row r="288" spans="1:8">
      <c r="A288">
        <v>168</v>
      </c>
      <c r="B288" t="s">
        <v>813</v>
      </c>
      <c r="C288" t="s">
        <v>9</v>
      </c>
      <c r="D288" t="s">
        <v>814</v>
      </c>
      <c r="E288" t="s">
        <v>53</v>
      </c>
      <c r="F288">
        <v>5</v>
      </c>
      <c r="G288" t="s">
        <v>12</v>
      </c>
      <c r="H288" t="s">
        <v>815</v>
      </c>
    </row>
    <row r="289" spans="1:8">
      <c r="A289">
        <v>169</v>
      </c>
      <c r="B289" t="s">
        <v>816</v>
      </c>
      <c r="C289" t="s">
        <v>20</v>
      </c>
      <c r="D289" t="s">
        <v>817</v>
      </c>
      <c r="E289" t="s">
        <v>16</v>
      </c>
      <c r="F289">
        <v>2</v>
      </c>
      <c r="G289" t="s">
        <v>12</v>
      </c>
      <c r="H289" t="s">
        <v>818</v>
      </c>
    </row>
    <row r="290" spans="1:8">
      <c r="A290">
        <v>170</v>
      </c>
      <c r="B290" t="s">
        <v>819</v>
      </c>
      <c r="C290" t="s">
        <v>20</v>
      </c>
      <c r="D290" t="s">
        <v>820</v>
      </c>
      <c r="E290" t="s">
        <v>11</v>
      </c>
      <c r="F290">
        <v>4</v>
      </c>
      <c r="G290" t="s">
        <v>25</v>
      </c>
      <c r="H290" t="s">
        <v>821</v>
      </c>
    </row>
    <row r="291" spans="1:8">
      <c r="A291">
        <v>171</v>
      </c>
      <c r="B291" t="s">
        <v>822</v>
      </c>
      <c r="C291" t="s">
        <v>20</v>
      </c>
      <c r="D291" t="s">
        <v>823</v>
      </c>
      <c r="E291" t="s">
        <v>29</v>
      </c>
      <c r="F291">
        <v>6</v>
      </c>
      <c r="G291" t="s">
        <v>12</v>
      </c>
      <c r="H291" t="s">
        <v>824</v>
      </c>
    </row>
    <row r="292" spans="1:8">
      <c r="A292">
        <v>172</v>
      </c>
      <c r="B292" t="s">
        <v>825</v>
      </c>
      <c r="C292" t="s">
        <v>20</v>
      </c>
      <c r="D292" t="s">
        <v>826</v>
      </c>
      <c r="E292" t="s">
        <v>53</v>
      </c>
      <c r="F292">
        <v>5</v>
      </c>
      <c r="G292" t="s">
        <v>12</v>
      </c>
      <c r="H292" t="s">
        <v>827</v>
      </c>
    </row>
    <row r="293" spans="1:8">
      <c r="A293">
        <v>173</v>
      </c>
      <c r="B293" t="s">
        <v>828</v>
      </c>
      <c r="C293" t="s">
        <v>20</v>
      </c>
      <c r="D293" t="s">
        <v>829</v>
      </c>
      <c r="E293" t="s">
        <v>16</v>
      </c>
      <c r="F293">
        <v>1</v>
      </c>
      <c r="G293" t="s">
        <v>12</v>
      </c>
      <c r="H293" t="s">
        <v>334</v>
      </c>
    </row>
    <row r="294" spans="1:8">
      <c r="A294">
        <v>174</v>
      </c>
      <c r="B294" t="s">
        <v>830</v>
      </c>
      <c r="C294" t="s">
        <v>9</v>
      </c>
      <c r="D294" t="s">
        <v>831</v>
      </c>
      <c r="E294" t="s">
        <v>53</v>
      </c>
      <c r="F294">
        <v>5</v>
      </c>
      <c r="G294" t="s">
        <v>17</v>
      </c>
      <c r="H294" t="s">
        <v>832</v>
      </c>
    </row>
    <row r="295" spans="1:8">
      <c r="A295">
        <v>175</v>
      </c>
      <c r="B295" t="s">
        <v>833</v>
      </c>
      <c r="C295" t="s">
        <v>9</v>
      </c>
      <c r="D295" t="s">
        <v>834</v>
      </c>
      <c r="E295" t="s">
        <v>16</v>
      </c>
      <c r="F295">
        <v>2</v>
      </c>
      <c r="G295" t="s">
        <v>12</v>
      </c>
      <c r="H295" t="s">
        <v>835</v>
      </c>
    </row>
    <row r="296" spans="1:8">
      <c r="A296">
        <v>176</v>
      </c>
      <c r="B296" t="s">
        <v>836</v>
      </c>
      <c r="C296" t="s">
        <v>20</v>
      </c>
      <c r="D296" t="s">
        <v>837</v>
      </c>
      <c r="E296" t="s">
        <v>53</v>
      </c>
      <c r="F296">
        <v>5</v>
      </c>
      <c r="G296" t="s">
        <v>12</v>
      </c>
      <c r="H296" t="s">
        <v>838</v>
      </c>
    </row>
    <row r="297" spans="1:8">
      <c r="A297">
        <v>177</v>
      </c>
      <c r="B297" t="s">
        <v>839</v>
      </c>
      <c r="C297" t="s">
        <v>20</v>
      </c>
      <c r="D297" t="s">
        <v>154</v>
      </c>
      <c r="E297" t="s">
        <v>16</v>
      </c>
      <c r="F297">
        <v>1</v>
      </c>
      <c r="G297" t="s">
        <v>12</v>
      </c>
      <c r="H297" t="s">
        <v>521</v>
      </c>
    </row>
    <row r="298" spans="1:8">
      <c r="A298">
        <v>178</v>
      </c>
      <c r="B298" t="s">
        <v>840</v>
      </c>
      <c r="C298" t="s">
        <v>9</v>
      </c>
      <c r="D298" t="s">
        <v>841</v>
      </c>
      <c r="E298" t="s">
        <v>16</v>
      </c>
      <c r="F298">
        <v>2</v>
      </c>
      <c r="G298" t="s">
        <v>25</v>
      </c>
      <c r="H298" t="s">
        <v>842</v>
      </c>
    </row>
    <row r="299" spans="1:8">
      <c r="A299">
        <v>179</v>
      </c>
      <c r="B299" t="s">
        <v>843</v>
      </c>
      <c r="C299" t="s">
        <v>20</v>
      </c>
      <c r="D299" t="s">
        <v>844</v>
      </c>
      <c r="E299" t="s">
        <v>43</v>
      </c>
      <c r="F299">
        <v>3</v>
      </c>
      <c r="G299" t="s">
        <v>25</v>
      </c>
      <c r="H299" t="s">
        <v>845</v>
      </c>
    </row>
    <row r="300" spans="1:8">
      <c r="A300">
        <v>180</v>
      </c>
      <c r="B300" t="s">
        <v>846</v>
      </c>
      <c r="C300" t="s">
        <v>20</v>
      </c>
      <c r="D300" t="s">
        <v>847</v>
      </c>
      <c r="E300" t="s">
        <v>53</v>
      </c>
      <c r="F300">
        <v>5</v>
      </c>
      <c r="G300" t="s">
        <v>12</v>
      </c>
      <c r="H300" t="s">
        <v>848</v>
      </c>
    </row>
    <row r="301" spans="1:8">
      <c r="A301">
        <v>181</v>
      </c>
      <c r="B301" t="s">
        <v>849</v>
      </c>
      <c r="C301" t="s">
        <v>20</v>
      </c>
      <c r="D301" t="s">
        <v>850</v>
      </c>
      <c r="E301" t="s">
        <v>11</v>
      </c>
      <c r="F301">
        <v>4</v>
      </c>
      <c r="G301" t="s">
        <v>12</v>
      </c>
      <c r="H301" t="s">
        <v>851</v>
      </c>
    </row>
    <row r="302" spans="1:8">
      <c r="A302">
        <v>182</v>
      </c>
      <c r="B302" t="s">
        <v>807</v>
      </c>
      <c r="C302" t="s">
        <v>9</v>
      </c>
      <c r="D302" t="s">
        <v>852</v>
      </c>
      <c r="E302" t="s">
        <v>33</v>
      </c>
      <c r="F302">
        <v>7</v>
      </c>
      <c r="G302" t="s">
        <v>17</v>
      </c>
      <c r="H302" t="s">
        <v>853</v>
      </c>
    </row>
    <row r="303" spans="1:8">
      <c r="A303">
        <v>183</v>
      </c>
      <c r="B303" t="s">
        <v>513</v>
      </c>
      <c r="C303" t="s">
        <v>9</v>
      </c>
      <c r="D303" t="s">
        <v>854</v>
      </c>
      <c r="E303" t="s">
        <v>16</v>
      </c>
      <c r="F303">
        <v>1</v>
      </c>
      <c r="G303" t="s">
        <v>12</v>
      </c>
      <c r="H303" t="s">
        <v>855</v>
      </c>
    </row>
    <row r="304" spans="1:8">
      <c r="A304">
        <v>184</v>
      </c>
      <c r="B304" t="s">
        <v>697</v>
      </c>
      <c r="C304" t="s">
        <v>20</v>
      </c>
      <c r="D304" t="s">
        <v>856</v>
      </c>
      <c r="E304" t="s">
        <v>29</v>
      </c>
      <c r="F304">
        <v>6</v>
      </c>
      <c r="G304" t="s">
        <v>17</v>
      </c>
      <c r="H304" t="s">
        <v>857</v>
      </c>
    </row>
    <row r="305" spans="1:8">
      <c r="A305">
        <v>185</v>
      </c>
      <c r="B305" t="s">
        <v>858</v>
      </c>
      <c r="C305" t="s">
        <v>20</v>
      </c>
      <c r="D305" t="s">
        <v>859</v>
      </c>
      <c r="E305" t="s">
        <v>16</v>
      </c>
      <c r="F305">
        <v>2</v>
      </c>
      <c r="G305" t="s">
        <v>12</v>
      </c>
      <c r="H305" t="s">
        <v>860</v>
      </c>
    </row>
    <row r="306" spans="1:8">
      <c r="A306">
        <v>186</v>
      </c>
      <c r="B306" t="s">
        <v>790</v>
      </c>
      <c r="C306" t="s">
        <v>9</v>
      </c>
      <c r="D306" t="s">
        <v>861</v>
      </c>
      <c r="E306" t="s">
        <v>53</v>
      </c>
      <c r="F306">
        <v>5</v>
      </c>
      <c r="G306" t="s">
        <v>12</v>
      </c>
      <c r="H306" t="s">
        <v>862</v>
      </c>
    </row>
    <row r="307" spans="1:8">
      <c r="A307">
        <v>187</v>
      </c>
      <c r="B307" t="s">
        <v>233</v>
      </c>
      <c r="C307" t="s">
        <v>20</v>
      </c>
      <c r="D307" t="s">
        <v>863</v>
      </c>
      <c r="E307" t="s">
        <v>11</v>
      </c>
      <c r="F307">
        <v>4</v>
      </c>
      <c r="G307" t="s">
        <v>25</v>
      </c>
      <c r="H307" t="s">
        <v>864</v>
      </c>
    </row>
    <row r="308" spans="1:8">
      <c r="A308">
        <v>188</v>
      </c>
      <c r="B308" t="s">
        <v>865</v>
      </c>
      <c r="C308" t="s">
        <v>9</v>
      </c>
      <c r="D308" t="s">
        <v>866</v>
      </c>
      <c r="E308" t="s">
        <v>11</v>
      </c>
      <c r="F308">
        <v>4</v>
      </c>
      <c r="G308" t="s">
        <v>25</v>
      </c>
      <c r="H308" t="s">
        <v>867</v>
      </c>
    </row>
    <row r="309" spans="1:8">
      <c r="A309">
        <v>189</v>
      </c>
      <c r="B309" t="s">
        <v>868</v>
      </c>
      <c r="C309" t="s">
        <v>9</v>
      </c>
      <c r="D309" t="s">
        <v>869</v>
      </c>
      <c r="E309" t="s">
        <v>43</v>
      </c>
      <c r="F309">
        <v>3</v>
      </c>
      <c r="G309" t="s">
        <v>12</v>
      </c>
      <c r="H309" t="s">
        <v>870</v>
      </c>
    </row>
    <row r="310" spans="1:8">
      <c r="A310">
        <v>190</v>
      </c>
      <c r="B310" t="s">
        <v>335</v>
      </c>
      <c r="C310" t="s">
        <v>20</v>
      </c>
      <c r="D310" t="s">
        <v>871</v>
      </c>
      <c r="E310" t="s">
        <v>16</v>
      </c>
      <c r="F310">
        <v>2</v>
      </c>
      <c r="G310" t="s">
        <v>25</v>
      </c>
      <c r="H310" t="s">
        <v>872</v>
      </c>
    </row>
    <row r="311" spans="1:8">
      <c r="A311">
        <v>191</v>
      </c>
      <c r="B311" t="s">
        <v>873</v>
      </c>
      <c r="C311" t="s">
        <v>9</v>
      </c>
      <c r="D311" t="s">
        <v>874</v>
      </c>
      <c r="E311" t="s">
        <v>29</v>
      </c>
      <c r="F311">
        <v>6</v>
      </c>
      <c r="G311" t="s">
        <v>17</v>
      </c>
      <c r="H311" t="s">
        <v>875</v>
      </c>
    </row>
    <row r="312" spans="1:8">
      <c r="A312">
        <v>192</v>
      </c>
      <c r="B312" t="s">
        <v>876</v>
      </c>
      <c r="C312" t="s">
        <v>20</v>
      </c>
      <c r="D312" t="s">
        <v>877</v>
      </c>
      <c r="E312" t="s">
        <v>16</v>
      </c>
      <c r="F312">
        <v>1</v>
      </c>
      <c r="G312" t="s">
        <v>12</v>
      </c>
      <c r="H312" t="s">
        <v>878</v>
      </c>
    </row>
    <row r="313" spans="1:8">
      <c r="A313">
        <v>193</v>
      </c>
      <c r="B313" t="s">
        <v>830</v>
      </c>
      <c r="C313" t="s">
        <v>9</v>
      </c>
      <c r="D313" t="s">
        <v>879</v>
      </c>
      <c r="E313" t="s">
        <v>53</v>
      </c>
      <c r="F313">
        <v>5</v>
      </c>
      <c r="G313" t="s">
        <v>12</v>
      </c>
      <c r="H313" t="s">
        <v>880</v>
      </c>
    </row>
    <row r="314" spans="1:8">
      <c r="A314">
        <v>194</v>
      </c>
      <c r="B314" t="s">
        <v>881</v>
      </c>
      <c r="C314" t="s">
        <v>20</v>
      </c>
      <c r="D314" t="s">
        <v>882</v>
      </c>
      <c r="E314" t="s">
        <v>11</v>
      </c>
      <c r="F314">
        <v>4</v>
      </c>
      <c r="G314" t="s">
        <v>25</v>
      </c>
      <c r="H314" t="s">
        <v>883</v>
      </c>
    </row>
    <row r="315" spans="1:8">
      <c r="A315">
        <v>195</v>
      </c>
      <c r="B315" t="s">
        <v>884</v>
      </c>
      <c r="C315" t="s">
        <v>9</v>
      </c>
      <c r="D315" t="s">
        <v>885</v>
      </c>
      <c r="E315" t="s">
        <v>11</v>
      </c>
      <c r="F315">
        <v>4</v>
      </c>
      <c r="G315" t="s">
        <v>12</v>
      </c>
      <c r="H315" t="s">
        <v>886</v>
      </c>
    </row>
    <row r="316" spans="1:8">
      <c r="A316">
        <v>196</v>
      </c>
      <c r="B316" t="s">
        <v>887</v>
      </c>
      <c r="C316" t="s">
        <v>9</v>
      </c>
      <c r="D316" t="s">
        <v>888</v>
      </c>
      <c r="E316" t="s">
        <v>16</v>
      </c>
      <c r="F316">
        <v>1</v>
      </c>
      <c r="G316" t="s">
        <v>17</v>
      </c>
      <c r="H316" t="s">
        <v>889</v>
      </c>
    </row>
    <row r="317" spans="1:8">
      <c r="A317">
        <v>197</v>
      </c>
      <c r="B317" t="s">
        <v>719</v>
      </c>
      <c r="C317" t="s">
        <v>20</v>
      </c>
      <c r="D317" t="s">
        <v>890</v>
      </c>
      <c r="E317" t="s">
        <v>43</v>
      </c>
      <c r="F317">
        <v>3</v>
      </c>
      <c r="G317" t="s">
        <v>25</v>
      </c>
      <c r="H317" t="s">
        <v>891</v>
      </c>
    </row>
    <row r="318" spans="1:8">
      <c r="A318">
        <v>198</v>
      </c>
      <c r="B318" t="s">
        <v>887</v>
      </c>
      <c r="C318" t="s">
        <v>9</v>
      </c>
      <c r="D318" t="s">
        <v>892</v>
      </c>
      <c r="E318" t="s">
        <v>53</v>
      </c>
      <c r="F318">
        <v>5</v>
      </c>
      <c r="G318" t="s">
        <v>25</v>
      </c>
      <c r="H318" t="s">
        <v>893</v>
      </c>
    </row>
    <row r="319" spans="1:8">
      <c r="A319">
        <v>199</v>
      </c>
      <c r="B319" t="s">
        <v>347</v>
      </c>
      <c r="C319" t="s">
        <v>20</v>
      </c>
      <c r="D319" t="s">
        <v>894</v>
      </c>
      <c r="E319" t="s">
        <v>33</v>
      </c>
      <c r="F319">
        <v>7</v>
      </c>
      <c r="G319" t="s">
        <v>12</v>
      </c>
      <c r="H319" t="s">
        <v>895</v>
      </c>
    </row>
    <row r="320" spans="1:8">
      <c r="A320">
        <v>200</v>
      </c>
      <c r="B320" t="s">
        <v>896</v>
      </c>
      <c r="C320" t="s">
        <v>20</v>
      </c>
      <c r="D320" t="s">
        <v>897</v>
      </c>
      <c r="E320" t="s">
        <v>11</v>
      </c>
      <c r="F320">
        <v>4</v>
      </c>
      <c r="G320" t="s">
        <v>12</v>
      </c>
      <c r="H320" t="s">
        <v>898</v>
      </c>
    </row>
    <row r="321" spans="1:8">
      <c r="A321">
        <v>201</v>
      </c>
      <c r="B321" t="s">
        <v>899</v>
      </c>
      <c r="C321" t="s">
        <v>20</v>
      </c>
      <c r="D321" t="s">
        <v>900</v>
      </c>
      <c r="E321" t="s">
        <v>11</v>
      </c>
      <c r="F321">
        <v>4</v>
      </c>
      <c r="G321" t="s">
        <v>25</v>
      </c>
      <c r="H321" t="s">
        <v>901</v>
      </c>
    </row>
    <row r="322" spans="1:8">
      <c r="A322">
        <v>202</v>
      </c>
      <c r="B322" t="s">
        <v>902</v>
      </c>
      <c r="C322" t="s">
        <v>9</v>
      </c>
      <c r="D322" t="s">
        <v>903</v>
      </c>
      <c r="E322" t="s">
        <v>16</v>
      </c>
      <c r="F322">
        <v>2</v>
      </c>
      <c r="G322" t="s">
        <v>25</v>
      </c>
      <c r="H322" t="s">
        <v>904</v>
      </c>
    </row>
    <row r="323" spans="1:8">
      <c r="A323">
        <v>203</v>
      </c>
      <c r="B323" t="s">
        <v>905</v>
      </c>
      <c r="C323" t="s">
        <v>20</v>
      </c>
      <c r="D323" t="s">
        <v>906</v>
      </c>
      <c r="E323" t="s">
        <v>16</v>
      </c>
      <c r="F323">
        <v>2</v>
      </c>
      <c r="G323" t="s">
        <v>12</v>
      </c>
      <c r="H323" t="s">
        <v>907</v>
      </c>
    </row>
    <row r="324" spans="1:8">
      <c r="A324">
        <v>204</v>
      </c>
      <c r="B324" t="s">
        <v>38</v>
      </c>
      <c r="C324" t="s">
        <v>20</v>
      </c>
      <c r="D324" t="s">
        <v>908</v>
      </c>
      <c r="E324" t="s">
        <v>16</v>
      </c>
      <c r="F324">
        <v>1</v>
      </c>
      <c r="G324" t="s">
        <v>12</v>
      </c>
      <c r="H324" t="s">
        <v>909</v>
      </c>
    </row>
    <row r="325" spans="1:8">
      <c r="A325">
        <v>205</v>
      </c>
      <c r="B325" t="s">
        <v>87</v>
      </c>
      <c r="C325" t="s">
        <v>9</v>
      </c>
      <c r="D325" t="s">
        <v>910</v>
      </c>
      <c r="E325" t="s">
        <v>43</v>
      </c>
      <c r="F325">
        <v>3</v>
      </c>
      <c r="G325" t="s">
        <v>12</v>
      </c>
      <c r="H325" t="s">
        <v>911</v>
      </c>
    </row>
    <row r="326" spans="1:8">
      <c r="A326">
        <v>206</v>
      </c>
      <c r="B326" t="s">
        <v>610</v>
      </c>
      <c r="C326" t="s">
        <v>9</v>
      </c>
      <c r="D326" t="s">
        <v>912</v>
      </c>
      <c r="E326" t="s">
        <v>16</v>
      </c>
      <c r="F326">
        <v>1</v>
      </c>
      <c r="G326" t="s">
        <v>12</v>
      </c>
      <c r="H326" t="s">
        <v>913</v>
      </c>
    </row>
    <row r="327" spans="1:8">
      <c r="A327">
        <v>207</v>
      </c>
      <c r="B327" t="s">
        <v>64</v>
      </c>
      <c r="C327" t="s">
        <v>20</v>
      </c>
      <c r="D327" t="s">
        <v>914</v>
      </c>
      <c r="E327" t="s">
        <v>11</v>
      </c>
      <c r="F327">
        <v>4</v>
      </c>
      <c r="G327" t="s">
        <v>12</v>
      </c>
      <c r="H327" t="s">
        <v>547</v>
      </c>
    </row>
    <row r="328" spans="1:8">
      <c r="A328">
        <v>208</v>
      </c>
      <c r="B328" t="s">
        <v>915</v>
      </c>
      <c r="C328" t="s">
        <v>20</v>
      </c>
      <c r="D328" t="s">
        <v>916</v>
      </c>
      <c r="E328" t="s">
        <v>33</v>
      </c>
      <c r="F328">
        <v>7</v>
      </c>
      <c r="G328" t="s">
        <v>25</v>
      </c>
      <c r="H328" t="s">
        <v>917</v>
      </c>
    </row>
    <row r="329" spans="1:8">
      <c r="A329">
        <v>209</v>
      </c>
      <c r="B329" t="s">
        <v>708</v>
      </c>
      <c r="C329" t="s">
        <v>20</v>
      </c>
      <c r="D329" t="s">
        <v>918</v>
      </c>
      <c r="E329" t="s">
        <v>16</v>
      </c>
      <c r="F329">
        <v>2</v>
      </c>
      <c r="G329" t="s">
        <v>12</v>
      </c>
      <c r="H329" t="s">
        <v>574</v>
      </c>
    </row>
    <row r="330" spans="1:8">
      <c r="A330">
        <v>210</v>
      </c>
      <c r="B330" t="s">
        <v>195</v>
      </c>
      <c r="C330" t="s">
        <v>9</v>
      </c>
      <c r="D330" t="s">
        <v>919</v>
      </c>
      <c r="E330" t="s">
        <v>53</v>
      </c>
      <c r="F330">
        <v>5</v>
      </c>
      <c r="G330" t="s">
        <v>12</v>
      </c>
      <c r="H330" t="s">
        <v>920</v>
      </c>
    </row>
    <row r="331" spans="1:8">
      <c r="A331">
        <v>211</v>
      </c>
      <c r="B331" t="s">
        <v>591</v>
      </c>
      <c r="C331" t="s">
        <v>20</v>
      </c>
      <c r="D331" t="s">
        <v>921</v>
      </c>
      <c r="E331" t="s">
        <v>11</v>
      </c>
      <c r="F331">
        <v>4</v>
      </c>
      <c r="G331" t="s">
        <v>12</v>
      </c>
      <c r="H331" t="s">
        <v>161</v>
      </c>
    </row>
    <row r="332" spans="1:8">
      <c r="A332">
        <v>212</v>
      </c>
      <c r="B332" t="s">
        <v>922</v>
      </c>
      <c r="C332" t="s">
        <v>9</v>
      </c>
      <c r="D332" t="s">
        <v>923</v>
      </c>
      <c r="E332" t="s">
        <v>16</v>
      </c>
      <c r="F332">
        <v>2</v>
      </c>
      <c r="G332" t="s">
        <v>25</v>
      </c>
      <c r="H332" t="s">
        <v>924</v>
      </c>
    </row>
    <row r="333" spans="1:8">
      <c r="A333">
        <v>213</v>
      </c>
      <c r="B333" t="s">
        <v>925</v>
      </c>
      <c r="C333" t="s">
        <v>9</v>
      </c>
      <c r="D333" t="s">
        <v>926</v>
      </c>
      <c r="E333" t="s">
        <v>33</v>
      </c>
      <c r="F333">
        <v>7</v>
      </c>
      <c r="G333" t="s">
        <v>25</v>
      </c>
      <c r="H333" t="s">
        <v>927</v>
      </c>
    </row>
    <row r="334" spans="1:8">
      <c r="A334">
        <v>214</v>
      </c>
      <c r="B334" t="s">
        <v>928</v>
      </c>
      <c r="C334" t="s">
        <v>9</v>
      </c>
      <c r="D334" t="s">
        <v>371</v>
      </c>
      <c r="E334" t="s">
        <v>29</v>
      </c>
      <c r="F334">
        <v>6</v>
      </c>
      <c r="G334" t="s">
        <v>12</v>
      </c>
      <c r="H334" t="s">
        <v>929</v>
      </c>
    </row>
    <row r="335" spans="1:8">
      <c r="A335">
        <v>215</v>
      </c>
      <c r="B335" t="s">
        <v>930</v>
      </c>
      <c r="C335" t="s">
        <v>9</v>
      </c>
      <c r="D335" t="s">
        <v>931</v>
      </c>
      <c r="E335" t="s">
        <v>16</v>
      </c>
      <c r="F335">
        <v>1</v>
      </c>
      <c r="G335" t="s">
        <v>25</v>
      </c>
      <c r="H335" t="s">
        <v>932</v>
      </c>
    </row>
    <row r="336" spans="1:8">
      <c r="A336">
        <v>216</v>
      </c>
      <c r="B336" t="s">
        <v>933</v>
      </c>
      <c r="C336" t="s">
        <v>9</v>
      </c>
      <c r="D336" t="s">
        <v>934</v>
      </c>
      <c r="E336" t="s">
        <v>16</v>
      </c>
      <c r="F336">
        <v>2</v>
      </c>
      <c r="G336" t="s">
        <v>12</v>
      </c>
      <c r="H336" t="s">
        <v>935</v>
      </c>
    </row>
    <row r="337" spans="1:8">
      <c r="A337">
        <v>217</v>
      </c>
      <c r="B337" t="s">
        <v>936</v>
      </c>
      <c r="C337" t="s">
        <v>20</v>
      </c>
      <c r="D337" t="s">
        <v>937</v>
      </c>
      <c r="E337" t="s">
        <v>16</v>
      </c>
      <c r="F337">
        <v>2</v>
      </c>
      <c r="G337" t="s">
        <v>12</v>
      </c>
      <c r="H337" t="s">
        <v>848</v>
      </c>
    </row>
    <row r="338" spans="1:8">
      <c r="A338">
        <v>218</v>
      </c>
      <c r="B338" t="s">
        <v>938</v>
      </c>
      <c r="C338" t="s">
        <v>9</v>
      </c>
      <c r="D338" t="s">
        <v>939</v>
      </c>
      <c r="E338" t="s">
        <v>53</v>
      </c>
      <c r="F338">
        <v>5</v>
      </c>
      <c r="G338" t="s">
        <v>12</v>
      </c>
      <c r="H338" t="s">
        <v>673</v>
      </c>
    </row>
    <row r="339" spans="1:8">
      <c r="A339">
        <v>219</v>
      </c>
      <c r="B339" t="s">
        <v>774</v>
      </c>
      <c r="C339" t="s">
        <v>9</v>
      </c>
      <c r="D339" t="s">
        <v>940</v>
      </c>
      <c r="E339" t="s">
        <v>53</v>
      </c>
      <c r="F339">
        <v>5</v>
      </c>
      <c r="G339" t="s">
        <v>12</v>
      </c>
      <c r="H339" t="s">
        <v>941</v>
      </c>
    </row>
    <row r="340" spans="1:8">
      <c r="A340">
        <v>220</v>
      </c>
      <c r="B340" t="s">
        <v>942</v>
      </c>
      <c r="C340" t="s">
        <v>9</v>
      </c>
      <c r="D340" t="s">
        <v>943</v>
      </c>
      <c r="E340" t="s">
        <v>43</v>
      </c>
      <c r="F340">
        <v>3</v>
      </c>
      <c r="G340" t="s">
        <v>17</v>
      </c>
      <c r="H340" t="s">
        <v>944</v>
      </c>
    </row>
    <row r="341" spans="1:8">
      <c r="A341">
        <v>221</v>
      </c>
      <c r="B341" t="s">
        <v>945</v>
      </c>
      <c r="C341" t="s">
        <v>9</v>
      </c>
      <c r="D341" t="s">
        <v>946</v>
      </c>
      <c r="E341" t="s">
        <v>53</v>
      </c>
      <c r="F341">
        <v>5</v>
      </c>
      <c r="G341" t="s">
        <v>12</v>
      </c>
      <c r="H341" t="s">
        <v>889</v>
      </c>
    </row>
    <row r="342" spans="1:8">
      <c r="A342">
        <v>222</v>
      </c>
      <c r="B342" t="s">
        <v>947</v>
      </c>
      <c r="C342" t="s">
        <v>20</v>
      </c>
      <c r="D342" t="s">
        <v>948</v>
      </c>
      <c r="E342" t="s">
        <v>33</v>
      </c>
      <c r="F342">
        <v>7</v>
      </c>
      <c r="G342" t="s">
        <v>12</v>
      </c>
      <c r="H342" t="s">
        <v>949</v>
      </c>
    </row>
    <row r="343" spans="1:8">
      <c r="A343">
        <v>223</v>
      </c>
      <c r="B343" t="s">
        <v>950</v>
      </c>
      <c r="C343" t="s">
        <v>20</v>
      </c>
      <c r="D343" t="s">
        <v>951</v>
      </c>
      <c r="E343" t="s">
        <v>29</v>
      </c>
      <c r="F343">
        <v>6</v>
      </c>
      <c r="G343" t="s">
        <v>12</v>
      </c>
      <c r="H343" t="s">
        <v>952</v>
      </c>
    </row>
    <row r="344" spans="1:8">
      <c r="A344">
        <v>224</v>
      </c>
      <c r="B344" t="s">
        <v>344</v>
      </c>
      <c r="C344" t="s">
        <v>20</v>
      </c>
      <c r="D344" t="s">
        <v>953</v>
      </c>
      <c r="E344" t="s">
        <v>16</v>
      </c>
      <c r="F344">
        <v>1</v>
      </c>
      <c r="G344" t="s">
        <v>12</v>
      </c>
      <c r="H344" t="s">
        <v>954</v>
      </c>
    </row>
    <row r="345" spans="1:8">
      <c r="A345">
        <v>225</v>
      </c>
      <c r="B345" t="s">
        <v>14</v>
      </c>
      <c r="C345" t="s">
        <v>9</v>
      </c>
      <c r="D345" t="s">
        <v>955</v>
      </c>
      <c r="E345" t="s">
        <v>11</v>
      </c>
      <c r="F345">
        <v>4</v>
      </c>
      <c r="G345" t="s">
        <v>12</v>
      </c>
      <c r="H345" t="s">
        <v>563</v>
      </c>
    </row>
    <row r="346" spans="1:8">
      <c r="A346">
        <v>226</v>
      </c>
      <c r="B346" t="s">
        <v>956</v>
      </c>
      <c r="C346" t="s">
        <v>20</v>
      </c>
      <c r="D346" t="s">
        <v>957</v>
      </c>
      <c r="E346" t="s">
        <v>53</v>
      </c>
      <c r="F346">
        <v>5</v>
      </c>
      <c r="G346" t="s">
        <v>17</v>
      </c>
      <c r="H346" t="s">
        <v>958</v>
      </c>
    </row>
    <row r="347" spans="1:8">
      <c r="A347">
        <v>227</v>
      </c>
      <c r="B347" t="s">
        <v>959</v>
      </c>
      <c r="C347" t="s">
        <v>9</v>
      </c>
      <c r="D347" t="s">
        <v>960</v>
      </c>
      <c r="E347" t="s">
        <v>43</v>
      </c>
      <c r="F347">
        <v>3</v>
      </c>
      <c r="G347" t="s">
        <v>17</v>
      </c>
      <c r="H347" t="s">
        <v>961</v>
      </c>
    </row>
    <row r="348" spans="1:8">
      <c r="A348">
        <v>228</v>
      </c>
      <c r="B348" t="s">
        <v>484</v>
      </c>
      <c r="C348" t="s">
        <v>20</v>
      </c>
      <c r="D348" t="s">
        <v>962</v>
      </c>
      <c r="E348" t="s">
        <v>53</v>
      </c>
      <c r="F348">
        <v>5</v>
      </c>
      <c r="G348" t="s">
        <v>25</v>
      </c>
      <c r="H348" t="s">
        <v>963</v>
      </c>
    </row>
    <row r="349" spans="1:8">
      <c r="A349">
        <v>229</v>
      </c>
      <c r="B349" t="s">
        <v>840</v>
      </c>
      <c r="C349" t="s">
        <v>9</v>
      </c>
      <c r="D349" t="s">
        <v>964</v>
      </c>
      <c r="E349" t="s">
        <v>53</v>
      </c>
      <c r="F349">
        <v>5</v>
      </c>
      <c r="G349" t="s">
        <v>12</v>
      </c>
      <c r="H349" t="s">
        <v>965</v>
      </c>
    </row>
    <row r="350" spans="1:8">
      <c r="A350">
        <v>230</v>
      </c>
      <c r="B350" t="s">
        <v>966</v>
      </c>
      <c r="C350" t="s">
        <v>9</v>
      </c>
      <c r="D350" t="s">
        <v>967</v>
      </c>
      <c r="E350" t="s">
        <v>43</v>
      </c>
      <c r="F350">
        <v>3</v>
      </c>
      <c r="G350" t="s">
        <v>25</v>
      </c>
      <c r="H350" t="s">
        <v>968</v>
      </c>
    </row>
    <row r="351" spans="1:8">
      <c r="A351">
        <v>231</v>
      </c>
      <c r="B351" t="s">
        <v>969</v>
      </c>
      <c r="C351" t="s">
        <v>20</v>
      </c>
      <c r="D351" t="s">
        <v>970</v>
      </c>
      <c r="E351" t="s">
        <v>16</v>
      </c>
      <c r="F351">
        <v>2</v>
      </c>
      <c r="G351" t="s">
        <v>25</v>
      </c>
      <c r="H351" t="s">
        <v>971</v>
      </c>
    </row>
    <row r="352" spans="1:8">
      <c r="A352">
        <v>232</v>
      </c>
      <c r="B352" t="s">
        <v>561</v>
      </c>
      <c r="C352" t="s">
        <v>9</v>
      </c>
      <c r="D352" t="s">
        <v>972</v>
      </c>
      <c r="E352" t="s">
        <v>33</v>
      </c>
      <c r="F352">
        <v>7</v>
      </c>
      <c r="G352" t="s">
        <v>17</v>
      </c>
      <c r="H352" t="s">
        <v>95</v>
      </c>
    </row>
    <row r="353" spans="1:8">
      <c r="A353">
        <v>233</v>
      </c>
      <c r="B353" t="s">
        <v>930</v>
      </c>
      <c r="C353" t="s">
        <v>9</v>
      </c>
      <c r="D353" t="s">
        <v>973</v>
      </c>
      <c r="E353" t="s">
        <v>16</v>
      </c>
      <c r="F353">
        <v>1</v>
      </c>
      <c r="G353" t="s">
        <v>25</v>
      </c>
      <c r="H353" t="s">
        <v>974</v>
      </c>
    </row>
    <row r="354" spans="1:8">
      <c r="A354">
        <v>234</v>
      </c>
      <c r="B354" t="s">
        <v>836</v>
      </c>
      <c r="C354" t="s">
        <v>20</v>
      </c>
      <c r="D354" t="s">
        <v>160</v>
      </c>
      <c r="E354" t="s">
        <v>53</v>
      </c>
      <c r="F354">
        <v>5</v>
      </c>
      <c r="G354" t="s">
        <v>25</v>
      </c>
      <c r="H354" t="s">
        <v>975</v>
      </c>
    </row>
    <row r="355" spans="1:8">
      <c r="A355">
        <v>235</v>
      </c>
      <c r="B355" t="s">
        <v>567</v>
      </c>
      <c r="C355" t="s">
        <v>20</v>
      </c>
      <c r="D355" t="s">
        <v>976</v>
      </c>
      <c r="E355" t="s">
        <v>16</v>
      </c>
      <c r="F355">
        <v>2</v>
      </c>
      <c r="G355" t="s">
        <v>17</v>
      </c>
      <c r="H355" t="s">
        <v>423</v>
      </c>
    </row>
    <row r="356" spans="1:8">
      <c r="A356">
        <v>236</v>
      </c>
      <c r="B356" t="s">
        <v>977</v>
      </c>
      <c r="C356" t="s">
        <v>20</v>
      </c>
      <c r="D356" t="s">
        <v>978</v>
      </c>
      <c r="E356" t="s">
        <v>16</v>
      </c>
      <c r="F356">
        <v>1</v>
      </c>
      <c r="G356" t="s">
        <v>12</v>
      </c>
      <c r="H356" t="s">
        <v>979</v>
      </c>
    </row>
    <row r="357" spans="1:8">
      <c r="A357">
        <v>237</v>
      </c>
      <c r="B357" t="s">
        <v>93</v>
      </c>
      <c r="C357" t="s">
        <v>9</v>
      </c>
      <c r="D357" t="s">
        <v>980</v>
      </c>
      <c r="E357" t="s">
        <v>11</v>
      </c>
      <c r="F357">
        <v>4</v>
      </c>
      <c r="G357" t="s">
        <v>17</v>
      </c>
      <c r="H357" t="s">
        <v>981</v>
      </c>
    </row>
    <row r="358" spans="1:8">
      <c r="A358">
        <v>238</v>
      </c>
      <c r="B358" t="s">
        <v>982</v>
      </c>
      <c r="C358" t="s">
        <v>20</v>
      </c>
      <c r="D358" t="s">
        <v>983</v>
      </c>
      <c r="E358" t="s">
        <v>43</v>
      </c>
      <c r="F358">
        <v>3</v>
      </c>
      <c r="G358" t="s">
        <v>12</v>
      </c>
      <c r="H358" t="s">
        <v>984</v>
      </c>
    </row>
    <row r="359" spans="1:8">
      <c r="A359">
        <v>239</v>
      </c>
      <c r="B359" t="s">
        <v>985</v>
      </c>
      <c r="C359" t="s">
        <v>9</v>
      </c>
      <c r="D359" t="s">
        <v>986</v>
      </c>
      <c r="E359" t="s">
        <v>33</v>
      </c>
      <c r="F359">
        <v>7</v>
      </c>
      <c r="G359" t="s">
        <v>25</v>
      </c>
      <c r="H359" t="s">
        <v>987</v>
      </c>
    </row>
    <row r="360" spans="1:8">
      <c r="A360">
        <v>240</v>
      </c>
      <c r="B360" t="s">
        <v>504</v>
      </c>
      <c r="C360" t="s">
        <v>9</v>
      </c>
      <c r="D360" t="s">
        <v>988</v>
      </c>
      <c r="E360" t="s">
        <v>29</v>
      </c>
      <c r="F360">
        <v>6</v>
      </c>
      <c r="G360" t="s">
        <v>12</v>
      </c>
      <c r="H360" t="s">
        <v>989</v>
      </c>
    </row>
    <row r="361" spans="1:8">
      <c r="A361">
        <v>241</v>
      </c>
      <c r="B361" t="s">
        <v>23</v>
      </c>
      <c r="C361" t="s">
        <v>9</v>
      </c>
      <c r="D361" t="s">
        <v>990</v>
      </c>
      <c r="E361" t="s">
        <v>53</v>
      </c>
      <c r="F361">
        <v>5</v>
      </c>
      <c r="G361" t="s">
        <v>17</v>
      </c>
      <c r="H361" t="s">
        <v>735</v>
      </c>
    </row>
    <row r="362" spans="1:8">
      <c r="A362">
        <v>242</v>
      </c>
      <c r="B362" t="s">
        <v>991</v>
      </c>
      <c r="C362" t="s">
        <v>20</v>
      </c>
      <c r="D362" t="s">
        <v>992</v>
      </c>
      <c r="E362" t="s">
        <v>11</v>
      </c>
      <c r="F362">
        <v>4</v>
      </c>
      <c r="G362" t="s">
        <v>12</v>
      </c>
      <c r="H362" t="s">
        <v>993</v>
      </c>
    </row>
    <row r="363" spans="1:8">
      <c r="A363">
        <v>243</v>
      </c>
      <c r="B363" t="s">
        <v>994</v>
      </c>
      <c r="C363" t="s">
        <v>9</v>
      </c>
      <c r="D363" t="s">
        <v>995</v>
      </c>
      <c r="E363" t="s">
        <v>29</v>
      </c>
      <c r="F363">
        <v>6</v>
      </c>
      <c r="G363" t="s">
        <v>25</v>
      </c>
      <c r="H363" t="s">
        <v>996</v>
      </c>
    </row>
    <row r="364" spans="1:8">
      <c r="A364">
        <v>244</v>
      </c>
      <c r="B364" t="s">
        <v>810</v>
      </c>
      <c r="C364" t="s">
        <v>9</v>
      </c>
      <c r="D364" t="s">
        <v>526</v>
      </c>
      <c r="E364" t="s">
        <v>16</v>
      </c>
      <c r="F364">
        <v>1</v>
      </c>
      <c r="G364" t="s">
        <v>25</v>
      </c>
      <c r="H364" t="s">
        <v>997</v>
      </c>
    </row>
    <row r="365" spans="1:8">
      <c r="A365">
        <v>245</v>
      </c>
      <c r="B365" t="s">
        <v>313</v>
      </c>
      <c r="C365" t="s">
        <v>9</v>
      </c>
      <c r="D365" t="s">
        <v>998</v>
      </c>
      <c r="E365" t="s">
        <v>11</v>
      </c>
      <c r="F365">
        <v>4</v>
      </c>
      <c r="G365" t="s">
        <v>25</v>
      </c>
      <c r="H365" t="s">
        <v>999</v>
      </c>
    </row>
    <row r="366" spans="1:8">
      <c r="A366">
        <v>246</v>
      </c>
      <c r="B366" t="s">
        <v>1000</v>
      </c>
      <c r="C366" t="s">
        <v>9</v>
      </c>
      <c r="D366" t="s">
        <v>1001</v>
      </c>
      <c r="E366" t="s">
        <v>33</v>
      </c>
      <c r="F366">
        <v>7</v>
      </c>
      <c r="G366" t="s">
        <v>25</v>
      </c>
      <c r="H366" t="s">
        <v>1002</v>
      </c>
    </row>
    <row r="367" spans="1:8">
      <c r="A367">
        <v>247</v>
      </c>
      <c r="B367" t="s">
        <v>1003</v>
      </c>
      <c r="C367" t="s">
        <v>9</v>
      </c>
      <c r="D367" t="s">
        <v>1004</v>
      </c>
      <c r="E367" t="s">
        <v>29</v>
      </c>
      <c r="F367">
        <v>6</v>
      </c>
      <c r="G367" t="s">
        <v>12</v>
      </c>
      <c r="H367" t="s">
        <v>1005</v>
      </c>
    </row>
    <row r="368" spans="1:8">
      <c r="A368">
        <v>248</v>
      </c>
      <c r="B368" t="s">
        <v>1006</v>
      </c>
      <c r="C368" t="s">
        <v>20</v>
      </c>
      <c r="D368" t="s">
        <v>1007</v>
      </c>
      <c r="E368" t="s">
        <v>53</v>
      </c>
      <c r="F368">
        <v>5</v>
      </c>
      <c r="G368" t="s">
        <v>17</v>
      </c>
      <c r="H368" t="s">
        <v>1008</v>
      </c>
    </row>
    <row r="369" spans="1:8">
      <c r="A369">
        <v>249</v>
      </c>
      <c r="B369" t="s">
        <v>1009</v>
      </c>
      <c r="C369" t="s">
        <v>20</v>
      </c>
      <c r="D369" t="s">
        <v>1010</v>
      </c>
      <c r="E369" t="s">
        <v>29</v>
      </c>
      <c r="F369">
        <v>6</v>
      </c>
      <c r="G369" t="s">
        <v>25</v>
      </c>
      <c r="H369" t="s">
        <v>1011</v>
      </c>
    </row>
    <row r="370" spans="1:8">
      <c r="A370">
        <v>250</v>
      </c>
      <c r="B370" t="s">
        <v>1012</v>
      </c>
      <c r="C370" t="s">
        <v>20</v>
      </c>
      <c r="D370" t="s">
        <v>1013</v>
      </c>
      <c r="E370" t="s">
        <v>16</v>
      </c>
      <c r="F370">
        <v>2</v>
      </c>
      <c r="G370" t="s">
        <v>25</v>
      </c>
      <c r="H370" t="s">
        <v>1014</v>
      </c>
    </row>
    <row r="371" spans="1:8">
      <c r="A371">
        <v>251</v>
      </c>
      <c r="B371" t="s">
        <v>624</v>
      </c>
      <c r="C371" t="s">
        <v>20</v>
      </c>
      <c r="D371" t="s">
        <v>1015</v>
      </c>
      <c r="E371" t="s">
        <v>16</v>
      </c>
      <c r="F371">
        <v>1</v>
      </c>
      <c r="G371" t="s">
        <v>12</v>
      </c>
      <c r="H371" t="s">
        <v>1016</v>
      </c>
    </row>
    <row r="372" spans="1:8">
      <c r="A372">
        <v>252</v>
      </c>
      <c r="B372" t="s">
        <v>1017</v>
      </c>
      <c r="C372" t="s">
        <v>9</v>
      </c>
      <c r="D372" t="s">
        <v>1018</v>
      </c>
      <c r="E372" t="s">
        <v>53</v>
      </c>
      <c r="F372">
        <v>5</v>
      </c>
      <c r="G372" t="s">
        <v>12</v>
      </c>
      <c r="H372" t="s">
        <v>1019</v>
      </c>
    </row>
    <row r="373" spans="1:8">
      <c r="A373">
        <v>253</v>
      </c>
      <c r="B373" t="s">
        <v>61</v>
      </c>
      <c r="C373" t="s">
        <v>20</v>
      </c>
      <c r="D373" t="s">
        <v>1020</v>
      </c>
      <c r="E373" t="s">
        <v>11</v>
      </c>
      <c r="F373">
        <v>4</v>
      </c>
      <c r="G373" t="s">
        <v>12</v>
      </c>
      <c r="H373" t="s">
        <v>1021</v>
      </c>
    </row>
    <row r="374" spans="1:8">
      <c r="A374">
        <v>254</v>
      </c>
      <c r="B374" t="s">
        <v>1022</v>
      </c>
      <c r="C374" t="s">
        <v>9</v>
      </c>
      <c r="D374" t="s">
        <v>1023</v>
      </c>
      <c r="E374" t="s">
        <v>16</v>
      </c>
      <c r="F374">
        <v>1</v>
      </c>
      <c r="G374" t="s">
        <v>12</v>
      </c>
      <c r="H374" t="s">
        <v>1024</v>
      </c>
    </row>
    <row r="375" spans="1:8">
      <c r="A375">
        <v>255</v>
      </c>
      <c r="B375" t="s">
        <v>358</v>
      </c>
      <c r="C375" t="s">
        <v>20</v>
      </c>
      <c r="D375" t="s">
        <v>1025</v>
      </c>
      <c r="E375" t="s">
        <v>16</v>
      </c>
      <c r="F375">
        <v>1</v>
      </c>
      <c r="G375" t="s">
        <v>12</v>
      </c>
      <c r="H375" t="s">
        <v>1026</v>
      </c>
    </row>
    <row r="376" spans="1:8">
      <c r="A376">
        <v>256</v>
      </c>
      <c r="B376" t="s">
        <v>393</v>
      </c>
      <c r="C376" t="s">
        <v>9</v>
      </c>
      <c r="D376" t="s">
        <v>1027</v>
      </c>
      <c r="E376" t="s">
        <v>16</v>
      </c>
      <c r="F376">
        <v>1</v>
      </c>
      <c r="G376" t="s">
        <v>12</v>
      </c>
      <c r="H376" t="s">
        <v>1028</v>
      </c>
    </row>
    <row r="377" spans="1:8">
      <c r="A377">
        <v>257</v>
      </c>
      <c r="B377" t="s">
        <v>1029</v>
      </c>
      <c r="C377" t="s">
        <v>20</v>
      </c>
      <c r="D377" t="s">
        <v>1030</v>
      </c>
      <c r="E377" t="s">
        <v>33</v>
      </c>
      <c r="F377">
        <v>7</v>
      </c>
      <c r="G377" t="s">
        <v>17</v>
      </c>
      <c r="H377" t="s">
        <v>1031</v>
      </c>
    </row>
    <row r="378" spans="1:8">
      <c r="A378">
        <v>258</v>
      </c>
      <c r="B378" t="s">
        <v>884</v>
      </c>
      <c r="C378" t="s">
        <v>9</v>
      </c>
      <c r="D378" t="s">
        <v>1032</v>
      </c>
      <c r="E378" t="s">
        <v>53</v>
      </c>
      <c r="F378">
        <v>5</v>
      </c>
      <c r="G378" t="s">
        <v>12</v>
      </c>
      <c r="H378" t="s">
        <v>1033</v>
      </c>
    </row>
    <row r="379" spans="1:8">
      <c r="A379">
        <v>259</v>
      </c>
      <c r="B379" t="s">
        <v>1034</v>
      </c>
      <c r="C379" t="s">
        <v>20</v>
      </c>
      <c r="D379" t="s">
        <v>1035</v>
      </c>
      <c r="E379" t="s">
        <v>43</v>
      </c>
      <c r="F379">
        <v>3</v>
      </c>
      <c r="G379" t="s">
        <v>25</v>
      </c>
      <c r="H379" t="s">
        <v>1036</v>
      </c>
    </row>
    <row r="380" spans="1:8">
      <c r="A380">
        <v>260</v>
      </c>
      <c r="B380" t="s">
        <v>427</v>
      </c>
      <c r="C380" t="s">
        <v>20</v>
      </c>
      <c r="D380" t="s">
        <v>1037</v>
      </c>
      <c r="E380" t="s">
        <v>43</v>
      </c>
      <c r="F380">
        <v>3</v>
      </c>
      <c r="G380" t="s">
        <v>12</v>
      </c>
      <c r="H380" t="s">
        <v>1038</v>
      </c>
    </row>
    <row r="381" spans="1:8">
      <c r="A381">
        <v>261</v>
      </c>
      <c r="B381" t="s">
        <v>1039</v>
      </c>
      <c r="C381" t="s">
        <v>9</v>
      </c>
      <c r="D381" t="s">
        <v>1040</v>
      </c>
      <c r="E381" t="s">
        <v>11</v>
      </c>
      <c r="F381">
        <v>4</v>
      </c>
      <c r="G381" t="s">
        <v>25</v>
      </c>
      <c r="H381" t="s">
        <v>1041</v>
      </c>
    </row>
    <row r="382" spans="1:8">
      <c r="A382">
        <v>262</v>
      </c>
      <c r="B382" t="s">
        <v>344</v>
      </c>
      <c r="C382" t="s">
        <v>20</v>
      </c>
      <c r="D382" t="s">
        <v>1042</v>
      </c>
      <c r="E382" t="s">
        <v>43</v>
      </c>
      <c r="F382">
        <v>3</v>
      </c>
      <c r="G382" t="s">
        <v>12</v>
      </c>
      <c r="H382" t="s">
        <v>1043</v>
      </c>
    </row>
    <row r="383" spans="1:8">
      <c r="A383">
        <v>263</v>
      </c>
      <c r="B383" t="s">
        <v>1044</v>
      </c>
      <c r="C383" t="s">
        <v>9</v>
      </c>
      <c r="D383" t="s">
        <v>1045</v>
      </c>
      <c r="E383" t="s">
        <v>29</v>
      </c>
      <c r="F383">
        <v>6</v>
      </c>
      <c r="G383" t="s">
        <v>12</v>
      </c>
      <c r="H383" t="s">
        <v>1046</v>
      </c>
    </row>
    <row r="384" spans="1:8">
      <c r="A384">
        <v>264</v>
      </c>
      <c r="B384" t="s">
        <v>1047</v>
      </c>
      <c r="C384" t="s">
        <v>9</v>
      </c>
      <c r="D384" t="s">
        <v>1048</v>
      </c>
      <c r="E384" t="s">
        <v>43</v>
      </c>
      <c r="F384">
        <v>3</v>
      </c>
      <c r="G384" t="s">
        <v>12</v>
      </c>
      <c r="H384" t="s">
        <v>1049</v>
      </c>
    </row>
    <row r="385" spans="1:8">
      <c r="A385">
        <v>265</v>
      </c>
      <c r="B385" t="s">
        <v>207</v>
      </c>
      <c r="C385" t="s">
        <v>9</v>
      </c>
      <c r="D385" t="s">
        <v>1050</v>
      </c>
      <c r="E385" t="s">
        <v>16</v>
      </c>
      <c r="F385">
        <v>2</v>
      </c>
      <c r="G385" t="s">
        <v>25</v>
      </c>
      <c r="H385" t="s">
        <v>1051</v>
      </c>
    </row>
    <row r="386" spans="1:8">
      <c r="A386">
        <v>266</v>
      </c>
      <c r="B386" t="s">
        <v>1052</v>
      </c>
      <c r="C386" t="s">
        <v>20</v>
      </c>
      <c r="D386" t="s">
        <v>1053</v>
      </c>
      <c r="E386" t="s">
        <v>16</v>
      </c>
      <c r="F386">
        <v>2</v>
      </c>
      <c r="G386" t="s">
        <v>17</v>
      </c>
      <c r="H386" t="s">
        <v>194</v>
      </c>
    </row>
    <row r="387" spans="1:8">
      <c r="A387">
        <v>267</v>
      </c>
      <c r="B387" t="s">
        <v>865</v>
      </c>
      <c r="C387" t="s">
        <v>9</v>
      </c>
      <c r="D387" t="s">
        <v>1054</v>
      </c>
      <c r="E387" t="s">
        <v>11</v>
      </c>
      <c r="F387">
        <v>4</v>
      </c>
      <c r="G387" t="s">
        <v>17</v>
      </c>
      <c r="H387" t="s">
        <v>1055</v>
      </c>
    </row>
    <row r="388" spans="1:8">
      <c r="A388">
        <v>268</v>
      </c>
      <c r="B388" t="s">
        <v>1056</v>
      </c>
      <c r="C388" t="s">
        <v>20</v>
      </c>
      <c r="D388" t="s">
        <v>1057</v>
      </c>
      <c r="E388" t="s">
        <v>43</v>
      </c>
      <c r="F388">
        <v>3</v>
      </c>
      <c r="G388" t="s">
        <v>25</v>
      </c>
      <c r="H388" t="s">
        <v>1058</v>
      </c>
    </row>
    <row r="389" spans="1:8">
      <c r="A389">
        <v>269</v>
      </c>
      <c r="B389" t="s">
        <v>693</v>
      </c>
      <c r="C389" t="s">
        <v>20</v>
      </c>
      <c r="D389" t="s">
        <v>1059</v>
      </c>
      <c r="E389" t="s">
        <v>16</v>
      </c>
      <c r="F389">
        <v>1</v>
      </c>
      <c r="G389" t="s">
        <v>12</v>
      </c>
      <c r="H389" t="s">
        <v>1060</v>
      </c>
    </row>
    <row r="390" spans="1:8">
      <c r="A390">
        <v>270</v>
      </c>
      <c r="B390" t="s">
        <v>1061</v>
      </c>
      <c r="C390" t="s">
        <v>9</v>
      </c>
      <c r="D390" t="s">
        <v>1062</v>
      </c>
      <c r="E390" t="s">
        <v>33</v>
      </c>
      <c r="F390">
        <v>7</v>
      </c>
      <c r="G390" t="s">
        <v>17</v>
      </c>
      <c r="H390" t="s">
        <v>1063</v>
      </c>
    </row>
    <row r="391" spans="1:8">
      <c r="A391">
        <v>271</v>
      </c>
      <c r="B391" t="s">
        <v>224</v>
      </c>
      <c r="C391" t="s">
        <v>20</v>
      </c>
      <c r="D391" t="s">
        <v>1064</v>
      </c>
      <c r="E391" t="s">
        <v>43</v>
      </c>
      <c r="F391">
        <v>3</v>
      </c>
      <c r="G391" t="s">
        <v>12</v>
      </c>
      <c r="H391" t="s">
        <v>167</v>
      </c>
    </row>
    <row r="392" spans="1:8">
      <c r="A392">
        <v>272</v>
      </c>
      <c r="B392" t="s">
        <v>1065</v>
      </c>
      <c r="C392" t="s">
        <v>20</v>
      </c>
      <c r="D392" t="s">
        <v>1066</v>
      </c>
      <c r="E392" t="s">
        <v>43</v>
      </c>
      <c r="F392">
        <v>3</v>
      </c>
      <c r="G392" t="s">
        <v>25</v>
      </c>
      <c r="H392" t="s">
        <v>1067</v>
      </c>
    </row>
    <row r="393" spans="1:8">
      <c r="A393">
        <v>273</v>
      </c>
      <c r="B393" t="s">
        <v>747</v>
      </c>
      <c r="C393" t="s">
        <v>9</v>
      </c>
      <c r="D393" t="s">
        <v>1068</v>
      </c>
      <c r="E393" t="s">
        <v>16</v>
      </c>
      <c r="F393">
        <v>1</v>
      </c>
      <c r="G393" t="s">
        <v>25</v>
      </c>
      <c r="H393" t="s">
        <v>1069</v>
      </c>
    </row>
    <row r="394" spans="1:8">
      <c r="A394">
        <v>274</v>
      </c>
      <c r="B394" t="s">
        <v>1070</v>
      </c>
      <c r="C394" t="s">
        <v>9</v>
      </c>
      <c r="D394" t="s">
        <v>1071</v>
      </c>
      <c r="E394" t="s">
        <v>29</v>
      </c>
      <c r="F394">
        <v>6</v>
      </c>
      <c r="G394" t="s">
        <v>25</v>
      </c>
      <c r="H394" t="s">
        <v>1072</v>
      </c>
    </row>
    <row r="395" spans="1:8">
      <c r="A395">
        <v>275</v>
      </c>
      <c r="B395" t="s">
        <v>1073</v>
      </c>
      <c r="C395" t="s">
        <v>20</v>
      </c>
      <c r="D395" t="s">
        <v>377</v>
      </c>
      <c r="E395" t="s">
        <v>29</v>
      </c>
      <c r="F395">
        <v>6</v>
      </c>
      <c r="G395" t="s">
        <v>17</v>
      </c>
      <c r="H395" t="s">
        <v>1074</v>
      </c>
    </row>
    <row r="396" spans="1:8">
      <c r="A396">
        <v>276</v>
      </c>
      <c r="B396" t="s">
        <v>602</v>
      </c>
      <c r="C396" t="s">
        <v>9</v>
      </c>
      <c r="D396" t="s">
        <v>1075</v>
      </c>
      <c r="E396" t="s">
        <v>29</v>
      </c>
      <c r="F396">
        <v>6</v>
      </c>
      <c r="G396" t="s">
        <v>12</v>
      </c>
      <c r="H396" t="s">
        <v>1076</v>
      </c>
    </row>
    <row r="397" spans="1:8">
      <c r="A397">
        <v>277</v>
      </c>
      <c r="B397" t="s">
        <v>1077</v>
      </c>
      <c r="C397" t="s">
        <v>9</v>
      </c>
      <c r="D397" t="s">
        <v>1078</v>
      </c>
      <c r="E397" t="s">
        <v>53</v>
      </c>
      <c r="F397">
        <v>5</v>
      </c>
      <c r="G397" t="s">
        <v>12</v>
      </c>
      <c r="H397" t="s">
        <v>1079</v>
      </c>
    </row>
    <row r="398" spans="1:8">
      <c r="A398">
        <v>278</v>
      </c>
      <c r="B398" t="s">
        <v>1080</v>
      </c>
      <c r="C398" t="s">
        <v>9</v>
      </c>
      <c r="D398" t="s">
        <v>1081</v>
      </c>
      <c r="E398" t="s">
        <v>29</v>
      </c>
      <c r="F398">
        <v>6</v>
      </c>
      <c r="G398" t="s">
        <v>17</v>
      </c>
      <c r="H398" t="s">
        <v>1082</v>
      </c>
    </row>
    <row r="399" spans="1:8">
      <c r="A399">
        <v>279</v>
      </c>
      <c r="B399" t="s">
        <v>87</v>
      </c>
      <c r="C399" t="s">
        <v>9</v>
      </c>
      <c r="D399" t="s">
        <v>1083</v>
      </c>
      <c r="E399" t="s">
        <v>53</v>
      </c>
      <c r="F399">
        <v>5</v>
      </c>
      <c r="G399" t="s">
        <v>17</v>
      </c>
      <c r="H399" t="s">
        <v>1084</v>
      </c>
    </row>
    <row r="400" spans="1:8">
      <c r="A400">
        <v>280</v>
      </c>
      <c r="B400" t="s">
        <v>662</v>
      </c>
      <c r="C400" t="s">
        <v>20</v>
      </c>
      <c r="D400" t="s">
        <v>1085</v>
      </c>
      <c r="E400" t="s">
        <v>29</v>
      </c>
      <c r="F400">
        <v>6</v>
      </c>
      <c r="G400" t="s">
        <v>17</v>
      </c>
      <c r="H400" t="s">
        <v>1086</v>
      </c>
    </row>
    <row r="401" spans="1:8">
      <c r="A401">
        <v>281</v>
      </c>
      <c r="B401" t="s">
        <v>1000</v>
      </c>
      <c r="C401" t="s">
        <v>9</v>
      </c>
      <c r="D401" t="s">
        <v>1087</v>
      </c>
      <c r="E401" t="s">
        <v>33</v>
      </c>
      <c r="F401">
        <v>7</v>
      </c>
      <c r="G401" t="s">
        <v>25</v>
      </c>
      <c r="H401" t="s">
        <v>781</v>
      </c>
    </row>
    <row r="402" spans="1:8">
      <c r="A402">
        <v>282</v>
      </c>
      <c r="B402" t="s">
        <v>1088</v>
      </c>
      <c r="C402" t="s">
        <v>20</v>
      </c>
      <c r="D402" t="s">
        <v>1089</v>
      </c>
      <c r="E402" t="s">
        <v>29</v>
      </c>
      <c r="F402">
        <v>6</v>
      </c>
      <c r="G402" t="s">
        <v>12</v>
      </c>
      <c r="H402" t="s">
        <v>1090</v>
      </c>
    </row>
    <row r="403" spans="1:8">
      <c r="A403">
        <v>283</v>
      </c>
      <c r="B403" t="s">
        <v>1091</v>
      </c>
      <c r="C403" t="s">
        <v>9</v>
      </c>
      <c r="D403" t="s">
        <v>934</v>
      </c>
      <c r="E403" t="s">
        <v>16</v>
      </c>
      <c r="F403">
        <v>1</v>
      </c>
      <c r="G403" t="s">
        <v>25</v>
      </c>
      <c r="H403" t="s">
        <v>1092</v>
      </c>
    </row>
    <row r="404" spans="1:8">
      <c r="A404">
        <v>284</v>
      </c>
      <c r="B404" t="s">
        <v>1093</v>
      </c>
      <c r="C404" t="s">
        <v>9</v>
      </c>
      <c r="D404" t="s">
        <v>1094</v>
      </c>
      <c r="E404" t="s">
        <v>33</v>
      </c>
      <c r="F404">
        <v>7</v>
      </c>
      <c r="G404" t="s">
        <v>12</v>
      </c>
      <c r="H404" t="s">
        <v>1095</v>
      </c>
    </row>
    <row r="405" spans="1:8">
      <c r="A405">
        <v>285</v>
      </c>
      <c r="B405" t="s">
        <v>1096</v>
      </c>
      <c r="C405" t="s">
        <v>20</v>
      </c>
      <c r="D405" t="s">
        <v>1097</v>
      </c>
      <c r="E405" t="s">
        <v>29</v>
      </c>
      <c r="F405">
        <v>6</v>
      </c>
      <c r="G405" t="s">
        <v>25</v>
      </c>
      <c r="H405" t="s">
        <v>1098</v>
      </c>
    </row>
    <row r="406" spans="1:8">
      <c r="A406">
        <v>286</v>
      </c>
      <c r="B406" t="s">
        <v>261</v>
      </c>
      <c r="C406" t="s">
        <v>9</v>
      </c>
      <c r="D406" t="s">
        <v>1099</v>
      </c>
      <c r="E406" t="s">
        <v>33</v>
      </c>
      <c r="F406">
        <v>7</v>
      </c>
      <c r="G406" t="s">
        <v>12</v>
      </c>
      <c r="H406" t="s">
        <v>870</v>
      </c>
    </row>
    <row r="407" spans="1:8">
      <c r="A407">
        <v>287</v>
      </c>
      <c r="B407" t="s">
        <v>1100</v>
      </c>
      <c r="C407" t="s">
        <v>20</v>
      </c>
      <c r="D407" t="s">
        <v>1101</v>
      </c>
      <c r="E407" t="s">
        <v>11</v>
      </c>
      <c r="F407">
        <v>4</v>
      </c>
      <c r="G407" t="s">
        <v>25</v>
      </c>
      <c r="H407" t="s">
        <v>1102</v>
      </c>
    </row>
    <row r="408" spans="1:8">
      <c r="A408">
        <v>288</v>
      </c>
      <c r="B408" t="s">
        <v>1103</v>
      </c>
      <c r="C408" t="s">
        <v>20</v>
      </c>
      <c r="D408" t="s">
        <v>1104</v>
      </c>
      <c r="E408" t="s">
        <v>16</v>
      </c>
      <c r="F408">
        <v>1</v>
      </c>
      <c r="G408" t="s">
        <v>12</v>
      </c>
      <c r="H408" t="s">
        <v>1105</v>
      </c>
    </row>
    <row r="409" spans="1:8">
      <c r="A409">
        <v>289</v>
      </c>
      <c r="B409" t="s">
        <v>1106</v>
      </c>
      <c r="C409" t="s">
        <v>20</v>
      </c>
      <c r="D409" t="s">
        <v>1107</v>
      </c>
      <c r="E409" t="s">
        <v>29</v>
      </c>
      <c r="F409">
        <v>6</v>
      </c>
      <c r="G409" t="s">
        <v>17</v>
      </c>
      <c r="H409" t="s">
        <v>1108</v>
      </c>
    </row>
    <row r="410" spans="1:8">
      <c r="A410">
        <v>290</v>
      </c>
      <c r="B410" t="s">
        <v>1109</v>
      </c>
      <c r="C410" t="s">
        <v>20</v>
      </c>
      <c r="D410" t="s">
        <v>1110</v>
      </c>
      <c r="E410" t="s">
        <v>33</v>
      </c>
      <c r="F410">
        <v>7</v>
      </c>
      <c r="G410" t="s">
        <v>12</v>
      </c>
      <c r="H410" t="s">
        <v>1111</v>
      </c>
    </row>
    <row r="411" spans="1:8">
      <c r="A411">
        <v>291</v>
      </c>
      <c r="B411" t="s">
        <v>1112</v>
      </c>
      <c r="C411" t="s">
        <v>20</v>
      </c>
      <c r="D411" t="s">
        <v>1113</v>
      </c>
      <c r="E411" t="s">
        <v>33</v>
      </c>
      <c r="F411">
        <v>7</v>
      </c>
      <c r="G411" t="s">
        <v>17</v>
      </c>
      <c r="H411" t="s">
        <v>1114</v>
      </c>
    </row>
    <row r="412" spans="1:8">
      <c r="A412">
        <v>292</v>
      </c>
      <c r="B412" t="s">
        <v>697</v>
      </c>
      <c r="C412" t="s">
        <v>20</v>
      </c>
      <c r="D412" t="s">
        <v>1115</v>
      </c>
      <c r="E412" t="s">
        <v>16</v>
      </c>
      <c r="F412">
        <v>2</v>
      </c>
      <c r="G412" t="s">
        <v>12</v>
      </c>
      <c r="H412" t="s">
        <v>1116</v>
      </c>
    </row>
    <row r="413" spans="1:8">
      <c r="A413">
        <v>293</v>
      </c>
      <c r="B413" t="s">
        <v>1117</v>
      </c>
      <c r="C413" t="s">
        <v>20</v>
      </c>
      <c r="D413" t="s">
        <v>1118</v>
      </c>
      <c r="E413" t="s">
        <v>16</v>
      </c>
      <c r="F413">
        <v>2</v>
      </c>
      <c r="G413" t="s">
        <v>12</v>
      </c>
      <c r="H413" t="s">
        <v>1119</v>
      </c>
    </row>
    <row r="414" spans="1:8">
      <c r="A414">
        <v>294</v>
      </c>
      <c r="B414" t="s">
        <v>227</v>
      </c>
      <c r="C414" t="s">
        <v>20</v>
      </c>
      <c r="D414" t="s">
        <v>1120</v>
      </c>
      <c r="E414" t="s">
        <v>16</v>
      </c>
      <c r="F414">
        <v>2</v>
      </c>
      <c r="G414" t="s">
        <v>12</v>
      </c>
      <c r="H414" t="s">
        <v>1121</v>
      </c>
    </row>
    <row r="415" spans="1:8">
      <c r="A415">
        <v>295</v>
      </c>
      <c r="B415" t="s">
        <v>1122</v>
      </c>
      <c r="C415" t="s">
        <v>20</v>
      </c>
      <c r="D415" t="s">
        <v>637</v>
      </c>
      <c r="E415" t="s">
        <v>43</v>
      </c>
      <c r="F415">
        <v>3</v>
      </c>
      <c r="G415" t="s">
        <v>12</v>
      </c>
      <c r="H415" t="s">
        <v>1123</v>
      </c>
    </row>
    <row r="416" spans="1:8">
      <c r="A416">
        <v>296</v>
      </c>
      <c r="B416" t="s">
        <v>255</v>
      </c>
      <c r="C416" t="s">
        <v>20</v>
      </c>
      <c r="D416" t="s">
        <v>1124</v>
      </c>
      <c r="E416" t="s">
        <v>43</v>
      </c>
      <c r="F416">
        <v>3</v>
      </c>
      <c r="G416" t="s">
        <v>25</v>
      </c>
      <c r="H416" t="s">
        <v>1125</v>
      </c>
    </row>
    <row r="417" spans="1:8">
      <c r="A417">
        <v>297</v>
      </c>
      <c r="B417" t="s">
        <v>1126</v>
      </c>
      <c r="C417" t="s">
        <v>9</v>
      </c>
      <c r="D417" t="s">
        <v>1127</v>
      </c>
      <c r="E417" t="s">
        <v>33</v>
      </c>
      <c r="F417">
        <v>7</v>
      </c>
      <c r="G417" t="s">
        <v>12</v>
      </c>
      <c r="H417" t="s">
        <v>1128</v>
      </c>
    </row>
    <row r="418" spans="1:8">
      <c r="A418">
        <v>298</v>
      </c>
      <c r="B418" t="s">
        <v>1129</v>
      </c>
      <c r="C418" t="s">
        <v>9</v>
      </c>
      <c r="D418" t="s">
        <v>1130</v>
      </c>
      <c r="E418" t="s">
        <v>33</v>
      </c>
      <c r="F418">
        <v>7</v>
      </c>
      <c r="G418" t="s">
        <v>25</v>
      </c>
      <c r="H418" t="s">
        <v>1131</v>
      </c>
    </row>
    <row r="419" spans="1:8">
      <c r="A419">
        <v>299</v>
      </c>
      <c r="B419" t="s">
        <v>1132</v>
      </c>
      <c r="C419" t="s">
        <v>20</v>
      </c>
      <c r="D419" t="s">
        <v>1133</v>
      </c>
      <c r="E419" t="s">
        <v>33</v>
      </c>
      <c r="F419">
        <v>7</v>
      </c>
      <c r="G419" t="s">
        <v>12</v>
      </c>
      <c r="H419" t="s">
        <v>1134</v>
      </c>
    </row>
    <row r="420" spans="1:8">
      <c r="A420">
        <v>300</v>
      </c>
      <c r="B420" t="s">
        <v>668</v>
      </c>
      <c r="C420" t="s">
        <v>20</v>
      </c>
      <c r="D420" t="s">
        <v>1135</v>
      </c>
      <c r="E420" t="s">
        <v>43</v>
      </c>
      <c r="F420">
        <v>3</v>
      </c>
      <c r="G420" t="s">
        <v>17</v>
      </c>
      <c r="H420" t="s">
        <v>1136</v>
      </c>
    </row>
    <row r="421" spans="1:8">
      <c r="A421">
        <v>301</v>
      </c>
      <c r="B421" t="s">
        <v>1137</v>
      </c>
      <c r="C421" t="s">
        <v>9</v>
      </c>
      <c r="D421" t="s">
        <v>1138</v>
      </c>
      <c r="E421" t="s">
        <v>16</v>
      </c>
      <c r="F421">
        <v>2</v>
      </c>
      <c r="G421" t="s">
        <v>12</v>
      </c>
      <c r="H421" t="s">
        <v>1139</v>
      </c>
    </row>
    <row r="422" spans="1:8">
      <c r="A422">
        <v>302</v>
      </c>
      <c r="B422" t="s">
        <v>1140</v>
      </c>
      <c r="C422" t="s">
        <v>9</v>
      </c>
      <c r="D422" t="s">
        <v>1141</v>
      </c>
      <c r="E422" t="s">
        <v>16</v>
      </c>
      <c r="F422">
        <v>2</v>
      </c>
      <c r="G422" t="s">
        <v>12</v>
      </c>
      <c r="H422" t="s">
        <v>996</v>
      </c>
    </row>
    <row r="423" spans="1:8">
      <c r="A423">
        <v>303</v>
      </c>
      <c r="B423" t="s">
        <v>177</v>
      </c>
      <c r="C423" t="s">
        <v>9</v>
      </c>
      <c r="D423" t="s">
        <v>1142</v>
      </c>
      <c r="E423" t="s">
        <v>33</v>
      </c>
      <c r="F423">
        <v>7</v>
      </c>
      <c r="G423" t="s">
        <v>12</v>
      </c>
      <c r="H423" t="s">
        <v>673</v>
      </c>
    </row>
    <row r="424" spans="1:8">
      <c r="A424">
        <v>304</v>
      </c>
      <c r="B424" t="s">
        <v>531</v>
      </c>
      <c r="C424" t="s">
        <v>9</v>
      </c>
      <c r="D424" t="s">
        <v>1143</v>
      </c>
      <c r="E424" t="s">
        <v>16</v>
      </c>
      <c r="F424">
        <v>1</v>
      </c>
      <c r="G424" t="s">
        <v>12</v>
      </c>
      <c r="H424" t="s">
        <v>1144</v>
      </c>
    </row>
    <row r="425" spans="1:8">
      <c r="A425">
        <v>305</v>
      </c>
      <c r="B425" t="s">
        <v>540</v>
      </c>
      <c r="C425" t="s">
        <v>9</v>
      </c>
      <c r="D425" t="s">
        <v>1145</v>
      </c>
      <c r="E425" t="s">
        <v>16</v>
      </c>
      <c r="F425">
        <v>2</v>
      </c>
      <c r="G425" t="s">
        <v>12</v>
      </c>
      <c r="H425" t="s">
        <v>1146</v>
      </c>
    </row>
    <row r="426" spans="1:8">
      <c r="A426">
        <v>306</v>
      </c>
      <c r="B426" t="s">
        <v>1147</v>
      </c>
      <c r="C426" t="s">
        <v>9</v>
      </c>
      <c r="D426" t="s">
        <v>1148</v>
      </c>
      <c r="E426" t="s">
        <v>43</v>
      </c>
      <c r="F426">
        <v>3</v>
      </c>
      <c r="G426" t="s">
        <v>25</v>
      </c>
      <c r="H426" t="s">
        <v>1149</v>
      </c>
    </row>
    <row r="427" spans="1:8">
      <c r="A427">
        <v>307</v>
      </c>
      <c r="B427" t="s">
        <v>1150</v>
      </c>
      <c r="C427" t="s">
        <v>9</v>
      </c>
      <c r="D427" t="s">
        <v>1151</v>
      </c>
      <c r="E427" t="s">
        <v>16</v>
      </c>
      <c r="F427">
        <v>1</v>
      </c>
      <c r="G427" t="s">
        <v>17</v>
      </c>
      <c r="H427" t="s">
        <v>1152</v>
      </c>
    </row>
    <row r="428" spans="1:8">
      <c r="A428">
        <v>308</v>
      </c>
      <c r="B428" t="s">
        <v>1153</v>
      </c>
      <c r="C428" t="s">
        <v>9</v>
      </c>
      <c r="D428" t="s">
        <v>1154</v>
      </c>
      <c r="E428" t="s">
        <v>29</v>
      </c>
      <c r="F428">
        <v>6</v>
      </c>
      <c r="G428" t="s">
        <v>12</v>
      </c>
      <c r="H428" t="s">
        <v>1155</v>
      </c>
    </row>
    <row r="429" spans="1:8">
      <c r="A429">
        <v>309</v>
      </c>
      <c r="B429" t="s">
        <v>1156</v>
      </c>
      <c r="C429" t="s">
        <v>9</v>
      </c>
      <c r="D429" t="s">
        <v>1157</v>
      </c>
      <c r="E429" t="s">
        <v>43</v>
      </c>
      <c r="F429">
        <v>3</v>
      </c>
      <c r="G429" t="s">
        <v>12</v>
      </c>
      <c r="H429" t="s">
        <v>974</v>
      </c>
    </row>
    <row r="430" spans="1:8">
      <c r="A430">
        <v>310</v>
      </c>
      <c r="B430" t="s">
        <v>510</v>
      </c>
      <c r="C430" t="s">
        <v>9</v>
      </c>
      <c r="D430" t="s">
        <v>1158</v>
      </c>
      <c r="E430" t="s">
        <v>33</v>
      </c>
      <c r="F430">
        <v>7</v>
      </c>
      <c r="G430" t="s">
        <v>12</v>
      </c>
      <c r="H430" t="s">
        <v>1159</v>
      </c>
    </row>
    <row r="431" spans="1:8">
      <c r="A431">
        <v>311</v>
      </c>
      <c r="B431" t="s">
        <v>258</v>
      </c>
      <c r="C431" t="s">
        <v>9</v>
      </c>
      <c r="D431" t="s">
        <v>1160</v>
      </c>
      <c r="E431" t="s">
        <v>43</v>
      </c>
      <c r="F431">
        <v>3</v>
      </c>
      <c r="G431" t="s">
        <v>12</v>
      </c>
      <c r="H431" t="s">
        <v>1161</v>
      </c>
    </row>
    <row r="432" spans="1:8">
      <c r="A432">
        <v>312</v>
      </c>
      <c r="B432" t="s">
        <v>1162</v>
      </c>
      <c r="C432" t="s">
        <v>9</v>
      </c>
      <c r="D432" t="s">
        <v>265</v>
      </c>
      <c r="E432" t="s">
        <v>11</v>
      </c>
      <c r="F432">
        <v>4</v>
      </c>
      <c r="G432" t="s">
        <v>12</v>
      </c>
      <c r="H432" t="s">
        <v>1163</v>
      </c>
    </row>
    <row r="433" spans="1:8">
      <c r="A433">
        <v>313</v>
      </c>
      <c r="B433" t="s">
        <v>1164</v>
      </c>
      <c r="C433" t="s">
        <v>20</v>
      </c>
      <c r="D433" t="s">
        <v>684</v>
      </c>
      <c r="E433" t="s">
        <v>29</v>
      </c>
      <c r="F433">
        <v>6</v>
      </c>
      <c r="G433" t="s">
        <v>12</v>
      </c>
      <c r="H433" t="s">
        <v>1098</v>
      </c>
    </row>
    <row r="434" spans="1:8">
      <c r="A434">
        <v>314</v>
      </c>
      <c r="B434" t="s">
        <v>1165</v>
      </c>
      <c r="C434" t="s">
        <v>20</v>
      </c>
      <c r="D434" t="s">
        <v>1166</v>
      </c>
      <c r="E434" t="s">
        <v>11</v>
      </c>
      <c r="F434">
        <v>4</v>
      </c>
      <c r="G434" t="s">
        <v>25</v>
      </c>
      <c r="H434" t="s">
        <v>1167</v>
      </c>
    </row>
    <row r="435" spans="1:8">
      <c r="A435">
        <v>315</v>
      </c>
      <c r="B435" t="s">
        <v>1168</v>
      </c>
      <c r="C435" t="s">
        <v>9</v>
      </c>
      <c r="D435" t="s">
        <v>1169</v>
      </c>
      <c r="E435" t="s">
        <v>53</v>
      </c>
      <c r="F435">
        <v>5</v>
      </c>
      <c r="G435" t="s">
        <v>12</v>
      </c>
      <c r="H435" t="s">
        <v>1170</v>
      </c>
    </row>
    <row r="436" spans="1:8">
      <c r="A436">
        <v>316</v>
      </c>
      <c r="B436" t="s">
        <v>1171</v>
      </c>
      <c r="C436" t="s">
        <v>20</v>
      </c>
      <c r="D436" t="s">
        <v>1172</v>
      </c>
      <c r="E436" t="s">
        <v>16</v>
      </c>
      <c r="F436">
        <v>1</v>
      </c>
      <c r="G436" t="s">
        <v>25</v>
      </c>
      <c r="H436" t="s">
        <v>1173</v>
      </c>
    </row>
    <row r="437" spans="1:8">
      <c r="A437">
        <v>317</v>
      </c>
      <c r="B437" t="s">
        <v>490</v>
      </c>
      <c r="C437" t="s">
        <v>20</v>
      </c>
      <c r="D437" t="s">
        <v>1174</v>
      </c>
      <c r="E437" t="s">
        <v>16</v>
      </c>
      <c r="F437">
        <v>1</v>
      </c>
      <c r="G437" t="s">
        <v>25</v>
      </c>
      <c r="H437" t="s">
        <v>1175</v>
      </c>
    </row>
    <row r="438" spans="1:8">
      <c r="A438">
        <v>318</v>
      </c>
      <c r="B438" t="s">
        <v>1088</v>
      </c>
      <c r="C438" t="s">
        <v>20</v>
      </c>
      <c r="D438" t="s">
        <v>1176</v>
      </c>
      <c r="E438" t="s">
        <v>33</v>
      </c>
      <c r="F438">
        <v>7</v>
      </c>
      <c r="G438" t="s">
        <v>12</v>
      </c>
      <c r="H438" t="s">
        <v>1177</v>
      </c>
    </row>
    <row r="439" spans="1:8">
      <c r="A439">
        <v>319</v>
      </c>
      <c r="B439" t="s">
        <v>325</v>
      </c>
      <c r="C439" t="s">
        <v>9</v>
      </c>
      <c r="D439" t="s">
        <v>1178</v>
      </c>
      <c r="E439" t="s">
        <v>11</v>
      </c>
      <c r="F439">
        <v>4</v>
      </c>
      <c r="G439" t="s">
        <v>17</v>
      </c>
      <c r="H439" t="s">
        <v>1179</v>
      </c>
    </row>
    <row r="440" spans="1:8">
      <c r="A440">
        <v>320</v>
      </c>
      <c r="B440" t="s">
        <v>470</v>
      </c>
      <c r="C440" t="s">
        <v>20</v>
      </c>
      <c r="D440" t="s">
        <v>934</v>
      </c>
      <c r="E440" t="s">
        <v>16</v>
      </c>
      <c r="F440">
        <v>1</v>
      </c>
      <c r="G440" t="s">
        <v>12</v>
      </c>
      <c r="H440" t="s">
        <v>1180</v>
      </c>
    </row>
    <row r="441" spans="1:8">
      <c r="A441">
        <v>321</v>
      </c>
      <c r="B441" t="s">
        <v>1181</v>
      </c>
      <c r="C441" t="s">
        <v>20</v>
      </c>
      <c r="D441" t="s">
        <v>1182</v>
      </c>
      <c r="E441" t="s">
        <v>11</v>
      </c>
      <c r="F441">
        <v>4</v>
      </c>
      <c r="G441" t="s">
        <v>12</v>
      </c>
      <c r="H441" t="s">
        <v>1183</v>
      </c>
    </row>
    <row r="442" spans="1:8">
      <c r="A442">
        <v>322</v>
      </c>
      <c r="B442" t="s">
        <v>1184</v>
      </c>
      <c r="C442" t="s">
        <v>20</v>
      </c>
      <c r="D442" t="s">
        <v>1185</v>
      </c>
      <c r="E442" t="s">
        <v>11</v>
      </c>
      <c r="F442">
        <v>4</v>
      </c>
      <c r="G442" t="s">
        <v>17</v>
      </c>
      <c r="H442" t="s">
        <v>1186</v>
      </c>
    </row>
    <row r="443" spans="1:8">
      <c r="A443">
        <v>323</v>
      </c>
      <c r="B443" t="s">
        <v>1187</v>
      </c>
      <c r="C443" t="s">
        <v>20</v>
      </c>
      <c r="D443" t="s">
        <v>1188</v>
      </c>
      <c r="E443" t="s">
        <v>11</v>
      </c>
      <c r="F443">
        <v>4</v>
      </c>
      <c r="G443" t="s">
        <v>12</v>
      </c>
      <c r="H443" t="s">
        <v>1189</v>
      </c>
    </row>
    <row r="444" spans="1:8">
      <c r="A444">
        <v>324</v>
      </c>
      <c r="B444" t="s">
        <v>1190</v>
      </c>
      <c r="C444" t="s">
        <v>9</v>
      </c>
      <c r="D444" t="s">
        <v>1191</v>
      </c>
      <c r="E444" t="s">
        <v>29</v>
      </c>
      <c r="F444">
        <v>6</v>
      </c>
      <c r="G444" t="s">
        <v>25</v>
      </c>
      <c r="H444" t="s">
        <v>1192</v>
      </c>
    </row>
    <row r="445" spans="1:8">
      <c r="A445">
        <v>325</v>
      </c>
      <c r="B445" t="s">
        <v>1193</v>
      </c>
      <c r="C445" t="s">
        <v>9</v>
      </c>
      <c r="D445" t="s">
        <v>1194</v>
      </c>
      <c r="E445" t="s">
        <v>16</v>
      </c>
      <c r="F445">
        <v>2</v>
      </c>
      <c r="G445" t="s">
        <v>25</v>
      </c>
      <c r="H445" t="s">
        <v>506</v>
      </c>
    </row>
    <row r="446" spans="1:8">
      <c r="A446">
        <v>326</v>
      </c>
      <c r="B446" t="s">
        <v>41</v>
      </c>
      <c r="C446" t="s">
        <v>20</v>
      </c>
      <c r="D446" t="s">
        <v>1195</v>
      </c>
      <c r="E446" t="s">
        <v>33</v>
      </c>
      <c r="F446">
        <v>7</v>
      </c>
      <c r="G446" t="s">
        <v>25</v>
      </c>
      <c r="H446" t="s">
        <v>1196</v>
      </c>
    </row>
    <row r="447" spans="1:8">
      <c r="A447">
        <v>327</v>
      </c>
      <c r="B447" t="s">
        <v>1197</v>
      </c>
      <c r="C447" t="s">
        <v>20</v>
      </c>
      <c r="D447" t="s">
        <v>772</v>
      </c>
      <c r="E447" t="s">
        <v>16</v>
      </c>
      <c r="F447">
        <v>2</v>
      </c>
      <c r="G447" t="s">
        <v>25</v>
      </c>
      <c r="H447" t="s">
        <v>1198</v>
      </c>
    </row>
    <row r="448" spans="1:8">
      <c r="A448">
        <v>328</v>
      </c>
      <c r="B448" t="s">
        <v>332</v>
      </c>
      <c r="C448" t="s">
        <v>9</v>
      </c>
      <c r="D448" t="s">
        <v>1199</v>
      </c>
      <c r="E448" t="s">
        <v>33</v>
      </c>
      <c r="F448">
        <v>7</v>
      </c>
      <c r="G448" t="s">
        <v>12</v>
      </c>
      <c r="H448" t="s">
        <v>1200</v>
      </c>
    </row>
    <row r="449" spans="1:8">
      <c r="A449">
        <v>329</v>
      </c>
      <c r="B449" t="s">
        <v>1201</v>
      </c>
      <c r="C449" t="s">
        <v>20</v>
      </c>
      <c r="D449" t="s">
        <v>1202</v>
      </c>
      <c r="E449" t="s">
        <v>53</v>
      </c>
      <c r="F449">
        <v>5</v>
      </c>
      <c r="G449" t="s">
        <v>17</v>
      </c>
      <c r="H449" t="s">
        <v>1203</v>
      </c>
    </row>
    <row r="450" spans="1:8">
      <c r="A450">
        <v>330</v>
      </c>
      <c r="B450" t="s">
        <v>1204</v>
      </c>
      <c r="C450" t="s">
        <v>9</v>
      </c>
      <c r="D450" t="s">
        <v>1205</v>
      </c>
      <c r="E450" t="s">
        <v>33</v>
      </c>
      <c r="F450">
        <v>7</v>
      </c>
      <c r="G450" t="s">
        <v>12</v>
      </c>
      <c r="H450" t="s">
        <v>1206</v>
      </c>
    </row>
    <row r="451" spans="1:8">
      <c r="A451">
        <v>331</v>
      </c>
      <c r="B451" t="s">
        <v>688</v>
      </c>
      <c r="C451" t="s">
        <v>9</v>
      </c>
      <c r="D451" t="s">
        <v>1207</v>
      </c>
      <c r="E451" t="s">
        <v>53</v>
      </c>
      <c r="F451">
        <v>5</v>
      </c>
      <c r="G451" t="s">
        <v>17</v>
      </c>
      <c r="H451" t="s">
        <v>1208</v>
      </c>
    </row>
    <row r="452" spans="1:8">
      <c r="A452">
        <v>332</v>
      </c>
      <c r="B452" t="s">
        <v>1209</v>
      </c>
      <c r="C452" t="s">
        <v>9</v>
      </c>
      <c r="D452" t="s">
        <v>1210</v>
      </c>
      <c r="E452" t="s">
        <v>33</v>
      </c>
      <c r="F452">
        <v>7</v>
      </c>
      <c r="G452" t="s">
        <v>25</v>
      </c>
      <c r="H452" t="s">
        <v>1211</v>
      </c>
    </row>
    <row r="453" spans="1:8">
      <c r="A453">
        <v>333</v>
      </c>
      <c r="B453" t="s">
        <v>1212</v>
      </c>
      <c r="C453" t="s">
        <v>20</v>
      </c>
      <c r="D453" t="s">
        <v>1213</v>
      </c>
      <c r="E453" t="s">
        <v>53</v>
      </c>
      <c r="F453">
        <v>5</v>
      </c>
      <c r="G453" t="s">
        <v>17</v>
      </c>
      <c r="H453" t="s">
        <v>1214</v>
      </c>
    </row>
    <row r="454" spans="1:8">
      <c r="A454">
        <v>334</v>
      </c>
      <c r="B454" t="s">
        <v>1215</v>
      </c>
      <c r="C454" t="s">
        <v>9</v>
      </c>
      <c r="D454" t="s">
        <v>1216</v>
      </c>
      <c r="E454" t="s">
        <v>33</v>
      </c>
      <c r="F454">
        <v>7</v>
      </c>
      <c r="G454" t="s">
        <v>12</v>
      </c>
      <c r="H454" t="s">
        <v>1217</v>
      </c>
    </row>
    <row r="455" spans="1:8">
      <c r="A455">
        <v>335</v>
      </c>
      <c r="B455" t="s">
        <v>310</v>
      </c>
      <c r="C455" t="s">
        <v>20</v>
      </c>
      <c r="D455" t="s">
        <v>1218</v>
      </c>
      <c r="E455" t="s">
        <v>16</v>
      </c>
      <c r="F455">
        <v>2</v>
      </c>
      <c r="G455" t="s">
        <v>17</v>
      </c>
      <c r="H455" t="s">
        <v>1219</v>
      </c>
    </row>
    <row r="456" spans="1:8">
      <c r="A456">
        <v>336</v>
      </c>
      <c r="B456" t="s">
        <v>1220</v>
      </c>
      <c r="C456" t="s">
        <v>20</v>
      </c>
      <c r="D456" t="s">
        <v>1221</v>
      </c>
      <c r="E456" t="s">
        <v>53</v>
      </c>
      <c r="F456">
        <v>5</v>
      </c>
      <c r="G456" t="s">
        <v>12</v>
      </c>
      <c r="H456" t="s">
        <v>1173</v>
      </c>
    </row>
    <row r="457" spans="1:8">
      <c r="A457">
        <v>337</v>
      </c>
      <c r="B457" t="s">
        <v>204</v>
      </c>
      <c r="C457" t="s">
        <v>20</v>
      </c>
      <c r="D457" t="s">
        <v>1222</v>
      </c>
      <c r="E457" t="s">
        <v>16</v>
      </c>
      <c r="F457">
        <v>2</v>
      </c>
      <c r="G457" t="s">
        <v>17</v>
      </c>
      <c r="H457" t="s">
        <v>1036</v>
      </c>
    </row>
    <row r="458" spans="1:8">
      <c r="A458">
        <v>338</v>
      </c>
      <c r="B458" t="s">
        <v>1223</v>
      </c>
      <c r="C458" t="s">
        <v>20</v>
      </c>
      <c r="D458" t="s">
        <v>1224</v>
      </c>
      <c r="E458" t="s">
        <v>16</v>
      </c>
      <c r="F458">
        <v>2</v>
      </c>
      <c r="G458" t="s">
        <v>12</v>
      </c>
      <c r="H458" t="s">
        <v>1225</v>
      </c>
    </row>
    <row r="459" spans="1:8">
      <c r="A459">
        <v>339</v>
      </c>
      <c r="B459" t="s">
        <v>1226</v>
      </c>
      <c r="C459" t="s">
        <v>9</v>
      </c>
      <c r="D459" t="s">
        <v>1227</v>
      </c>
      <c r="E459" t="s">
        <v>29</v>
      </c>
      <c r="F459">
        <v>6</v>
      </c>
      <c r="G459" t="s">
        <v>17</v>
      </c>
      <c r="H459" t="s">
        <v>1228</v>
      </c>
    </row>
    <row r="460" spans="1:8">
      <c r="A460">
        <v>340</v>
      </c>
      <c r="B460" t="s">
        <v>985</v>
      </c>
      <c r="C460" t="s">
        <v>9</v>
      </c>
      <c r="D460" t="s">
        <v>1229</v>
      </c>
      <c r="E460" t="s">
        <v>16</v>
      </c>
      <c r="F460">
        <v>2</v>
      </c>
      <c r="G460" t="s">
        <v>17</v>
      </c>
      <c r="H460" t="s">
        <v>1230</v>
      </c>
    </row>
    <row r="461" spans="1:8">
      <c r="A461">
        <v>341</v>
      </c>
      <c r="B461" t="s">
        <v>1231</v>
      </c>
      <c r="C461" t="s">
        <v>9</v>
      </c>
      <c r="D461" t="s">
        <v>1232</v>
      </c>
      <c r="E461" t="s">
        <v>16</v>
      </c>
      <c r="F461">
        <v>2</v>
      </c>
      <c r="G461" t="s">
        <v>12</v>
      </c>
      <c r="H461" t="s">
        <v>1233</v>
      </c>
    </row>
    <row r="462" spans="1:8">
      <c r="A462">
        <v>342</v>
      </c>
      <c r="B462" t="s">
        <v>171</v>
      </c>
      <c r="C462" t="s">
        <v>9</v>
      </c>
      <c r="D462" t="s">
        <v>1234</v>
      </c>
      <c r="E462" t="s">
        <v>43</v>
      </c>
      <c r="F462">
        <v>3</v>
      </c>
      <c r="G462" t="s">
        <v>12</v>
      </c>
      <c r="H462" t="s">
        <v>1235</v>
      </c>
    </row>
    <row r="463" spans="1:8">
      <c r="A463">
        <v>343</v>
      </c>
      <c r="B463" t="s">
        <v>55</v>
      </c>
      <c r="C463" t="s">
        <v>9</v>
      </c>
      <c r="D463" t="s">
        <v>1236</v>
      </c>
      <c r="E463" t="s">
        <v>43</v>
      </c>
      <c r="F463">
        <v>3</v>
      </c>
      <c r="G463" t="s">
        <v>12</v>
      </c>
      <c r="H463" t="s">
        <v>1237</v>
      </c>
    </row>
    <row r="464" spans="1:8">
      <c r="A464">
        <v>344</v>
      </c>
      <c r="B464" t="s">
        <v>299</v>
      </c>
      <c r="C464" t="s">
        <v>9</v>
      </c>
      <c r="D464" t="s">
        <v>1238</v>
      </c>
      <c r="E464" t="s">
        <v>33</v>
      </c>
      <c r="F464">
        <v>7</v>
      </c>
      <c r="G464" t="s">
        <v>12</v>
      </c>
      <c r="H464" t="s">
        <v>450</v>
      </c>
    </row>
    <row r="465" spans="1:8">
      <c r="A465">
        <v>345</v>
      </c>
      <c r="B465" t="s">
        <v>1239</v>
      </c>
      <c r="C465" t="s">
        <v>9</v>
      </c>
      <c r="D465" t="s">
        <v>1240</v>
      </c>
      <c r="E465" t="s">
        <v>33</v>
      </c>
      <c r="F465">
        <v>7</v>
      </c>
      <c r="G465" t="s">
        <v>25</v>
      </c>
      <c r="H465" t="s">
        <v>1241</v>
      </c>
    </row>
    <row r="466" spans="1:8">
      <c r="A466">
        <v>346</v>
      </c>
      <c r="B466" t="s">
        <v>1242</v>
      </c>
      <c r="C466" t="s">
        <v>9</v>
      </c>
      <c r="D466" t="s">
        <v>1243</v>
      </c>
      <c r="E466" t="s">
        <v>16</v>
      </c>
      <c r="F466">
        <v>1</v>
      </c>
      <c r="G466" t="s">
        <v>12</v>
      </c>
      <c r="H466" t="s">
        <v>1244</v>
      </c>
    </row>
    <row r="467" spans="1:8">
      <c r="A467">
        <v>347</v>
      </c>
      <c r="B467" t="s">
        <v>1245</v>
      </c>
      <c r="C467" t="s">
        <v>20</v>
      </c>
      <c r="D467" t="s">
        <v>1246</v>
      </c>
      <c r="E467" t="s">
        <v>43</v>
      </c>
      <c r="F467">
        <v>3</v>
      </c>
      <c r="G467" t="s">
        <v>12</v>
      </c>
      <c r="H467" t="s">
        <v>1247</v>
      </c>
    </row>
    <row r="468" spans="1:8">
      <c r="A468">
        <v>348</v>
      </c>
      <c r="B468" t="s">
        <v>1248</v>
      </c>
      <c r="C468" t="s">
        <v>9</v>
      </c>
      <c r="D468" t="s">
        <v>1249</v>
      </c>
      <c r="E468" t="s">
        <v>33</v>
      </c>
      <c r="F468">
        <v>7</v>
      </c>
      <c r="G468" t="s">
        <v>12</v>
      </c>
      <c r="H468" t="s">
        <v>1250</v>
      </c>
    </row>
    <row r="469" spans="1:8">
      <c r="A469">
        <v>349</v>
      </c>
      <c r="B469" t="s">
        <v>1251</v>
      </c>
      <c r="C469" t="s">
        <v>9</v>
      </c>
      <c r="D469" t="s">
        <v>1252</v>
      </c>
      <c r="E469" t="s">
        <v>29</v>
      </c>
      <c r="F469">
        <v>6</v>
      </c>
      <c r="G469" t="s">
        <v>12</v>
      </c>
      <c r="H469" t="s">
        <v>80</v>
      </c>
    </row>
    <row r="470" spans="1:8">
      <c r="A470">
        <v>350</v>
      </c>
      <c r="B470" t="s">
        <v>1253</v>
      </c>
      <c r="C470" t="s">
        <v>9</v>
      </c>
      <c r="D470" t="s">
        <v>1254</v>
      </c>
      <c r="E470" t="s">
        <v>53</v>
      </c>
      <c r="F470">
        <v>5</v>
      </c>
      <c r="G470" t="s">
        <v>12</v>
      </c>
      <c r="H470" t="s">
        <v>1255</v>
      </c>
    </row>
    <row r="471" spans="1:8">
      <c r="A471">
        <v>351</v>
      </c>
      <c r="B471" t="s">
        <v>1256</v>
      </c>
      <c r="C471" t="s">
        <v>9</v>
      </c>
      <c r="D471" t="s">
        <v>1257</v>
      </c>
      <c r="E471" t="s">
        <v>33</v>
      </c>
      <c r="F471">
        <v>7</v>
      </c>
      <c r="G471" t="s">
        <v>12</v>
      </c>
      <c r="H471" t="s">
        <v>1258</v>
      </c>
    </row>
    <row r="472" spans="1:8">
      <c r="A472">
        <v>352</v>
      </c>
      <c r="B472" t="s">
        <v>1259</v>
      </c>
      <c r="C472" t="s">
        <v>20</v>
      </c>
      <c r="D472" t="s">
        <v>1260</v>
      </c>
      <c r="E472" t="s">
        <v>33</v>
      </c>
      <c r="F472">
        <v>7</v>
      </c>
      <c r="G472" t="s">
        <v>25</v>
      </c>
      <c r="H472" t="s">
        <v>1261</v>
      </c>
    </row>
    <row r="473" spans="1:8">
      <c r="A473">
        <v>353</v>
      </c>
      <c r="B473" t="s">
        <v>1262</v>
      </c>
      <c r="C473" t="s">
        <v>20</v>
      </c>
      <c r="D473" t="s">
        <v>1263</v>
      </c>
      <c r="E473" t="s">
        <v>16</v>
      </c>
      <c r="F473">
        <v>2</v>
      </c>
      <c r="G473" t="s">
        <v>12</v>
      </c>
      <c r="H473" t="s">
        <v>1264</v>
      </c>
    </row>
    <row r="474" spans="1:8">
      <c r="A474">
        <v>354</v>
      </c>
      <c r="B474" t="s">
        <v>1265</v>
      </c>
      <c r="C474" t="s">
        <v>9</v>
      </c>
      <c r="D474" t="s">
        <v>1266</v>
      </c>
      <c r="E474" t="s">
        <v>11</v>
      </c>
      <c r="F474">
        <v>4</v>
      </c>
      <c r="G474" t="s">
        <v>12</v>
      </c>
      <c r="H474" t="s">
        <v>784</v>
      </c>
    </row>
    <row r="475" spans="1:8">
      <c r="A475">
        <v>355</v>
      </c>
      <c r="B475" t="s">
        <v>1267</v>
      </c>
      <c r="C475" t="s">
        <v>20</v>
      </c>
      <c r="D475" t="s">
        <v>1268</v>
      </c>
      <c r="E475" t="s">
        <v>11</v>
      </c>
      <c r="F475">
        <v>4</v>
      </c>
      <c r="G475" t="s">
        <v>25</v>
      </c>
      <c r="H475" t="s">
        <v>1269</v>
      </c>
    </row>
    <row r="476" spans="1:8">
      <c r="A476">
        <v>356</v>
      </c>
      <c r="B476" t="s">
        <v>522</v>
      </c>
      <c r="C476" t="s">
        <v>20</v>
      </c>
      <c r="D476" t="s">
        <v>1270</v>
      </c>
      <c r="E476" t="s">
        <v>29</v>
      </c>
      <c r="F476">
        <v>6</v>
      </c>
      <c r="G476" t="s">
        <v>17</v>
      </c>
      <c r="H476" t="s">
        <v>1271</v>
      </c>
    </row>
    <row r="477" spans="1:8">
      <c r="A477">
        <v>357</v>
      </c>
      <c r="B477" t="s">
        <v>227</v>
      </c>
      <c r="C477" t="s">
        <v>20</v>
      </c>
      <c r="D477" t="s">
        <v>1272</v>
      </c>
      <c r="E477" t="s">
        <v>11</v>
      </c>
      <c r="F477">
        <v>4</v>
      </c>
      <c r="G477" t="s">
        <v>12</v>
      </c>
      <c r="H477" t="s">
        <v>1273</v>
      </c>
    </row>
    <row r="478" spans="1:8">
      <c r="A478">
        <v>358</v>
      </c>
      <c r="B478" t="s">
        <v>1274</v>
      </c>
      <c r="C478" t="s">
        <v>20</v>
      </c>
      <c r="D478" t="s">
        <v>1275</v>
      </c>
      <c r="E478" t="s">
        <v>43</v>
      </c>
      <c r="F478">
        <v>3</v>
      </c>
      <c r="G478" t="s">
        <v>12</v>
      </c>
      <c r="H478" t="s">
        <v>1276</v>
      </c>
    </row>
    <row r="479" spans="1:8">
      <c r="A479">
        <v>359</v>
      </c>
      <c r="B479" t="s">
        <v>132</v>
      </c>
      <c r="C479" t="s">
        <v>9</v>
      </c>
      <c r="D479" t="s">
        <v>1277</v>
      </c>
      <c r="E479" t="s">
        <v>43</v>
      </c>
      <c r="F479">
        <v>3</v>
      </c>
      <c r="G479" t="s">
        <v>12</v>
      </c>
      <c r="H479" t="s">
        <v>1278</v>
      </c>
    </row>
    <row r="480" spans="1:8">
      <c r="A480">
        <v>360</v>
      </c>
      <c r="B480" t="s">
        <v>534</v>
      </c>
      <c r="C480" t="s">
        <v>9</v>
      </c>
      <c r="D480" t="s">
        <v>1279</v>
      </c>
      <c r="E480" t="s">
        <v>43</v>
      </c>
      <c r="F480">
        <v>3</v>
      </c>
      <c r="G480" t="s">
        <v>25</v>
      </c>
      <c r="H480" t="s">
        <v>1280</v>
      </c>
    </row>
    <row r="481" spans="1:8">
      <c r="A481">
        <v>361</v>
      </c>
      <c r="B481" t="s">
        <v>1281</v>
      </c>
      <c r="C481" t="s">
        <v>9</v>
      </c>
      <c r="D481" t="s">
        <v>1282</v>
      </c>
      <c r="E481" t="s">
        <v>11</v>
      </c>
      <c r="F481">
        <v>4</v>
      </c>
      <c r="G481" t="s">
        <v>12</v>
      </c>
      <c r="H481" t="s">
        <v>1283</v>
      </c>
    </row>
    <row r="482" spans="1:8">
      <c r="A482">
        <v>362</v>
      </c>
      <c r="B482" t="s">
        <v>1284</v>
      </c>
      <c r="C482" t="s">
        <v>20</v>
      </c>
      <c r="D482" t="s">
        <v>1285</v>
      </c>
      <c r="E482" t="s">
        <v>16</v>
      </c>
      <c r="F482">
        <v>2</v>
      </c>
      <c r="G482" t="s">
        <v>25</v>
      </c>
      <c r="H482" t="s">
        <v>367</v>
      </c>
    </row>
    <row r="483" spans="1:8">
      <c r="A483">
        <v>363</v>
      </c>
      <c r="B483" t="s">
        <v>1286</v>
      </c>
      <c r="C483" t="s">
        <v>9</v>
      </c>
      <c r="D483" t="s">
        <v>1287</v>
      </c>
      <c r="E483" t="s">
        <v>43</v>
      </c>
      <c r="F483">
        <v>3</v>
      </c>
      <c r="G483" t="s">
        <v>17</v>
      </c>
      <c r="H483" t="s">
        <v>1288</v>
      </c>
    </row>
    <row r="484" spans="1:8">
      <c r="A484">
        <v>364</v>
      </c>
      <c r="B484" t="s">
        <v>1289</v>
      </c>
      <c r="C484" t="s">
        <v>20</v>
      </c>
      <c r="D484" t="s">
        <v>1290</v>
      </c>
      <c r="E484" t="s">
        <v>16</v>
      </c>
      <c r="F484">
        <v>2</v>
      </c>
      <c r="G484" t="s">
        <v>12</v>
      </c>
      <c r="H484" t="s">
        <v>1095</v>
      </c>
    </row>
    <row r="485" spans="1:8">
      <c r="A485">
        <v>365</v>
      </c>
      <c r="B485" t="s">
        <v>1291</v>
      </c>
      <c r="C485" t="s">
        <v>20</v>
      </c>
      <c r="D485" t="s">
        <v>1292</v>
      </c>
      <c r="E485" t="s">
        <v>16</v>
      </c>
      <c r="F485">
        <v>1</v>
      </c>
      <c r="G485" t="s">
        <v>12</v>
      </c>
      <c r="H485" t="s">
        <v>1293</v>
      </c>
    </row>
    <row r="486" spans="1:8">
      <c r="A486">
        <v>366</v>
      </c>
      <c r="B486" t="s">
        <v>347</v>
      </c>
      <c r="C486" t="s">
        <v>20</v>
      </c>
      <c r="D486" t="s">
        <v>1294</v>
      </c>
      <c r="E486" t="s">
        <v>16</v>
      </c>
      <c r="F486">
        <v>1</v>
      </c>
      <c r="G486" t="s">
        <v>12</v>
      </c>
      <c r="H486" t="s">
        <v>1295</v>
      </c>
    </row>
    <row r="487" spans="1:8">
      <c r="A487">
        <v>367</v>
      </c>
      <c r="B487" t="s">
        <v>456</v>
      </c>
      <c r="C487" t="s">
        <v>20</v>
      </c>
      <c r="D487" t="s">
        <v>1296</v>
      </c>
      <c r="E487" t="s">
        <v>29</v>
      </c>
      <c r="F487">
        <v>6</v>
      </c>
      <c r="G487" t="s">
        <v>12</v>
      </c>
      <c r="H487" t="s">
        <v>1297</v>
      </c>
    </row>
    <row r="488" spans="1:8">
      <c r="A488">
        <v>368</v>
      </c>
      <c r="B488" t="s">
        <v>1289</v>
      </c>
      <c r="C488" t="s">
        <v>20</v>
      </c>
      <c r="D488" t="s">
        <v>1298</v>
      </c>
      <c r="E488" t="s">
        <v>16</v>
      </c>
      <c r="F488">
        <v>1</v>
      </c>
      <c r="G488" t="s">
        <v>12</v>
      </c>
      <c r="H488" t="s">
        <v>1299</v>
      </c>
    </row>
    <row r="489" spans="1:8">
      <c r="A489">
        <v>369</v>
      </c>
      <c r="B489" t="s">
        <v>14</v>
      </c>
      <c r="C489" t="s">
        <v>9</v>
      </c>
      <c r="D489" t="s">
        <v>1300</v>
      </c>
      <c r="E489" t="s">
        <v>16</v>
      </c>
      <c r="F489">
        <v>1</v>
      </c>
      <c r="G489" t="s">
        <v>25</v>
      </c>
      <c r="H489" t="s">
        <v>1301</v>
      </c>
    </row>
    <row r="490" spans="1:8">
      <c r="A490">
        <v>370</v>
      </c>
      <c r="B490" t="s">
        <v>763</v>
      </c>
      <c r="C490" t="s">
        <v>9</v>
      </c>
      <c r="D490" t="s">
        <v>1302</v>
      </c>
      <c r="E490" t="s">
        <v>11</v>
      </c>
      <c r="F490">
        <v>4</v>
      </c>
      <c r="G490" t="s">
        <v>17</v>
      </c>
      <c r="H490" t="s">
        <v>1303</v>
      </c>
    </row>
    <row r="491" spans="1:8">
      <c r="A491">
        <v>371</v>
      </c>
      <c r="B491" t="s">
        <v>416</v>
      </c>
      <c r="C491" t="s">
        <v>20</v>
      </c>
      <c r="D491" t="s">
        <v>1304</v>
      </c>
      <c r="E491" t="s">
        <v>16</v>
      </c>
      <c r="F491">
        <v>2</v>
      </c>
      <c r="G491" t="s">
        <v>12</v>
      </c>
      <c r="H491" t="s">
        <v>1305</v>
      </c>
    </row>
    <row r="492" spans="1:8">
      <c r="A492">
        <v>372</v>
      </c>
      <c r="B492" t="s">
        <v>1306</v>
      </c>
      <c r="C492" t="s">
        <v>9</v>
      </c>
      <c r="D492" t="s">
        <v>1307</v>
      </c>
      <c r="E492" t="s">
        <v>11</v>
      </c>
      <c r="F492">
        <v>4</v>
      </c>
      <c r="G492" t="s">
        <v>12</v>
      </c>
      <c r="H492" t="s">
        <v>1308</v>
      </c>
    </row>
    <row r="493" spans="1:8">
      <c r="A493">
        <v>373</v>
      </c>
      <c r="B493" t="s">
        <v>1309</v>
      </c>
      <c r="C493" t="s">
        <v>9</v>
      </c>
      <c r="D493" t="s">
        <v>1310</v>
      </c>
      <c r="E493" t="s">
        <v>16</v>
      </c>
      <c r="F493">
        <v>2</v>
      </c>
      <c r="G493" t="s">
        <v>12</v>
      </c>
      <c r="H493" t="s">
        <v>1311</v>
      </c>
    </row>
    <row r="494" spans="1:8">
      <c r="A494">
        <v>374</v>
      </c>
      <c r="B494" t="s">
        <v>1312</v>
      </c>
      <c r="C494" t="s">
        <v>9</v>
      </c>
      <c r="D494" t="s">
        <v>1313</v>
      </c>
      <c r="E494" t="s">
        <v>11</v>
      </c>
      <c r="F494">
        <v>4</v>
      </c>
      <c r="G494" t="s">
        <v>17</v>
      </c>
      <c r="H494" t="s">
        <v>792</v>
      </c>
    </row>
    <row r="495" spans="1:8">
      <c r="A495">
        <v>375</v>
      </c>
      <c r="B495" t="s">
        <v>129</v>
      </c>
      <c r="C495" t="s">
        <v>9</v>
      </c>
      <c r="D495" t="s">
        <v>1314</v>
      </c>
      <c r="E495" t="s">
        <v>53</v>
      </c>
      <c r="F495">
        <v>5</v>
      </c>
      <c r="G495" t="s">
        <v>12</v>
      </c>
      <c r="H495" t="s">
        <v>1315</v>
      </c>
    </row>
    <row r="496" spans="1:8">
      <c r="A496">
        <v>376</v>
      </c>
      <c r="B496" t="s">
        <v>1316</v>
      </c>
      <c r="C496" t="s">
        <v>20</v>
      </c>
      <c r="D496" t="s">
        <v>1317</v>
      </c>
      <c r="E496" t="s">
        <v>16</v>
      </c>
      <c r="F496">
        <v>2</v>
      </c>
      <c r="G496" t="s">
        <v>12</v>
      </c>
      <c r="H496" t="s">
        <v>337</v>
      </c>
    </row>
    <row r="497" spans="1:8">
      <c r="A497">
        <v>377</v>
      </c>
      <c r="B497" t="s">
        <v>1165</v>
      </c>
      <c r="C497" t="s">
        <v>20</v>
      </c>
      <c r="D497" t="s">
        <v>1318</v>
      </c>
      <c r="E497" t="s">
        <v>11</v>
      </c>
      <c r="F497">
        <v>4</v>
      </c>
      <c r="G497" t="s">
        <v>25</v>
      </c>
      <c r="H497" t="s">
        <v>1319</v>
      </c>
    </row>
    <row r="498" spans="1:8">
      <c r="A498">
        <v>378</v>
      </c>
      <c r="B498" t="s">
        <v>1320</v>
      </c>
      <c r="C498" t="s">
        <v>20</v>
      </c>
      <c r="D498" t="s">
        <v>1321</v>
      </c>
      <c r="E498" t="s">
        <v>43</v>
      </c>
      <c r="F498">
        <v>3</v>
      </c>
      <c r="G498" t="s">
        <v>12</v>
      </c>
      <c r="H498" t="s">
        <v>188</v>
      </c>
    </row>
    <row r="499" spans="1:8">
      <c r="A499">
        <v>379</v>
      </c>
      <c r="B499" t="s">
        <v>504</v>
      </c>
      <c r="C499" t="s">
        <v>9</v>
      </c>
      <c r="D499" t="s">
        <v>1322</v>
      </c>
      <c r="E499" t="s">
        <v>53</v>
      </c>
      <c r="F499">
        <v>5</v>
      </c>
      <c r="G499" t="s">
        <v>25</v>
      </c>
      <c r="H499" t="s">
        <v>1323</v>
      </c>
    </row>
    <row r="500" spans="1:8">
      <c r="A500">
        <v>380</v>
      </c>
      <c r="B500" t="s">
        <v>1324</v>
      </c>
      <c r="C500" t="s">
        <v>20</v>
      </c>
      <c r="D500" t="s">
        <v>1325</v>
      </c>
      <c r="E500" t="s">
        <v>53</v>
      </c>
      <c r="F500">
        <v>5</v>
      </c>
      <c r="G500" t="s">
        <v>12</v>
      </c>
      <c r="H500" t="s">
        <v>1326</v>
      </c>
    </row>
    <row r="501" spans="1:8">
      <c r="A501">
        <v>381</v>
      </c>
      <c r="B501" t="s">
        <v>1327</v>
      </c>
      <c r="C501" t="s">
        <v>20</v>
      </c>
      <c r="D501" t="s">
        <v>1328</v>
      </c>
      <c r="E501" t="s">
        <v>53</v>
      </c>
      <c r="F501">
        <v>5</v>
      </c>
      <c r="G501" t="s">
        <v>25</v>
      </c>
      <c r="H501" t="s">
        <v>1041</v>
      </c>
    </row>
    <row r="502" spans="1:8">
      <c r="A502">
        <v>382</v>
      </c>
      <c r="B502" t="s">
        <v>1329</v>
      </c>
      <c r="C502" t="s">
        <v>20</v>
      </c>
      <c r="D502" t="s">
        <v>1330</v>
      </c>
      <c r="E502" t="s">
        <v>16</v>
      </c>
      <c r="F502">
        <v>2</v>
      </c>
      <c r="G502" t="s">
        <v>12</v>
      </c>
      <c r="H502" t="s">
        <v>1331</v>
      </c>
    </row>
    <row r="503" spans="1:8">
      <c r="A503">
        <v>383</v>
      </c>
      <c r="B503" t="s">
        <v>1332</v>
      </c>
      <c r="C503" t="s">
        <v>20</v>
      </c>
      <c r="D503" t="s">
        <v>1333</v>
      </c>
      <c r="E503" t="s">
        <v>29</v>
      </c>
      <c r="F503">
        <v>6</v>
      </c>
      <c r="G503" t="s">
        <v>25</v>
      </c>
      <c r="H503" t="s">
        <v>702</v>
      </c>
    </row>
    <row r="504" spans="1:8">
      <c r="A504">
        <v>384</v>
      </c>
      <c r="B504" t="s">
        <v>583</v>
      </c>
      <c r="C504" t="s">
        <v>9</v>
      </c>
      <c r="D504" t="s">
        <v>1334</v>
      </c>
      <c r="E504" t="s">
        <v>16</v>
      </c>
      <c r="F504">
        <v>1</v>
      </c>
      <c r="G504" t="s">
        <v>12</v>
      </c>
      <c r="H504" t="s">
        <v>1335</v>
      </c>
    </row>
    <row r="505" spans="1:8">
      <c r="A505">
        <v>385</v>
      </c>
      <c r="B505" t="s">
        <v>1336</v>
      </c>
      <c r="C505" t="s">
        <v>9</v>
      </c>
      <c r="D505" t="s">
        <v>1337</v>
      </c>
      <c r="E505" t="s">
        <v>29</v>
      </c>
      <c r="F505">
        <v>6</v>
      </c>
      <c r="G505" t="s">
        <v>17</v>
      </c>
      <c r="H505" t="s">
        <v>1338</v>
      </c>
    </row>
    <row r="506" spans="1:8">
      <c r="A506">
        <v>386</v>
      </c>
      <c r="B506" t="s">
        <v>1339</v>
      </c>
      <c r="C506" t="s">
        <v>20</v>
      </c>
      <c r="D506" t="s">
        <v>1340</v>
      </c>
      <c r="E506" t="s">
        <v>33</v>
      </c>
      <c r="F506">
        <v>7</v>
      </c>
      <c r="G506" t="s">
        <v>25</v>
      </c>
      <c r="H506" t="s">
        <v>1341</v>
      </c>
    </row>
    <row r="507" spans="1:8">
      <c r="A507">
        <v>387</v>
      </c>
      <c r="B507" t="s">
        <v>19</v>
      </c>
      <c r="C507" t="s">
        <v>20</v>
      </c>
      <c r="D507" t="s">
        <v>1342</v>
      </c>
      <c r="E507" t="s">
        <v>33</v>
      </c>
      <c r="F507">
        <v>7</v>
      </c>
      <c r="G507" t="s">
        <v>12</v>
      </c>
      <c r="H507" t="s">
        <v>1343</v>
      </c>
    </row>
    <row r="508" spans="1:8">
      <c r="A508">
        <v>388</v>
      </c>
      <c r="B508" t="s">
        <v>1344</v>
      </c>
      <c r="C508" t="s">
        <v>20</v>
      </c>
      <c r="D508" t="s">
        <v>1345</v>
      </c>
      <c r="E508" t="s">
        <v>16</v>
      </c>
      <c r="F508">
        <v>2</v>
      </c>
      <c r="G508" t="s">
        <v>12</v>
      </c>
      <c r="H508" t="s">
        <v>1346</v>
      </c>
    </row>
    <row r="509" spans="1:8">
      <c r="A509">
        <v>389</v>
      </c>
      <c r="B509" t="s">
        <v>1009</v>
      </c>
      <c r="C509" t="s">
        <v>20</v>
      </c>
      <c r="D509" t="s">
        <v>1347</v>
      </c>
      <c r="E509" t="s">
        <v>16</v>
      </c>
      <c r="F509">
        <v>2</v>
      </c>
      <c r="G509" t="s">
        <v>25</v>
      </c>
      <c r="H509" t="s">
        <v>961</v>
      </c>
    </row>
    <row r="510" spans="1:8">
      <c r="A510">
        <v>390</v>
      </c>
      <c r="B510" t="s">
        <v>1348</v>
      </c>
      <c r="C510" t="s">
        <v>20</v>
      </c>
      <c r="D510" t="s">
        <v>1349</v>
      </c>
      <c r="E510" t="s">
        <v>11</v>
      </c>
      <c r="F510">
        <v>4</v>
      </c>
      <c r="G510" t="s">
        <v>12</v>
      </c>
      <c r="H510" t="s">
        <v>1350</v>
      </c>
    </row>
    <row r="511" spans="1:8">
      <c r="A511">
        <v>391</v>
      </c>
      <c r="B511" t="s">
        <v>424</v>
      </c>
      <c r="C511" t="s">
        <v>20</v>
      </c>
      <c r="D511" t="s">
        <v>1351</v>
      </c>
      <c r="E511" t="s">
        <v>33</v>
      </c>
      <c r="F511">
        <v>7</v>
      </c>
      <c r="G511" t="s">
        <v>12</v>
      </c>
      <c r="H511" t="s">
        <v>1352</v>
      </c>
    </row>
    <row r="512" spans="1:8">
      <c r="A512">
        <v>392</v>
      </c>
      <c r="B512" t="s">
        <v>531</v>
      </c>
      <c r="C512" t="s">
        <v>9</v>
      </c>
      <c r="D512" t="s">
        <v>1353</v>
      </c>
      <c r="E512" t="s">
        <v>16</v>
      </c>
      <c r="F512">
        <v>2</v>
      </c>
      <c r="G512" t="s">
        <v>25</v>
      </c>
      <c r="H512" t="s">
        <v>848</v>
      </c>
    </row>
    <row r="513" spans="1:8">
      <c r="A513">
        <v>393</v>
      </c>
      <c r="B513" t="s">
        <v>332</v>
      </c>
      <c r="C513" t="s">
        <v>9</v>
      </c>
      <c r="D513" t="s">
        <v>1354</v>
      </c>
      <c r="E513" t="s">
        <v>11</v>
      </c>
      <c r="F513">
        <v>4</v>
      </c>
      <c r="G513" t="s">
        <v>12</v>
      </c>
      <c r="H513" t="s">
        <v>1355</v>
      </c>
    </row>
    <row r="514" spans="1:8">
      <c r="A514">
        <v>394</v>
      </c>
      <c r="B514" t="s">
        <v>1356</v>
      </c>
      <c r="C514" t="s">
        <v>9</v>
      </c>
      <c r="D514" t="s">
        <v>1357</v>
      </c>
      <c r="E514" t="s">
        <v>43</v>
      </c>
      <c r="F514">
        <v>3</v>
      </c>
      <c r="G514" t="s">
        <v>17</v>
      </c>
      <c r="H514" t="s">
        <v>1358</v>
      </c>
    </row>
    <row r="515" spans="1:8">
      <c r="A515">
        <v>395</v>
      </c>
      <c r="B515" t="s">
        <v>1359</v>
      </c>
      <c r="C515" t="s">
        <v>9</v>
      </c>
      <c r="D515" t="s">
        <v>1360</v>
      </c>
      <c r="E515" t="s">
        <v>29</v>
      </c>
      <c r="F515">
        <v>6</v>
      </c>
      <c r="G515" t="s">
        <v>17</v>
      </c>
      <c r="H515" t="s">
        <v>1361</v>
      </c>
    </row>
    <row r="516" spans="1:8">
      <c r="A516">
        <v>396</v>
      </c>
      <c r="B516" t="s">
        <v>1362</v>
      </c>
      <c r="C516" t="s">
        <v>20</v>
      </c>
      <c r="D516" t="s">
        <v>1363</v>
      </c>
      <c r="E516" t="s">
        <v>11</v>
      </c>
      <c r="F516">
        <v>4</v>
      </c>
      <c r="G516" t="s">
        <v>12</v>
      </c>
      <c r="H516" t="s">
        <v>1364</v>
      </c>
    </row>
    <row r="517" spans="1:8">
      <c r="A517">
        <v>397</v>
      </c>
      <c r="B517" t="s">
        <v>1365</v>
      </c>
      <c r="C517" t="s">
        <v>20</v>
      </c>
      <c r="D517" t="s">
        <v>1366</v>
      </c>
      <c r="E517" t="s">
        <v>16</v>
      </c>
      <c r="F517">
        <v>2</v>
      </c>
      <c r="G517" t="s">
        <v>25</v>
      </c>
      <c r="H517" t="s">
        <v>1367</v>
      </c>
    </row>
    <row r="518" spans="1:8">
      <c r="A518">
        <v>398</v>
      </c>
      <c r="B518" t="s">
        <v>1368</v>
      </c>
      <c r="C518" t="s">
        <v>9</v>
      </c>
      <c r="D518" t="s">
        <v>745</v>
      </c>
      <c r="E518" t="s">
        <v>43</v>
      </c>
      <c r="F518">
        <v>3</v>
      </c>
      <c r="G518" t="s">
        <v>17</v>
      </c>
      <c r="H518" t="s">
        <v>412</v>
      </c>
    </row>
    <row r="519" spans="1:8">
      <c r="A519">
        <v>399</v>
      </c>
      <c r="B519" t="s">
        <v>873</v>
      </c>
      <c r="C519" t="s">
        <v>9</v>
      </c>
      <c r="D519" t="s">
        <v>1369</v>
      </c>
      <c r="E519" t="s">
        <v>53</v>
      </c>
      <c r="F519">
        <v>5</v>
      </c>
      <c r="G519" t="s">
        <v>12</v>
      </c>
      <c r="H519" t="s">
        <v>1370</v>
      </c>
    </row>
    <row r="520" spans="1:8">
      <c r="A520">
        <v>400</v>
      </c>
      <c r="B520" t="s">
        <v>1371</v>
      </c>
      <c r="C520" t="s">
        <v>20</v>
      </c>
      <c r="D520" t="s">
        <v>1372</v>
      </c>
      <c r="E520" t="s">
        <v>53</v>
      </c>
      <c r="F520">
        <v>5</v>
      </c>
      <c r="G520" t="s">
        <v>25</v>
      </c>
      <c r="H520" t="s">
        <v>1373</v>
      </c>
    </row>
    <row r="521" spans="1:8">
      <c r="A521">
        <v>401</v>
      </c>
      <c r="B521" t="s">
        <v>1365</v>
      </c>
      <c r="C521" t="s">
        <v>20</v>
      </c>
      <c r="D521" t="s">
        <v>1205</v>
      </c>
      <c r="E521" t="s">
        <v>53</v>
      </c>
      <c r="F521">
        <v>5</v>
      </c>
      <c r="G521" t="s">
        <v>12</v>
      </c>
      <c r="H521" t="s">
        <v>743</v>
      </c>
    </row>
    <row r="522" spans="1:8">
      <c r="A522">
        <v>402</v>
      </c>
      <c r="B522" t="s">
        <v>1374</v>
      </c>
      <c r="C522" t="s">
        <v>9</v>
      </c>
      <c r="D522" t="s">
        <v>1375</v>
      </c>
      <c r="E522" t="s">
        <v>33</v>
      </c>
      <c r="F522">
        <v>7</v>
      </c>
      <c r="G522" t="s">
        <v>12</v>
      </c>
      <c r="H522" t="s">
        <v>1376</v>
      </c>
    </row>
    <row r="523" spans="1:8">
      <c r="A523">
        <v>403</v>
      </c>
      <c r="B523" t="s">
        <v>1153</v>
      </c>
      <c r="C523" t="s">
        <v>9</v>
      </c>
      <c r="D523" t="s">
        <v>1377</v>
      </c>
      <c r="E523" t="s">
        <v>16</v>
      </c>
      <c r="F523">
        <v>1</v>
      </c>
      <c r="G523" t="s">
        <v>12</v>
      </c>
      <c r="H523" t="s">
        <v>1378</v>
      </c>
    </row>
    <row r="524" spans="1:8">
      <c r="A524">
        <v>404</v>
      </c>
      <c r="B524" t="s">
        <v>1379</v>
      </c>
      <c r="C524" t="s">
        <v>20</v>
      </c>
      <c r="D524" t="s">
        <v>1380</v>
      </c>
      <c r="E524" t="s">
        <v>43</v>
      </c>
      <c r="F524">
        <v>3</v>
      </c>
      <c r="G524" t="s">
        <v>25</v>
      </c>
      <c r="H524" t="s">
        <v>1381</v>
      </c>
    </row>
    <row r="525" spans="1:8">
      <c r="A525">
        <v>405</v>
      </c>
      <c r="B525" t="s">
        <v>1382</v>
      </c>
      <c r="C525" t="s">
        <v>9</v>
      </c>
      <c r="D525" t="s">
        <v>1383</v>
      </c>
      <c r="E525" t="s">
        <v>11</v>
      </c>
      <c r="F525">
        <v>4</v>
      </c>
      <c r="G525" t="s">
        <v>25</v>
      </c>
      <c r="H525" t="s">
        <v>223</v>
      </c>
    </row>
    <row r="526" spans="1:8">
      <c r="A526">
        <v>406</v>
      </c>
      <c r="B526" t="s">
        <v>1384</v>
      </c>
      <c r="C526" t="s">
        <v>20</v>
      </c>
      <c r="D526" t="s">
        <v>1385</v>
      </c>
      <c r="E526" t="s">
        <v>29</v>
      </c>
      <c r="F526">
        <v>6</v>
      </c>
      <c r="G526" t="s">
        <v>25</v>
      </c>
      <c r="H526" t="s">
        <v>1386</v>
      </c>
    </row>
    <row r="527" spans="1:8">
      <c r="A527">
        <v>407</v>
      </c>
      <c r="B527" t="s">
        <v>1387</v>
      </c>
      <c r="C527" t="s">
        <v>20</v>
      </c>
      <c r="D527" t="s">
        <v>1388</v>
      </c>
      <c r="E527" t="s">
        <v>33</v>
      </c>
      <c r="F527">
        <v>7</v>
      </c>
      <c r="G527" t="s">
        <v>25</v>
      </c>
      <c r="H527" t="s">
        <v>1389</v>
      </c>
    </row>
    <row r="528" spans="1:8">
      <c r="A528">
        <v>408</v>
      </c>
      <c r="B528" t="s">
        <v>1390</v>
      </c>
      <c r="C528" t="s">
        <v>9</v>
      </c>
      <c r="D528" t="s">
        <v>1391</v>
      </c>
      <c r="E528" t="s">
        <v>43</v>
      </c>
      <c r="F528">
        <v>3</v>
      </c>
      <c r="G528" t="s">
        <v>12</v>
      </c>
      <c r="H528" t="s">
        <v>1392</v>
      </c>
    </row>
    <row r="529" spans="1:8">
      <c r="A529">
        <v>409</v>
      </c>
      <c r="B529" t="s">
        <v>1393</v>
      </c>
      <c r="C529" t="s">
        <v>9</v>
      </c>
      <c r="D529" t="s">
        <v>1394</v>
      </c>
      <c r="E529" t="s">
        <v>16</v>
      </c>
      <c r="F529">
        <v>1</v>
      </c>
      <c r="G529" t="s">
        <v>12</v>
      </c>
      <c r="H529" t="s">
        <v>1395</v>
      </c>
    </row>
    <row r="530" spans="1:8">
      <c r="A530">
        <v>410</v>
      </c>
      <c r="B530" t="s">
        <v>1396</v>
      </c>
      <c r="C530" t="s">
        <v>20</v>
      </c>
      <c r="D530" t="s">
        <v>1397</v>
      </c>
      <c r="E530" t="s">
        <v>29</v>
      </c>
      <c r="F530">
        <v>6</v>
      </c>
      <c r="G530" t="s">
        <v>25</v>
      </c>
      <c r="H530" t="s">
        <v>1398</v>
      </c>
    </row>
    <row r="531" spans="1:8">
      <c r="A531">
        <v>411</v>
      </c>
      <c r="B531" t="s">
        <v>1399</v>
      </c>
      <c r="C531" t="s">
        <v>9</v>
      </c>
      <c r="D531" t="s">
        <v>1400</v>
      </c>
      <c r="E531" t="s">
        <v>53</v>
      </c>
      <c r="F531">
        <v>5</v>
      </c>
      <c r="G531" t="s">
        <v>12</v>
      </c>
      <c r="H531" t="s">
        <v>1401</v>
      </c>
    </row>
    <row r="532" spans="1:8">
      <c r="A532">
        <v>412</v>
      </c>
      <c r="B532" t="s">
        <v>836</v>
      </c>
      <c r="C532" t="s">
        <v>20</v>
      </c>
      <c r="D532" t="s">
        <v>1402</v>
      </c>
      <c r="E532" t="s">
        <v>16</v>
      </c>
      <c r="F532">
        <v>1</v>
      </c>
      <c r="G532" t="s">
        <v>12</v>
      </c>
      <c r="H532" t="s">
        <v>269</v>
      </c>
    </row>
    <row r="533" spans="1:8">
      <c r="A533">
        <v>413</v>
      </c>
      <c r="B533" t="s">
        <v>1403</v>
      </c>
      <c r="C533" t="s">
        <v>20</v>
      </c>
      <c r="D533" t="s">
        <v>1404</v>
      </c>
      <c r="E533" t="s">
        <v>33</v>
      </c>
      <c r="F533">
        <v>7</v>
      </c>
      <c r="G533" t="s">
        <v>25</v>
      </c>
      <c r="H533" t="s">
        <v>1405</v>
      </c>
    </row>
    <row r="534" spans="1:8">
      <c r="A534">
        <v>414</v>
      </c>
      <c r="B534" t="s">
        <v>607</v>
      </c>
      <c r="C534" t="s">
        <v>20</v>
      </c>
      <c r="D534" t="s">
        <v>1406</v>
      </c>
      <c r="E534" t="s">
        <v>53</v>
      </c>
      <c r="F534">
        <v>5</v>
      </c>
      <c r="G534" t="s">
        <v>12</v>
      </c>
      <c r="H534" t="s">
        <v>1355</v>
      </c>
    </row>
    <row r="535" spans="1:8">
      <c r="A535">
        <v>415</v>
      </c>
      <c r="B535" t="s">
        <v>575</v>
      </c>
      <c r="C535" t="s">
        <v>9</v>
      </c>
      <c r="D535" t="s">
        <v>1407</v>
      </c>
      <c r="E535" t="s">
        <v>11</v>
      </c>
      <c r="F535">
        <v>4</v>
      </c>
      <c r="G535" t="s">
        <v>12</v>
      </c>
      <c r="H535" t="s">
        <v>1408</v>
      </c>
    </row>
    <row r="536" spans="1:8">
      <c r="A536">
        <v>416</v>
      </c>
      <c r="B536" t="s">
        <v>833</v>
      </c>
      <c r="C536" t="s">
        <v>9</v>
      </c>
      <c r="D536" t="s">
        <v>1409</v>
      </c>
      <c r="E536" t="s">
        <v>29</v>
      </c>
      <c r="F536">
        <v>6</v>
      </c>
      <c r="G536" t="s">
        <v>17</v>
      </c>
      <c r="H536" t="s">
        <v>1410</v>
      </c>
    </row>
    <row r="537" spans="1:8">
      <c r="A537">
        <v>417</v>
      </c>
      <c r="B537" t="s">
        <v>233</v>
      </c>
      <c r="C537" t="s">
        <v>20</v>
      </c>
      <c r="D537" t="s">
        <v>1411</v>
      </c>
      <c r="E537" t="s">
        <v>43</v>
      </c>
      <c r="F537">
        <v>3</v>
      </c>
      <c r="G537" t="s">
        <v>25</v>
      </c>
      <c r="H537" t="s">
        <v>1412</v>
      </c>
    </row>
    <row r="538" spans="1:8">
      <c r="A538">
        <v>418</v>
      </c>
      <c r="B538" t="s">
        <v>162</v>
      </c>
      <c r="C538" t="s">
        <v>9</v>
      </c>
      <c r="D538" t="s">
        <v>1413</v>
      </c>
      <c r="E538" t="s">
        <v>29</v>
      </c>
      <c r="F538">
        <v>6</v>
      </c>
      <c r="G538" t="s">
        <v>25</v>
      </c>
      <c r="H538" t="s">
        <v>911</v>
      </c>
    </row>
    <row r="539" spans="1:8">
      <c r="A539">
        <v>419</v>
      </c>
      <c r="B539" t="s">
        <v>1414</v>
      </c>
      <c r="C539" t="s">
        <v>20</v>
      </c>
      <c r="D539" t="s">
        <v>1415</v>
      </c>
      <c r="E539" t="s">
        <v>29</v>
      </c>
      <c r="F539">
        <v>6</v>
      </c>
      <c r="G539" t="s">
        <v>12</v>
      </c>
      <c r="H539" t="s">
        <v>1416</v>
      </c>
    </row>
    <row r="540" spans="1:8">
      <c r="A540">
        <v>420</v>
      </c>
      <c r="B540" t="s">
        <v>1417</v>
      </c>
      <c r="C540" t="s">
        <v>20</v>
      </c>
      <c r="D540" t="s">
        <v>1418</v>
      </c>
      <c r="E540" t="s">
        <v>11</v>
      </c>
      <c r="F540">
        <v>4</v>
      </c>
      <c r="G540" t="s">
        <v>12</v>
      </c>
      <c r="H540" t="s">
        <v>1419</v>
      </c>
    </row>
    <row r="541" spans="1:8">
      <c r="A541">
        <v>421</v>
      </c>
      <c r="B541" t="s">
        <v>1420</v>
      </c>
      <c r="C541" t="s">
        <v>20</v>
      </c>
      <c r="D541" t="s">
        <v>1421</v>
      </c>
      <c r="E541" t="s">
        <v>16</v>
      </c>
      <c r="F541">
        <v>2</v>
      </c>
      <c r="G541" t="s">
        <v>25</v>
      </c>
      <c r="H541" t="s">
        <v>1422</v>
      </c>
    </row>
    <row r="542" spans="1:8">
      <c r="A542">
        <v>422</v>
      </c>
      <c r="B542" t="s">
        <v>1423</v>
      </c>
      <c r="C542" t="s">
        <v>9</v>
      </c>
      <c r="D542" t="s">
        <v>1424</v>
      </c>
      <c r="E542" t="s">
        <v>16</v>
      </c>
      <c r="F542">
        <v>1</v>
      </c>
      <c r="G542" t="s">
        <v>25</v>
      </c>
      <c r="H542" t="s">
        <v>1425</v>
      </c>
    </row>
    <row r="543" spans="1:8">
      <c r="A543">
        <v>423</v>
      </c>
      <c r="B543" t="s">
        <v>1106</v>
      </c>
      <c r="C543" t="s">
        <v>20</v>
      </c>
      <c r="D543" t="s">
        <v>1426</v>
      </c>
      <c r="E543" t="s">
        <v>16</v>
      </c>
      <c r="F543">
        <v>1</v>
      </c>
      <c r="G543" t="s">
        <v>25</v>
      </c>
      <c r="H543" t="s">
        <v>1427</v>
      </c>
    </row>
    <row r="544" spans="1:8">
      <c r="A544">
        <v>424</v>
      </c>
      <c r="B544" t="s">
        <v>1428</v>
      </c>
      <c r="C544" t="s">
        <v>20</v>
      </c>
      <c r="D544" t="s">
        <v>1216</v>
      </c>
      <c r="E544" t="s">
        <v>53</v>
      </c>
      <c r="F544">
        <v>5</v>
      </c>
      <c r="G544" t="s">
        <v>12</v>
      </c>
      <c r="H544" t="s">
        <v>1429</v>
      </c>
    </row>
    <row r="545" spans="1:8">
      <c r="A545">
        <v>425</v>
      </c>
      <c r="B545" t="s">
        <v>1430</v>
      </c>
      <c r="C545" t="s">
        <v>20</v>
      </c>
      <c r="D545" t="s">
        <v>1431</v>
      </c>
      <c r="E545" t="s">
        <v>43</v>
      </c>
      <c r="F545">
        <v>3</v>
      </c>
      <c r="G545" t="s">
        <v>12</v>
      </c>
      <c r="H545" t="s">
        <v>1432</v>
      </c>
    </row>
    <row r="546" spans="1:8">
      <c r="A546">
        <v>426</v>
      </c>
      <c r="B546" t="s">
        <v>1433</v>
      </c>
      <c r="C546" t="s">
        <v>20</v>
      </c>
      <c r="D546" t="s">
        <v>1434</v>
      </c>
      <c r="E546" t="s">
        <v>29</v>
      </c>
      <c r="F546">
        <v>6</v>
      </c>
      <c r="G546" t="s">
        <v>25</v>
      </c>
      <c r="H546" t="s">
        <v>1435</v>
      </c>
    </row>
    <row r="547" spans="1:8">
      <c r="A547">
        <v>427</v>
      </c>
      <c r="B547" t="s">
        <v>75</v>
      </c>
      <c r="C547" t="s">
        <v>9</v>
      </c>
      <c r="D547" t="s">
        <v>1436</v>
      </c>
      <c r="E547" t="s">
        <v>29</v>
      </c>
      <c r="F547">
        <v>6</v>
      </c>
      <c r="G547" t="s">
        <v>12</v>
      </c>
      <c r="H547" t="s">
        <v>1437</v>
      </c>
    </row>
    <row r="548" spans="1:8">
      <c r="A548">
        <v>428</v>
      </c>
      <c r="B548" t="s">
        <v>1438</v>
      </c>
      <c r="C548" t="s">
        <v>20</v>
      </c>
      <c r="D548" t="s">
        <v>1439</v>
      </c>
      <c r="E548" t="s">
        <v>33</v>
      </c>
      <c r="F548">
        <v>7</v>
      </c>
      <c r="G548" t="s">
        <v>12</v>
      </c>
      <c r="H548" t="s">
        <v>1440</v>
      </c>
    </row>
    <row r="549" spans="1:8">
      <c r="A549">
        <v>429</v>
      </c>
      <c r="B549" t="s">
        <v>1441</v>
      </c>
      <c r="C549" t="s">
        <v>9</v>
      </c>
      <c r="D549" t="s">
        <v>1442</v>
      </c>
      <c r="E549" t="s">
        <v>53</v>
      </c>
      <c r="F549">
        <v>5</v>
      </c>
      <c r="G549" t="s">
        <v>12</v>
      </c>
      <c r="H549" t="s">
        <v>1443</v>
      </c>
    </row>
    <row r="550" spans="1:8">
      <c r="A550">
        <v>430</v>
      </c>
      <c r="B550" t="s">
        <v>58</v>
      </c>
      <c r="C550" t="s">
        <v>20</v>
      </c>
      <c r="D550" t="s">
        <v>1444</v>
      </c>
      <c r="E550" t="s">
        <v>11</v>
      </c>
      <c r="F550">
        <v>4</v>
      </c>
      <c r="G550" t="s">
        <v>25</v>
      </c>
      <c r="H550" t="s">
        <v>1079</v>
      </c>
    </row>
    <row r="551" spans="1:8">
      <c r="A551">
        <v>431</v>
      </c>
      <c r="B551" t="s">
        <v>1140</v>
      </c>
      <c r="C551" t="s">
        <v>9</v>
      </c>
      <c r="D551" t="s">
        <v>1057</v>
      </c>
      <c r="E551" t="s">
        <v>53</v>
      </c>
      <c r="F551">
        <v>5</v>
      </c>
      <c r="G551" t="s">
        <v>25</v>
      </c>
      <c r="H551" t="s">
        <v>987</v>
      </c>
    </row>
    <row r="552" spans="1:8">
      <c r="A552">
        <v>432</v>
      </c>
      <c r="B552" t="s">
        <v>1445</v>
      </c>
      <c r="C552" t="s">
        <v>9</v>
      </c>
      <c r="D552" t="s">
        <v>1446</v>
      </c>
      <c r="E552" t="s">
        <v>16</v>
      </c>
      <c r="F552">
        <v>1</v>
      </c>
      <c r="G552" t="s">
        <v>25</v>
      </c>
      <c r="H552" t="s">
        <v>1422</v>
      </c>
    </row>
    <row r="553" spans="1:8">
      <c r="A553">
        <v>433</v>
      </c>
      <c r="B553" t="s">
        <v>1447</v>
      </c>
      <c r="C553" t="s">
        <v>9</v>
      </c>
      <c r="D553" t="s">
        <v>1448</v>
      </c>
      <c r="E553" t="s">
        <v>16</v>
      </c>
      <c r="F553">
        <v>2</v>
      </c>
      <c r="G553" t="s">
        <v>12</v>
      </c>
      <c r="H553" t="s">
        <v>1449</v>
      </c>
    </row>
    <row r="554" spans="1:8">
      <c r="A554">
        <v>434</v>
      </c>
      <c r="B554" t="s">
        <v>1450</v>
      </c>
      <c r="C554" t="s">
        <v>9</v>
      </c>
      <c r="D554" t="s">
        <v>1451</v>
      </c>
      <c r="E554" t="s">
        <v>16</v>
      </c>
      <c r="F554">
        <v>1</v>
      </c>
      <c r="G554" t="s">
        <v>25</v>
      </c>
      <c r="H554" t="s">
        <v>1452</v>
      </c>
    </row>
    <row r="555" spans="1:8">
      <c r="A555">
        <v>435</v>
      </c>
      <c r="B555" t="s">
        <v>849</v>
      </c>
      <c r="C555" t="s">
        <v>20</v>
      </c>
      <c r="D555" t="s">
        <v>1453</v>
      </c>
      <c r="E555" t="s">
        <v>53</v>
      </c>
      <c r="F555">
        <v>5</v>
      </c>
      <c r="G555" t="s">
        <v>12</v>
      </c>
      <c r="H555" t="s">
        <v>1454</v>
      </c>
    </row>
    <row r="556" spans="1:8">
      <c r="A556">
        <v>436</v>
      </c>
      <c r="B556" t="s">
        <v>1455</v>
      </c>
      <c r="C556" t="s">
        <v>20</v>
      </c>
      <c r="D556" t="s">
        <v>1456</v>
      </c>
      <c r="E556" t="s">
        <v>16</v>
      </c>
      <c r="F556">
        <v>2</v>
      </c>
      <c r="G556" t="s">
        <v>12</v>
      </c>
      <c r="H556" t="s">
        <v>1457</v>
      </c>
    </row>
    <row r="557" spans="1:8">
      <c r="A557">
        <v>437</v>
      </c>
      <c r="B557" t="s">
        <v>1384</v>
      </c>
      <c r="C557" t="s">
        <v>20</v>
      </c>
      <c r="D557" t="s">
        <v>1458</v>
      </c>
      <c r="E557" t="s">
        <v>16</v>
      </c>
      <c r="F557">
        <v>2</v>
      </c>
      <c r="G557" t="s">
        <v>12</v>
      </c>
      <c r="H557" t="s">
        <v>1459</v>
      </c>
    </row>
    <row r="558" spans="1:8">
      <c r="A558">
        <v>438</v>
      </c>
      <c r="B558" t="s">
        <v>1460</v>
      </c>
      <c r="C558" t="s">
        <v>20</v>
      </c>
      <c r="D558" t="s">
        <v>1461</v>
      </c>
      <c r="E558" t="s">
        <v>11</v>
      </c>
      <c r="F558">
        <v>4</v>
      </c>
      <c r="G558" t="s">
        <v>12</v>
      </c>
      <c r="H558" t="s">
        <v>197</v>
      </c>
    </row>
    <row r="559" spans="1:8">
      <c r="A559">
        <v>439</v>
      </c>
      <c r="B559" t="s">
        <v>1462</v>
      </c>
      <c r="C559" t="s">
        <v>20</v>
      </c>
      <c r="D559" t="s">
        <v>1463</v>
      </c>
      <c r="E559" t="s">
        <v>16</v>
      </c>
      <c r="F559">
        <v>1</v>
      </c>
      <c r="G559" t="s">
        <v>12</v>
      </c>
      <c r="H559" t="s">
        <v>1464</v>
      </c>
    </row>
    <row r="560" spans="1:8">
      <c r="A560">
        <v>440</v>
      </c>
      <c r="B560" t="s">
        <v>1465</v>
      </c>
      <c r="C560" t="s">
        <v>9</v>
      </c>
      <c r="D560" t="s">
        <v>1466</v>
      </c>
      <c r="E560" t="s">
        <v>11</v>
      </c>
      <c r="F560">
        <v>4</v>
      </c>
      <c r="G560" t="s">
        <v>12</v>
      </c>
      <c r="H560" t="s">
        <v>1467</v>
      </c>
    </row>
    <row r="561" spans="1:8">
      <c r="A561">
        <v>441</v>
      </c>
      <c r="B561" t="s">
        <v>1468</v>
      </c>
      <c r="C561" t="s">
        <v>9</v>
      </c>
      <c r="D561" t="s">
        <v>1469</v>
      </c>
      <c r="E561" t="s">
        <v>16</v>
      </c>
      <c r="F561">
        <v>1</v>
      </c>
      <c r="G561" t="s">
        <v>12</v>
      </c>
      <c r="H561" t="s">
        <v>679</v>
      </c>
    </row>
    <row r="562" spans="1:8">
      <c r="A562">
        <v>442</v>
      </c>
      <c r="B562" t="s">
        <v>1470</v>
      </c>
      <c r="C562" t="s">
        <v>9</v>
      </c>
      <c r="D562" t="s">
        <v>1471</v>
      </c>
      <c r="E562" t="s">
        <v>43</v>
      </c>
      <c r="F562">
        <v>3</v>
      </c>
      <c r="G562" t="s">
        <v>12</v>
      </c>
      <c r="H562" t="s">
        <v>1419</v>
      </c>
    </row>
    <row r="563" spans="1:8">
      <c r="A563">
        <v>443</v>
      </c>
      <c r="B563" t="s">
        <v>461</v>
      </c>
      <c r="C563" t="s">
        <v>9</v>
      </c>
      <c r="D563" t="s">
        <v>1472</v>
      </c>
      <c r="E563" t="s">
        <v>16</v>
      </c>
      <c r="F563">
        <v>2</v>
      </c>
      <c r="G563" t="s">
        <v>17</v>
      </c>
      <c r="H563" t="s">
        <v>1473</v>
      </c>
    </row>
    <row r="564" spans="1:8">
      <c r="A564">
        <v>444</v>
      </c>
      <c r="B564" t="s">
        <v>1339</v>
      </c>
      <c r="C564" t="s">
        <v>20</v>
      </c>
      <c r="D564" t="s">
        <v>1474</v>
      </c>
      <c r="E564" t="s">
        <v>29</v>
      </c>
      <c r="F564">
        <v>6</v>
      </c>
      <c r="G564" t="s">
        <v>12</v>
      </c>
      <c r="H564" t="s">
        <v>30</v>
      </c>
    </row>
    <row r="565" spans="1:8">
      <c r="A565">
        <v>445</v>
      </c>
      <c r="B565" t="s">
        <v>1475</v>
      </c>
      <c r="C565" t="s">
        <v>20</v>
      </c>
      <c r="D565" t="s">
        <v>1476</v>
      </c>
      <c r="E565" t="s">
        <v>11</v>
      </c>
      <c r="F565">
        <v>4</v>
      </c>
      <c r="G565" t="s">
        <v>17</v>
      </c>
      <c r="H565" t="s">
        <v>1477</v>
      </c>
    </row>
    <row r="566" spans="1:8">
      <c r="A566">
        <v>446</v>
      </c>
      <c r="B566" t="s">
        <v>774</v>
      </c>
      <c r="C566" t="s">
        <v>9</v>
      </c>
      <c r="D566" t="s">
        <v>1478</v>
      </c>
      <c r="E566" t="s">
        <v>43</v>
      </c>
      <c r="F566">
        <v>3</v>
      </c>
      <c r="G566" t="s">
        <v>25</v>
      </c>
      <c r="H566" t="s">
        <v>1479</v>
      </c>
    </row>
    <row r="567" spans="1:8">
      <c r="A567">
        <v>447</v>
      </c>
      <c r="B567" t="s">
        <v>1316</v>
      </c>
      <c r="C567" t="s">
        <v>20</v>
      </c>
      <c r="D567" t="s">
        <v>1480</v>
      </c>
      <c r="E567" t="s">
        <v>53</v>
      </c>
      <c r="F567">
        <v>5</v>
      </c>
      <c r="G567" t="s">
        <v>12</v>
      </c>
      <c r="H567" t="s">
        <v>1473</v>
      </c>
    </row>
    <row r="568" spans="1:8">
      <c r="A568">
        <v>448</v>
      </c>
      <c r="B568" t="s">
        <v>1291</v>
      </c>
      <c r="C568" t="s">
        <v>20</v>
      </c>
      <c r="D568" t="s">
        <v>1481</v>
      </c>
      <c r="E568" t="s">
        <v>53</v>
      </c>
      <c r="F568">
        <v>5</v>
      </c>
      <c r="G568" t="s">
        <v>12</v>
      </c>
      <c r="H568" t="s">
        <v>1482</v>
      </c>
    </row>
    <row r="569" spans="1:8">
      <c r="A569">
        <v>449</v>
      </c>
      <c r="B569" t="s">
        <v>227</v>
      </c>
      <c r="C569" t="s">
        <v>20</v>
      </c>
      <c r="D569" t="s">
        <v>1483</v>
      </c>
      <c r="E569" t="s">
        <v>16</v>
      </c>
      <c r="F569">
        <v>2</v>
      </c>
      <c r="G569" t="s">
        <v>12</v>
      </c>
      <c r="H569" t="s">
        <v>1484</v>
      </c>
    </row>
    <row r="570" spans="1:8">
      <c r="A570">
        <v>450</v>
      </c>
      <c r="B570" t="s">
        <v>1485</v>
      </c>
      <c r="C570" t="s">
        <v>20</v>
      </c>
      <c r="D570" t="s">
        <v>1486</v>
      </c>
      <c r="E570" t="s">
        <v>53</v>
      </c>
      <c r="F570">
        <v>5</v>
      </c>
      <c r="G570" t="s">
        <v>12</v>
      </c>
      <c r="H570" t="s">
        <v>243</v>
      </c>
    </row>
    <row r="571" spans="1:8">
      <c r="A571">
        <v>451</v>
      </c>
      <c r="B571" t="s">
        <v>273</v>
      </c>
      <c r="C571" t="s">
        <v>9</v>
      </c>
      <c r="D571" t="s">
        <v>1487</v>
      </c>
      <c r="E571" t="s">
        <v>11</v>
      </c>
      <c r="F571">
        <v>4</v>
      </c>
      <c r="G571" t="s">
        <v>12</v>
      </c>
      <c r="H571" t="s">
        <v>1241</v>
      </c>
    </row>
    <row r="572" spans="1:8">
      <c r="A572">
        <v>452</v>
      </c>
      <c r="B572" t="s">
        <v>1488</v>
      </c>
      <c r="C572" t="s">
        <v>9</v>
      </c>
      <c r="D572" t="s">
        <v>1489</v>
      </c>
      <c r="E572" t="s">
        <v>16</v>
      </c>
      <c r="F572">
        <v>1</v>
      </c>
      <c r="G572" t="s">
        <v>25</v>
      </c>
      <c r="H572" t="s">
        <v>1490</v>
      </c>
    </row>
    <row r="573" spans="1:8">
      <c r="A573">
        <v>453</v>
      </c>
      <c r="B573" t="s">
        <v>1491</v>
      </c>
      <c r="C573" t="s">
        <v>20</v>
      </c>
      <c r="D573" t="s">
        <v>1492</v>
      </c>
      <c r="E573" t="s">
        <v>16</v>
      </c>
      <c r="F573">
        <v>1</v>
      </c>
      <c r="G573" t="s">
        <v>12</v>
      </c>
      <c r="H573" t="s">
        <v>1493</v>
      </c>
    </row>
    <row r="574" spans="1:8">
      <c r="A574">
        <v>454</v>
      </c>
      <c r="B574" t="s">
        <v>1494</v>
      </c>
      <c r="C574" t="s">
        <v>9</v>
      </c>
      <c r="D574" t="s">
        <v>1495</v>
      </c>
      <c r="E574" t="s">
        <v>11</v>
      </c>
      <c r="F574">
        <v>4</v>
      </c>
      <c r="G574" t="s">
        <v>12</v>
      </c>
      <c r="H574" t="s">
        <v>1496</v>
      </c>
    </row>
    <row r="575" spans="1:8">
      <c r="A575">
        <v>455</v>
      </c>
      <c r="B575" t="s">
        <v>1497</v>
      </c>
      <c r="C575" t="s">
        <v>9</v>
      </c>
      <c r="D575" t="s">
        <v>988</v>
      </c>
      <c r="E575" t="s">
        <v>53</v>
      </c>
      <c r="F575">
        <v>5</v>
      </c>
      <c r="G575" t="s">
        <v>17</v>
      </c>
      <c r="H575" t="s">
        <v>1498</v>
      </c>
    </row>
    <row r="576" spans="1:8">
      <c r="A576">
        <v>456</v>
      </c>
      <c r="B576" t="s">
        <v>1499</v>
      </c>
      <c r="C576" t="s">
        <v>9</v>
      </c>
      <c r="D576" t="s">
        <v>1500</v>
      </c>
      <c r="E576" t="s">
        <v>43</v>
      </c>
      <c r="F576">
        <v>3</v>
      </c>
      <c r="G576" t="s">
        <v>12</v>
      </c>
      <c r="H576" t="s">
        <v>1501</v>
      </c>
    </row>
    <row r="577" spans="1:8">
      <c r="A577">
        <v>457</v>
      </c>
      <c r="B577" t="s">
        <v>319</v>
      </c>
      <c r="C577" t="s">
        <v>20</v>
      </c>
      <c r="D577" t="s">
        <v>1502</v>
      </c>
      <c r="E577" t="s">
        <v>53</v>
      </c>
      <c r="F577">
        <v>5</v>
      </c>
      <c r="G577" t="s">
        <v>12</v>
      </c>
      <c r="H577" t="s">
        <v>1503</v>
      </c>
    </row>
    <row r="578" spans="1:8">
      <c r="A578">
        <v>458</v>
      </c>
      <c r="B578" t="s">
        <v>1504</v>
      </c>
      <c r="C578" t="s">
        <v>9</v>
      </c>
      <c r="D578" t="s">
        <v>1505</v>
      </c>
      <c r="E578" t="s">
        <v>29</v>
      </c>
      <c r="F578">
        <v>6</v>
      </c>
      <c r="G578" t="s">
        <v>25</v>
      </c>
      <c r="H578" t="s">
        <v>1506</v>
      </c>
    </row>
    <row r="579" spans="1:8">
      <c r="A579">
        <v>459</v>
      </c>
      <c r="B579" t="s">
        <v>1259</v>
      </c>
      <c r="C579" t="s">
        <v>20</v>
      </c>
      <c r="D579" t="s">
        <v>1507</v>
      </c>
      <c r="E579" t="s">
        <v>29</v>
      </c>
      <c r="F579">
        <v>6</v>
      </c>
      <c r="G579" t="s">
        <v>12</v>
      </c>
      <c r="H579" t="s">
        <v>1508</v>
      </c>
    </row>
    <row r="580" spans="1:8">
      <c r="A580">
        <v>460</v>
      </c>
      <c r="B580" t="s">
        <v>1499</v>
      </c>
      <c r="C580" t="s">
        <v>9</v>
      </c>
      <c r="D580" t="s">
        <v>1509</v>
      </c>
      <c r="E580" t="s">
        <v>33</v>
      </c>
      <c r="F580">
        <v>7</v>
      </c>
      <c r="G580" t="s">
        <v>12</v>
      </c>
      <c r="H580" t="s">
        <v>1510</v>
      </c>
    </row>
    <row r="581" spans="1:8">
      <c r="A581">
        <v>461</v>
      </c>
      <c r="B581" t="s">
        <v>215</v>
      </c>
      <c r="C581" t="s">
        <v>9</v>
      </c>
      <c r="D581" t="s">
        <v>1511</v>
      </c>
      <c r="E581" t="s">
        <v>29</v>
      </c>
      <c r="F581">
        <v>6</v>
      </c>
      <c r="G581" t="s">
        <v>12</v>
      </c>
      <c r="H581" t="s">
        <v>1512</v>
      </c>
    </row>
    <row r="582" spans="1:8">
      <c r="A582">
        <v>462</v>
      </c>
      <c r="B582" t="s">
        <v>1513</v>
      </c>
      <c r="C582" t="s">
        <v>9</v>
      </c>
      <c r="D582" t="s">
        <v>1514</v>
      </c>
      <c r="E582" t="s">
        <v>53</v>
      </c>
      <c r="F582">
        <v>5</v>
      </c>
      <c r="G582" t="s">
        <v>25</v>
      </c>
      <c r="H582" t="s">
        <v>1515</v>
      </c>
    </row>
    <row r="583" spans="1:8">
      <c r="A583">
        <v>463</v>
      </c>
      <c r="B583" t="s">
        <v>144</v>
      </c>
      <c r="C583" t="s">
        <v>9</v>
      </c>
      <c r="D583" t="s">
        <v>1516</v>
      </c>
      <c r="E583" t="s">
        <v>33</v>
      </c>
      <c r="F583">
        <v>7</v>
      </c>
      <c r="G583" t="s">
        <v>25</v>
      </c>
      <c r="H583" t="s">
        <v>1517</v>
      </c>
    </row>
    <row r="584" spans="1:8">
      <c r="A584">
        <v>464</v>
      </c>
      <c r="B584" t="s">
        <v>1518</v>
      </c>
      <c r="C584" t="s">
        <v>20</v>
      </c>
      <c r="D584" t="s">
        <v>1519</v>
      </c>
      <c r="E584" t="s">
        <v>53</v>
      </c>
      <c r="F584">
        <v>5</v>
      </c>
      <c r="G584" t="s">
        <v>25</v>
      </c>
      <c r="H584" t="s">
        <v>1520</v>
      </c>
    </row>
    <row r="585" spans="1:8">
      <c r="A585">
        <v>465</v>
      </c>
      <c r="B585" t="s">
        <v>404</v>
      </c>
      <c r="C585" t="s">
        <v>20</v>
      </c>
      <c r="D585" t="s">
        <v>1521</v>
      </c>
      <c r="E585" t="s">
        <v>33</v>
      </c>
      <c r="F585">
        <v>7</v>
      </c>
      <c r="G585" t="s">
        <v>12</v>
      </c>
      <c r="H585" t="s">
        <v>1522</v>
      </c>
    </row>
    <row r="586" spans="1:8">
      <c r="A586">
        <v>466</v>
      </c>
      <c r="B586" t="s">
        <v>966</v>
      </c>
      <c r="C586" t="s">
        <v>9</v>
      </c>
      <c r="D586" t="s">
        <v>1523</v>
      </c>
      <c r="E586" t="s">
        <v>16</v>
      </c>
      <c r="F586">
        <v>2</v>
      </c>
      <c r="G586" t="s">
        <v>12</v>
      </c>
      <c r="H586" t="s">
        <v>1524</v>
      </c>
    </row>
    <row r="587" spans="1:8">
      <c r="A587">
        <v>467</v>
      </c>
      <c r="B587" t="s">
        <v>90</v>
      </c>
      <c r="C587" t="s">
        <v>20</v>
      </c>
      <c r="D587" t="s">
        <v>1525</v>
      </c>
      <c r="E587" t="s">
        <v>16</v>
      </c>
      <c r="F587">
        <v>1</v>
      </c>
      <c r="G587" t="s">
        <v>12</v>
      </c>
      <c r="H587" t="s">
        <v>673</v>
      </c>
    </row>
    <row r="588" spans="1:8">
      <c r="A588">
        <v>468</v>
      </c>
      <c r="B588" t="s">
        <v>504</v>
      </c>
      <c r="C588" t="s">
        <v>9</v>
      </c>
      <c r="D588" t="s">
        <v>1526</v>
      </c>
      <c r="E588" t="s">
        <v>33</v>
      </c>
      <c r="F588">
        <v>7</v>
      </c>
      <c r="G588" t="s">
        <v>12</v>
      </c>
      <c r="H588" t="s">
        <v>1527</v>
      </c>
    </row>
    <row r="589" spans="1:8">
      <c r="A589">
        <v>469</v>
      </c>
      <c r="B589" t="s">
        <v>1528</v>
      </c>
      <c r="C589" t="s">
        <v>20</v>
      </c>
      <c r="D589" t="s">
        <v>1529</v>
      </c>
      <c r="E589" t="s">
        <v>16</v>
      </c>
      <c r="F589">
        <v>1</v>
      </c>
      <c r="G589" t="s">
        <v>12</v>
      </c>
      <c r="H589" t="s">
        <v>935</v>
      </c>
    </row>
    <row r="590" spans="1:8">
      <c r="A590">
        <v>470</v>
      </c>
      <c r="B590" t="s">
        <v>1530</v>
      </c>
      <c r="C590" t="s">
        <v>9</v>
      </c>
      <c r="D590" t="s">
        <v>1531</v>
      </c>
      <c r="E590" t="s">
        <v>16</v>
      </c>
      <c r="F590">
        <v>2</v>
      </c>
      <c r="G590" t="s">
        <v>17</v>
      </c>
      <c r="H590" t="s">
        <v>1532</v>
      </c>
    </row>
    <row r="591" spans="1:8">
      <c r="A591">
        <v>471</v>
      </c>
      <c r="B591" t="s">
        <v>1533</v>
      </c>
      <c r="C591" t="s">
        <v>20</v>
      </c>
      <c r="D591" t="s">
        <v>1534</v>
      </c>
      <c r="E591" t="s">
        <v>16</v>
      </c>
      <c r="F591">
        <v>1</v>
      </c>
      <c r="G591" t="s">
        <v>25</v>
      </c>
      <c r="H591" t="s">
        <v>1535</v>
      </c>
    </row>
    <row r="592" spans="1:8">
      <c r="A592">
        <v>472</v>
      </c>
      <c r="B592" t="s">
        <v>1536</v>
      </c>
      <c r="C592" t="s">
        <v>20</v>
      </c>
      <c r="D592" t="s">
        <v>1537</v>
      </c>
      <c r="E592" t="s">
        <v>33</v>
      </c>
      <c r="F592">
        <v>7</v>
      </c>
      <c r="G592" t="s">
        <v>12</v>
      </c>
      <c r="H592" t="s">
        <v>891</v>
      </c>
    </row>
    <row r="593" spans="1:8">
      <c r="A593">
        <v>473</v>
      </c>
      <c r="B593" t="s">
        <v>1538</v>
      </c>
      <c r="C593" t="s">
        <v>9</v>
      </c>
      <c r="D593" t="s">
        <v>1539</v>
      </c>
      <c r="E593" t="s">
        <v>53</v>
      </c>
      <c r="F593">
        <v>5</v>
      </c>
      <c r="G593" t="s">
        <v>12</v>
      </c>
      <c r="H593" t="s">
        <v>1540</v>
      </c>
    </row>
    <row r="594" spans="1:8">
      <c r="A594">
        <v>474</v>
      </c>
      <c r="B594" t="s">
        <v>884</v>
      </c>
      <c r="C594" t="s">
        <v>9</v>
      </c>
      <c r="D594" t="s">
        <v>1541</v>
      </c>
      <c r="E594" t="s">
        <v>43</v>
      </c>
      <c r="F594">
        <v>3</v>
      </c>
      <c r="G594" t="s">
        <v>25</v>
      </c>
      <c r="H594" t="s">
        <v>1542</v>
      </c>
    </row>
    <row r="595" spans="1:8">
      <c r="A595">
        <v>475</v>
      </c>
      <c r="B595" t="s">
        <v>1543</v>
      </c>
      <c r="C595" t="s">
        <v>9</v>
      </c>
      <c r="D595" t="s">
        <v>1544</v>
      </c>
      <c r="E595" t="s">
        <v>43</v>
      </c>
      <c r="F595">
        <v>3</v>
      </c>
      <c r="G595" t="s">
        <v>12</v>
      </c>
      <c r="H595" t="s">
        <v>1545</v>
      </c>
    </row>
    <row r="596" spans="1:8">
      <c r="A596">
        <v>476</v>
      </c>
      <c r="B596" t="s">
        <v>1546</v>
      </c>
      <c r="C596" t="s">
        <v>20</v>
      </c>
      <c r="D596" t="s">
        <v>1547</v>
      </c>
      <c r="E596" t="s">
        <v>16</v>
      </c>
      <c r="F596">
        <v>2</v>
      </c>
      <c r="G596" t="s">
        <v>12</v>
      </c>
      <c r="H596" t="s">
        <v>1548</v>
      </c>
    </row>
    <row r="597" spans="1:8">
      <c r="A597">
        <v>477</v>
      </c>
      <c r="B597" t="s">
        <v>1549</v>
      </c>
      <c r="C597" t="s">
        <v>20</v>
      </c>
      <c r="D597" t="s">
        <v>1550</v>
      </c>
      <c r="E597" t="s">
        <v>16</v>
      </c>
      <c r="F597">
        <v>1</v>
      </c>
      <c r="G597" t="s">
        <v>12</v>
      </c>
      <c r="H597" t="s">
        <v>1551</v>
      </c>
    </row>
    <row r="598" spans="1:8">
      <c r="A598">
        <v>833</v>
      </c>
      <c r="B598" t="s">
        <v>1430</v>
      </c>
      <c r="C598" t="s">
        <v>20</v>
      </c>
      <c r="D598" t="s">
        <v>1552</v>
      </c>
      <c r="E598" t="s">
        <v>29</v>
      </c>
      <c r="F598">
        <v>6</v>
      </c>
      <c r="G598" t="s">
        <v>12</v>
      </c>
      <c r="H598" t="s">
        <v>1553</v>
      </c>
    </row>
    <row r="599" spans="1:8">
      <c r="A599">
        <v>834</v>
      </c>
      <c r="B599" t="s">
        <v>1554</v>
      </c>
      <c r="C599" t="s">
        <v>20</v>
      </c>
      <c r="D599" t="s">
        <v>1555</v>
      </c>
      <c r="E599" t="s">
        <v>16</v>
      </c>
      <c r="F599">
        <v>2</v>
      </c>
      <c r="G599" t="s">
        <v>25</v>
      </c>
      <c r="H599" t="s">
        <v>1556</v>
      </c>
    </row>
    <row r="600" spans="1:8">
      <c r="A600">
        <v>835</v>
      </c>
      <c r="B600" t="s">
        <v>642</v>
      </c>
      <c r="C600" t="s">
        <v>9</v>
      </c>
      <c r="D600" t="s">
        <v>1557</v>
      </c>
      <c r="E600" t="s">
        <v>53</v>
      </c>
      <c r="F600">
        <v>5</v>
      </c>
      <c r="G600" t="s">
        <v>12</v>
      </c>
      <c r="H600" t="s">
        <v>1558</v>
      </c>
    </row>
    <row r="601" spans="1:8">
      <c r="A601">
        <v>836</v>
      </c>
      <c r="B601" t="s">
        <v>198</v>
      </c>
      <c r="C601" t="s">
        <v>20</v>
      </c>
      <c r="D601" t="s">
        <v>1559</v>
      </c>
      <c r="E601" t="s">
        <v>43</v>
      </c>
      <c r="F601">
        <v>3</v>
      </c>
      <c r="G601" t="s">
        <v>17</v>
      </c>
      <c r="H601" t="s">
        <v>1560</v>
      </c>
    </row>
    <row r="602" spans="1:8">
      <c r="A602">
        <v>837</v>
      </c>
      <c r="B602" t="s">
        <v>23</v>
      </c>
      <c r="C602" t="s">
        <v>9</v>
      </c>
      <c r="D602" t="s">
        <v>1561</v>
      </c>
      <c r="E602" t="s">
        <v>33</v>
      </c>
      <c r="F602">
        <v>7</v>
      </c>
      <c r="G602" t="s">
        <v>12</v>
      </c>
      <c r="H602" t="s">
        <v>1562</v>
      </c>
    </row>
    <row r="603" spans="1:8">
      <c r="A603">
        <v>838</v>
      </c>
      <c r="B603" t="s">
        <v>697</v>
      </c>
      <c r="C603" t="s">
        <v>20</v>
      </c>
      <c r="D603" t="s">
        <v>1563</v>
      </c>
      <c r="E603" t="s">
        <v>16</v>
      </c>
      <c r="F603">
        <v>2</v>
      </c>
      <c r="G603" t="s">
        <v>12</v>
      </c>
      <c r="H603" t="s">
        <v>1564</v>
      </c>
    </row>
    <row r="604" spans="1:8">
      <c r="A604">
        <v>839</v>
      </c>
      <c r="B604" t="s">
        <v>132</v>
      </c>
      <c r="C604" t="s">
        <v>9</v>
      </c>
      <c r="D604" t="s">
        <v>1565</v>
      </c>
      <c r="E604" t="s">
        <v>11</v>
      </c>
      <c r="F604">
        <v>4</v>
      </c>
      <c r="G604" t="s">
        <v>12</v>
      </c>
      <c r="H604" t="s">
        <v>1566</v>
      </c>
    </row>
    <row r="605" spans="1:8">
      <c r="A605">
        <v>840</v>
      </c>
      <c r="B605" t="s">
        <v>461</v>
      </c>
      <c r="C605" t="s">
        <v>9</v>
      </c>
      <c r="D605" t="s">
        <v>1567</v>
      </c>
      <c r="E605" t="s">
        <v>43</v>
      </c>
      <c r="F605">
        <v>3</v>
      </c>
      <c r="G605" t="s">
        <v>12</v>
      </c>
      <c r="H605" t="s">
        <v>1568</v>
      </c>
    </row>
    <row r="606" spans="1:8">
      <c r="A606">
        <v>841</v>
      </c>
      <c r="B606" t="s">
        <v>1569</v>
      </c>
      <c r="C606" t="s">
        <v>9</v>
      </c>
      <c r="D606" t="s">
        <v>1570</v>
      </c>
      <c r="E606" t="s">
        <v>33</v>
      </c>
      <c r="F606">
        <v>7</v>
      </c>
      <c r="G606" t="s">
        <v>12</v>
      </c>
      <c r="H606" t="s">
        <v>1571</v>
      </c>
    </row>
    <row r="607" spans="1:8">
      <c r="A607">
        <v>842</v>
      </c>
      <c r="B607" t="s">
        <v>522</v>
      </c>
      <c r="C607" t="s">
        <v>20</v>
      </c>
      <c r="D607" t="s">
        <v>1572</v>
      </c>
      <c r="E607" t="s">
        <v>43</v>
      </c>
      <c r="F607">
        <v>3</v>
      </c>
      <c r="G607" t="s">
        <v>25</v>
      </c>
      <c r="H607" t="s">
        <v>1573</v>
      </c>
    </row>
    <row r="608" spans="1:8">
      <c r="A608">
        <v>843</v>
      </c>
      <c r="B608" t="s">
        <v>1574</v>
      </c>
      <c r="C608" t="s">
        <v>20</v>
      </c>
      <c r="D608" t="s">
        <v>1575</v>
      </c>
      <c r="E608" t="s">
        <v>16</v>
      </c>
      <c r="F608">
        <v>2</v>
      </c>
      <c r="G608" t="s">
        <v>12</v>
      </c>
      <c r="H608" t="s">
        <v>266</v>
      </c>
    </row>
    <row r="609" spans="1:8">
      <c r="A609">
        <v>844</v>
      </c>
      <c r="B609" t="s">
        <v>1576</v>
      </c>
      <c r="C609" t="s">
        <v>9</v>
      </c>
      <c r="D609" t="s">
        <v>1577</v>
      </c>
      <c r="E609" t="s">
        <v>16</v>
      </c>
      <c r="F609">
        <v>1</v>
      </c>
      <c r="G609" t="s">
        <v>12</v>
      </c>
      <c r="H609" t="s">
        <v>809</v>
      </c>
    </row>
    <row r="610" spans="1:8">
      <c r="A610">
        <v>845</v>
      </c>
      <c r="B610" t="s">
        <v>273</v>
      </c>
      <c r="C610" t="s">
        <v>9</v>
      </c>
      <c r="D610" t="s">
        <v>1578</v>
      </c>
      <c r="E610" t="s">
        <v>53</v>
      </c>
      <c r="F610">
        <v>5</v>
      </c>
      <c r="G610" t="s">
        <v>25</v>
      </c>
      <c r="H610" t="s">
        <v>1579</v>
      </c>
    </row>
    <row r="611" spans="1:8">
      <c r="A611">
        <v>846</v>
      </c>
      <c r="B611" t="s">
        <v>1245</v>
      </c>
      <c r="C611" t="s">
        <v>20</v>
      </c>
      <c r="D611" t="s">
        <v>1580</v>
      </c>
      <c r="E611" t="s">
        <v>16</v>
      </c>
      <c r="F611">
        <v>1</v>
      </c>
      <c r="G611" t="s">
        <v>17</v>
      </c>
      <c r="H611" t="s">
        <v>1581</v>
      </c>
    </row>
    <row r="612" spans="1:8">
      <c r="A612">
        <v>847</v>
      </c>
      <c r="B612" t="s">
        <v>186</v>
      </c>
      <c r="C612" t="s">
        <v>20</v>
      </c>
      <c r="D612" t="s">
        <v>1582</v>
      </c>
      <c r="E612" t="s">
        <v>11</v>
      </c>
      <c r="F612">
        <v>4</v>
      </c>
      <c r="G612" t="s">
        <v>12</v>
      </c>
      <c r="H612" t="s">
        <v>1111</v>
      </c>
    </row>
    <row r="613" spans="1:8">
      <c r="A613">
        <v>848</v>
      </c>
      <c r="B613" t="s">
        <v>81</v>
      </c>
      <c r="C613" t="s">
        <v>9</v>
      </c>
      <c r="D613" t="s">
        <v>1583</v>
      </c>
      <c r="E613" t="s">
        <v>11</v>
      </c>
      <c r="F613">
        <v>4</v>
      </c>
      <c r="G613" t="s">
        <v>12</v>
      </c>
      <c r="H613" t="s">
        <v>1584</v>
      </c>
    </row>
    <row r="614" spans="1:8">
      <c r="A614">
        <v>849</v>
      </c>
      <c r="B614" t="s">
        <v>1585</v>
      </c>
      <c r="C614" t="s">
        <v>20</v>
      </c>
      <c r="D614" t="s">
        <v>1586</v>
      </c>
      <c r="E614" t="s">
        <v>43</v>
      </c>
      <c r="F614">
        <v>3</v>
      </c>
      <c r="G614" t="s">
        <v>12</v>
      </c>
      <c r="H614" t="s">
        <v>1587</v>
      </c>
    </row>
    <row r="615" spans="1:8">
      <c r="A615">
        <v>850</v>
      </c>
      <c r="B615" t="s">
        <v>150</v>
      </c>
      <c r="C615" t="s">
        <v>9</v>
      </c>
      <c r="D615" t="s">
        <v>1588</v>
      </c>
      <c r="E615" t="s">
        <v>43</v>
      </c>
      <c r="F615">
        <v>3</v>
      </c>
      <c r="G615" t="s">
        <v>12</v>
      </c>
      <c r="H615" t="s">
        <v>1589</v>
      </c>
    </row>
    <row r="616" spans="1:8">
      <c r="A616">
        <v>851</v>
      </c>
      <c r="B616" t="s">
        <v>956</v>
      </c>
      <c r="C616" t="s">
        <v>20</v>
      </c>
      <c r="D616" t="s">
        <v>1590</v>
      </c>
      <c r="E616" t="s">
        <v>11</v>
      </c>
      <c r="F616">
        <v>4</v>
      </c>
      <c r="G616" t="s">
        <v>12</v>
      </c>
      <c r="H616" t="s">
        <v>1076</v>
      </c>
    </row>
    <row r="617" spans="1:8">
      <c r="A617">
        <v>852</v>
      </c>
      <c r="B617" t="s">
        <v>438</v>
      </c>
      <c r="C617" t="s">
        <v>9</v>
      </c>
      <c r="D617" t="s">
        <v>1591</v>
      </c>
      <c r="E617" t="s">
        <v>16</v>
      </c>
      <c r="F617">
        <v>1</v>
      </c>
      <c r="G617" t="s">
        <v>25</v>
      </c>
      <c r="H617" t="s">
        <v>1592</v>
      </c>
    </row>
    <row r="618" spans="1:8">
      <c r="A618">
        <v>853</v>
      </c>
      <c r="B618" t="s">
        <v>1593</v>
      </c>
      <c r="C618" t="s">
        <v>9</v>
      </c>
      <c r="D618" t="s">
        <v>1594</v>
      </c>
      <c r="E618" t="s">
        <v>43</v>
      </c>
      <c r="F618">
        <v>3</v>
      </c>
      <c r="G618" t="s">
        <v>12</v>
      </c>
      <c r="H618" t="s">
        <v>1092</v>
      </c>
    </row>
    <row r="619" spans="1:8">
      <c r="A619">
        <v>854</v>
      </c>
      <c r="B619" t="s">
        <v>607</v>
      </c>
      <c r="C619" t="s">
        <v>20</v>
      </c>
      <c r="D619" t="s">
        <v>1595</v>
      </c>
      <c r="E619" t="s">
        <v>53</v>
      </c>
      <c r="F619">
        <v>5</v>
      </c>
      <c r="G619" t="s">
        <v>12</v>
      </c>
      <c r="H619" t="s">
        <v>1596</v>
      </c>
    </row>
    <row r="620" spans="1:8">
      <c r="A620">
        <v>855</v>
      </c>
      <c r="B620" t="s">
        <v>1414</v>
      </c>
      <c r="C620" t="s">
        <v>20</v>
      </c>
      <c r="D620" t="s">
        <v>1597</v>
      </c>
      <c r="E620" t="s">
        <v>53</v>
      </c>
      <c r="F620">
        <v>5</v>
      </c>
      <c r="G620" t="s">
        <v>12</v>
      </c>
      <c r="H620" t="s">
        <v>1551</v>
      </c>
    </row>
    <row r="621" spans="1:8">
      <c r="A621">
        <v>856</v>
      </c>
      <c r="B621" t="s">
        <v>1598</v>
      </c>
      <c r="C621" t="s">
        <v>9</v>
      </c>
      <c r="D621" t="s">
        <v>1599</v>
      </c>
      <c r="E621" t="s">
        <v>16</v>
      </c>
      <c r="F621">
        <v>2</v>
      </c>
      <c r="G621" t="s">
        <v>25</v>
      </c>
      <c r="H621" t="s">
        <v>1600</v>
      </c>
    </row>
    <row r="622" spans="1:8">
      <c r="A622">
        <v>857</v>
      </c>
      <c r="B622" t="s">
        <v>599</v>
      </c>
      <c r="C622" t="s">
        <v>20</v>
      </c>
      <c r="D622" t="s">
        <v>1601</v>
      </c>
      <c r="E622" t="s">
        <v>11</v>
      </c>
      <c r="F622">
        <v>4</v>
      </c>
      <c r="G622" t="s">
        <v>12</v>
      </c>
      <c r="H622" t="s">
        <v>469</v>
      </c>
    </row>
    <row r="623" spans="1:8">
      <c r="A623">
        <v>858</v>
      </c>
      <c r="B623" t="s">
        <v>461</v>
      </c>
      <c r="C623" t="s">
        <v>9</v>
      </c>
      <c r="D623" t="s">
        <v>1602</v>
      </c>
      <c r="E623" t="s">
        <v>53</v>
      </c>
      <c r="F623">
        <v>5</v>
      </c>
      <c r="G623" t="s">
        <v>25</v>
      </c>
      <c r="H623" t="s">
        <v>1603</v>
      </c>
    </row>
    <row r="624" spans="1:8">
      <c r="A624">
        <v>859</v>
      </c>
      <c r="B624" t="s">
        <v>645</v>
      </c>
      <c r="C624" t="s">
        <v>20</v>
      </c>
      <c r="D624" t="s">
        <v>1604</v>
      </c>
      <c r="E624" t="s">
        <v>16</v>
      </c>
      <c r="F624">
        <v>1</v>
      </c>
      <c r="G624" t="s">
        <v>12</v>
      </c>
      <c r="H624" t="s">
        <v>1605</v>
      </c>
    </row>
    <row r="625" spans="1:8">
      <c r="A625">
        <v>860</v>
      </c>
      <c r="B625" t="s">
        <v>1504</v>
      </c>
      <c r="C625" t="s">
        <v>9</v>
      </c>
      <c r="D625" t="s">
        <v>1606</v>
      </c>
      <c r="E625" t="s">
        <v>16</v>
      </c>
      <c r="F625">
        <v>1</v>
      </c>
      <c r="G625" t="s">
        <v>12</v>
      </c>
      <c r="H625" t="s">
        <v>1607</v>
      </c>
    </row>
    <row r="626" spans="1:8">
      <c r="A626">
        <v>861</v>
      </c>
      <c r="B626" t="s">
        <v>1608</v>
      </c>
      <c r="C626" t="s">
        <v>9</v>
      </c>
      <c r="D626" t="s">
        <v>1609</v>
      </c>
      <c r="E626" t="s">
        <v>53</v>
      </c>
      <c r="F626">
        <v>5</v>
      </c>
      <c r="G626" t="s">
        <v>12</v>
      </c>
      <c r="H626" t="s">
        <v>1610</v>
      </c>
    </row>
    <row r="627" spans="1:8">
      <c r="A627">
        <v>862</v>
      </c>
      <c r="B627" t="s">
        <v>1156</v>
      </c>
      <c r="C627" t="s">
        <v>9</v>
      </c>
      <c r="D627" t="s">
        <v>1611</v>
      </c>
      <c r="E627" t="s">
        <v>16</v>
      </c>
      <c r="F627">
        <v>1</v>
      </c>
      <c r="G627" t="s">
        <v>12</v>
      </c>
      <c r="H627" t="s">
        <v>1612</v>
      </c>
    </row>
    <row r="628" spans="1:8">
      <c r="A628">
        <v>863</v>
      </c>
      <c r="B628" t="s">
        <v>1359</v>
      </c>
      <c r="C628" t="s">
        <v>9</v>
      </c>
      <c r="D628" t="s">
        <v>1613</v>
      </c>
      <c r="E628" t="s">
        <v>33</v>
      </c>
      <c r="F628">
        <v>7</v>
      </c>
      <c r="G628" t="s">
        <v>12</v>
      </c>
      <c r="H628" t="s">
        <v>1614</v>
      </c>
    </row>
    <row r="629" spans="1:8">
      <c r="A629">
        <v>864</v>
      </c>
      <c r="B629" t="s">
        <v>1327</v>
      </c>
      <c r="C629" t="s">
        <v>20</v>
      </c>
      <c r="D629" t="s">
        <v>1446</v>
      </c>
      <c r="E629" t="s">
        <v>53</v>
      </c>
      <c r="F629">
        <v>5</v>
      </c>
      <c r="G629" t="s">
        <v>25</v>
      </c>
      <c r="H629" t="s">
        <v>1261</v>
      </c>
    </row>
    <row r="630" spans="1:8">
      <c r="A630">
        <v>865</v>
      </c>
      <c r="B630" t="s">
        <v>1615</v>
      </c>
      <c r="C630" t="s">
        <v>9</v>
      </c>
      <c r="D630" t="s">
        <v>1616</v>
      </c>
      <c r="E630" t="s">
        <v>16</v>
      </c>
      <c r="F630">
        <v>1</v>
      </c>
      <c r="G630" t="s">
        <v>25</v>
      </c>
      <c r="H630" t="s">
        <v>1617</v>
      </c>
    </row>
    <row r="631" spans="1:8">
      <c r="A631">
        <v>866</v>
      </c>
      <c r="B631" t="s">
        <v>1618</v>
      </c>
      <c r="C631" t="s">
        <v>9</v>
      </c>
      <c r="D631" t="s">
        <v>1619</v>
      </c>
      <c r="E631" t="s">
        <v>53</v>
      </c>
      <c r="F631">
        <v>5</v>
      </c>
      <c r="G631" t="s">
        <v>25</v>
      </c>
      <c r="H631" t="s">
        <v>1620</v>
      </c>
    </row>
    <row r="632" spans="1:8">
      <c r="A632">
        <v>867</v>
      </c>
      <c r="B632" t="s">
        <v>1414</v>
      </c>
      <c r="C632" t="s">
        <v>20</v>
      </c>
      <c r="D632" t="s">
        <v>1621</v>
      </c>
      <c r="E632" t="s">
        <v>11</v>
      </c>
      <c r="F632">
        <v>4</v>
      </c>
      <c r="G632" t="s">
        <v>12</v>
      </c>
      <c r="H632" t="s">
        <v>1622</v>
      </c>
    </row>
    <row r="633" spans="1:8">
      <c r="A633">
        <v>868</v>
      </c>
      <c r="B633" t="s">
        <v>1538</v>
      </c>
      <c r="C633" t="s">
        <v>9</v>
      </c>
      <c r="D633" t="s">
        <v>1623</v>
      </c>
      <c r="E633" t="s">
        <v>33</v>
      </c>
      <c r="F633">
        <v>7</v>
      </c>
      <c r="G633" t="s">
        <v>12</v>
      </c>
      <c r="H633" t="s">
        <v>1624</v>
      </c>
    </row>
    <row r="634" spans="1:8">
      <c r="A634">
        <v>869</v>
      </c>
      <c r="B634" t="s">
        <v>1374</v>
      </c>
      <c r="C634" t="s">
        <v>9</v>
      </c>
      <c r="D634" t="s">
        <v>1625</v>
      </c>
      <c r="E634" t="s">
        <v>16</v>
      </c>
      <c r="F634">
        <v>2</v>
      </c>
      <c r="G634" t="s">
        <v>12</v>
      </c>
      <c r="H634" t="s">
        <v>1626</v>
      </c>
    </row>
    <row r="635" spans="1:8">
      <c r="A635">
        <v>870</v>
      </c>
      <c r="B635" t="s">
        <v>287</v>
      </c>
      <c r="C635" t="s">
        <v>9</v>
      </c>
      <c r="D635" t="s">
        <v>1627</v>
      </c>
      <c r="E635" t="s">
        <v>29</v>
      </c>
      <c r="F635">
        <v>6</v>
      </c>
      <c r="G635" t="s">
        <v>12</v>
      </c>
      <c r="H635" t="s">
        <v>1283</v>
      </c>
    </row>
    <row r="636" spans="1:8">
      <c r="A636">
        <v>871</v>
      </c>
      <c r="B636" t="s">
        <v>1628</v>
      </c>
      <c r="C636" t="s">
        <v>9</v>
      </c>
      <c r="D636" t="s">
        <v>1629</v>
      </c>
      <c r="E636" t="s">
        <v>33</v>
      </c>
      <c r="F636">
        <v>7</v>
      </c>
      <c r="G636" t="s">
        <v>12</v>
      </c>
      <c r="H636" t="s">
        <v>1630</v>
      </c>
    </row>
    <row r="637" spans="1:8">
      <c r="A637">
        <v>872</v>
      </c>
      <c r="B637" t="s">
        <v>1631</v>
      </c>
      <c r="C637" t="s">
        <v>9</v>
      </c>
      <c r="D637" t="s">
        <v>1632</v>
      </c>
      <c r="E637" t="s">
        <v>16</v>
      </c>
      <c r="F637">
        <v>1</v>
      </c>
      <c r="G637" t="s">
        <v>12</v>
      </c>
      <c r="H637" t="s">
        <v>1028</v>
      </c>
    </row>
    <row r="638" spans="1:8">
      <c r="A638">
        <v>873</v>
      </c>
      <c r="B638" t="s">
        <v>1633</v>
      </c>
      <c r="C638" t="s">
        <v>20</v>
      </c>
      <c r="D638" t="s">
        <v>1634</v>
      </c>
      <c r="E638" t="s">
        <v>29</v>
      </c>
      <c r="F638">
        <v>6</v>
      </c>
      <c r="G638" t="s">
        <v>25</v>
      </c>
      <c r="H638" t="s">
        <v>1635</v>
      </c>
    </row>
    <row r="639" spans="1:8">
      <c r="A639">
        <v>874</v>
      </c>
      <c r="B639" t="s">
        <v>201</v>
      </c>
      <c r="C639" t="s">
        <v>9</v>
      </c>
      <c r="D639" t="s">
        <v>1636</v>
      </c>
      <c r="E639" t="s">
        <v>11</v>
      </c>
      <c r="F639">
        <v>4</v>
      </c>
      <c r="G639" t="s">
        <v>25</v>
      </c>
      <c r="H639" t="s">
        <v>1637</v>
      </c>
    </row>
    <row r="640" spans="1:8">
      <c r="A640">
        <v>875</v>
      </c>
      <c r="B640" t="s">
        <v>1546</v>
      </c>
      <c r="C640" t="s">
        <v>20</v>
      </c>
      <c r="D640" t="s">
        <v>1638</v>
      </c>
      <c r="E640" t="s">
        <v>11</v>
      </c>
      <c r="F640">
        <v>4</v>
      </c>
      <c r="G640" t="s">
        <v>12</v>
      </c>
      <c r="H640" t="s">
        <v>1639</v>
      </c>
    </row>
    <row r="641" spans="1:8">
      <c r="A641">
        <v>876</v>
      </c>
      <c r="B641" t="s">
        <v>1640</v>
      </c>
      <c r="C641" t="s">
        <v>9</v>
      </c>
      <c r="D641" t="s">
        <v>1641</v>
      </c>
      <c r="E641" t="s">
        <v>16</v>
      </c>
      <c r="F641">
        <v>1</v>
      </c>
      <c r="G641" t="s">
        <v>12</v>
      </c>
      <c r="H641" t="s">
        <v>1642</v>
      </c>
    </row>
    <row r="642" spans="1:8">
      <c r="A642">
        <v>877</v>
      </c>
      <c r="B642" t="s">
        <v>1643</v>
      </c>
      <c r="C642" t="s">
        <v>20</v>
      </c>
      <c r="D642" t="s">
        <v>1644</v>
      </c>
      <c r="E642" t="s">
        <v>16</v>
      </c>
      <c r="F642">
        <v>1</v>
      </c>
      <c r="G642" t="s">
        <v>12</v>
      </c>
      <c r="H642" t="s">
        <v>1645</v>
      </c>
    </row>
    <row r="643" spans="1:8">
      <c r="A643">
        <v>878</v>
      </c>
      <c r="B643" t="s">
        <v>382</v>
      </c>
      <c r="C643" t="s">
        <v>9</v>
      </c>
      <c r="D643" t="s">
        <v>1646</v>
      </c>
      <c r="E643" t="s">
        <v>33</v>
      </c>
      <c r="F643">
        <v>7</v>
      </c>
      <c r="G643" t="s">
        <v>12</v>
      </c>
      <c r="H643" t="s">
        <v>1647</v>
      </c>
    </row>
    <row r="644" spans="1:8">
      <c r="A644">
        <v>879</v>
      </c>
      <c r="B644" t="s">
        <v>467</v>
      </c>
      <c r="C644" t="s">
        <v>20</v>
      </c>
      <c r="D644" t="s">
        <v>1648</v>
      </c>
      <c r="E644" t="s">
        <v>43</v>
      </c>
      <c r="F644">
        <v>3</v>
      </c>
      <c r="G644" t="s">
        <v>25</v>
      </c>
      <c r="H644" t="s">
        <v>1649</v>
      </c>
    </row>
    <row r="645" spans="1:8">
      <c r="A645">
        <v>880</v>
      </c>
      <c r="B645" t="s">
        <v>915</v>
      </c>
      <c r="C645" t="s">
        <v>20</v>
      </c>
      <c r="D645" t="s">
        <v>1650</v>
      </c>
      <c r="E645" t="s">
        <v>43</v>
      </c>
      <c r="F645">
        <v>3</v>
      </c>
      <c r="G645" t="s">
        <v>12</v>
      </c>
      <c r="H645" t="s">
        <v>1651</v>
      </c>
    </row>
    <row r="646" spans="1:8">
      <c r="A646">
        <v>881</v>
      </c>
      <c r="B646" t="s">
        <v>1122</v>
      </c>
      <c r="C646" t="s">
        <v>20</v>
      </c>
      <c r="D646" t="s">
        <v>1652</v>
      </c>
      <c r="E646" t="s">
        <v>16</v>
      </c>
      <c r="F646">
        <v>2</v>
      </c>
      <c r="G646" t="s">
        <v>17</v>
      </c>
      <c r="H646" t="s">
        <v>1653</v>
      </c>
    </row>
    <row r="647" spans="1:8">
      <c r="A647">
        <v>882</v>
      </c>
      <c r="B647" t="s">
        <v>1499</v>
      </c>
      <c r="C647" t="s">
        <v>9</v>
      </c>
      <c r="D647" t="s">
        <v>1654</v>
      </c>
      <c r="E647" t="s">
        <v>29</v>
      </c>
      <c r="F647">
        <v>6</v>
      </c>
      <c r="G647" t="s">
        <v>12</v>
      </c>
      <c r="H647" t="s">
        <v>1655</v>
      </c>
    </row>
    <row r="648" spans="1:8">
      <c r="A648">
        <v>883</v>
      </c>
      <c r="B648" t="s">
        <v>144</v>
      </c>
      <c r="C648" t="s">
        <v>9</v>
      </c>
      <c r="D648" t="s">
        <v>1656</v>
      </c>
      <c r="E648" t="s">
        <v>16</v>
      </c>
      <c r="F648">
        <v>2</v>
      </c>
      <c r="G648" t="s">
        <v>12</v>
      </c>
      <c r="H648" t="s">
        <v>1376</v>
      </c>
    </row>
    <row r="649" spans="1:8">
      <c r="A649">
        <v>884</v>
      </c>
      <c r="B649" t="s">
        <v>1657</v>
      </c>
      <c r="C649" t="s">
        <v>9</v>
      </c>
      <c r="D649" t="s">
        <v>1658</v>
      </c>
      <c r="E649" t="s">
        <v>33</v>
      </c>
      <c r="F649">
        <v>7</v>
      </c>
      <c r="G649" t="s">
        <v>12</v>
      </c>
      <c r="H649" t="s">
        <v>1467</v>
      </c>
    </row>
    <row r="650" spans="1:8">
      <c r="A650">
        <v>885</v>
      </c>
      <c r="B650" t="s">
        <v>99</v>
      </c>
      <c r="C650" t="s">
        <v>9</v>
      </c>
      <c r="D650" t="s">
        <v>1659</v>
      </c>
      <c r="E650" t="s">
        <v>43</v>
      </c>
      <c r="F650">
        <v>3</v>
      </c>
      <c r="G650" t="s">
        <v>25</v>
      </c>
      <c r="H650" t="s">
        <v>604</v>
      </c>
    </row>
    <row r="651" spans="1:8">
      <c r="A651">
        <v>886</v>
      </c>
      <c r="B651" t="s">
        <v>504</v>
      </c>
      <c r="C651" t="s">
        <v>9</v>
      </c>
      <c r="D651" t="s">
        <v>1660</v>
      </c>
      <c r="E651" t="s">
        <v>16</v>
      </c>
      <c r="F651">
        <v>2</v>
      </c>
      <c r="G651" t="s">
        <v>12</v>
      </c>
      <c r="H651" t="s">
        <v>1661</v>
      </c>
    </row>
    <row r="652" spans="1:8">
      <c r="A652">
        <v>887</v>
      </c>
      <c r="B652" t="s">
        <v>141</v>
      </c>
      <c r="C652" t="s">
        <v>20</v>
      </c>
      <c r="D652" t="s">
        <v>1662</v>
      </c>
      <c r="E652" t="s">
        <v>33</v>
      </c>
      <c r="F652">
        <v>7</v>
      </c>
      <c r="G652" t="s">
        <v>25</v>
      </c>
      <c r="H652" t="s">
        <v>1663</v>
      </c>
    </row>
    <row r="653" spans="1:8">
      <c r="A653">
        <v>888</v>
      </c>
      <c r="B653" t="s">
        <v>177</v>
      </c>
      <c r="C653" t="s">
        <v>9</v>
      </c>
      <c r="D653" t="s">
        <v>1664</v>
      </c>
      <c r="E653" t="s">
        <v>33</v>
      </c>
      <c r="F653">
        <v>7</v>
      </c>
      <c r="G653" t="s">
        <v>12</v>
      </c>
      <c r="H653" t="s">
        <v>1665</v>
      </c>
    </row>
    <row r="654" spans="1:8">
      <c r="A654">
        <v>889</v>
      </c>
      <c r="B654" t="s">
        <v>1666</v>
      </c>
      <c r="C654" t="s">
        <v>9</v>
      </c>
      <c r="D654" t="s">
        <v>1667</v>
      </c>
      <c r="E654" t="s">
        <v>43</v>
      </c>
      <c r="F654">
        <v>3</v>
      </c>
      <c r="G654" t="s">
        <v>12</v>
      </c>
      <c r="H654" t="s">
        <v>1668</v>
      </c>
    </row>
    <row r="655" spans="1:8">
      <c r="A655">
        <v>890</v>
      </c>
      <c r="B655" t="s">
        <v>1669</v>
      </c>
      <c r="C655" t="s">
        <v>9</v>
      </c>
      <c r="D655" t="s">
        <v>1670</v>
      </c>
      <c r="E655" t="s">
        <v>33</v>
      </c>
      <c r="F655">
        <v>7</v>
      </c>
      <c r="G655" t="s">
        <v>17</v>
      </c>
      <c r="H655" t="s">
        <v>1671</v>
      </c>
    </row>
    <row r="656" spans="1:8">
      <c r="A656">
        <v>891</v>
      </c>
      <c r="B656" t="s">
        <v>61</v>
      </c>
      <c r="C656" t="s">
        <v>20</v>
      </c>
      <c r="D656" t="s">
        <v>250</v>
      </c>
      <c r="E656" t="s">
        <v>53</v>
      </c>
      <c r="F656">
        <v>5</v>
      </c>
      <c r="G656" t="s">
        <v>12</v>
      </c>
      <c r="H656" t="s">
        <v>1672</v>
      </c>
    </row>
    <row r="657" spans="1:8">
      <c r="A657">
        <v>892</v>
      </c>
      <c r="B657" t="s">
        <v>1080</v>
      </c>
      <c r="C657" t="s">
        <v>9</v>
      </c>
      <c r="D657" t="s">
        <v>1673</v>
      </c>
      <c r="E657" t="s">
        <v>16</v>
      </c>
      <c r="F657">
        <v>2</v>
      </c>
      <c r="G657" t="s">
        <v>12</v>
      </c>
      <c r="H657" t="s">
        <v>740</v>
      </c>
    </row>
    <row r="658" spans="1:8">
      <c r="A658">
        <v>893</v>
      </c>
      <c r="B658" t="s">
        <v>1674</v>
      </c>
      <c r="C658" t="s">
        <v>9</v>
      </c>
      <c r="D658" t="s">
        <v>1675</v>
      </c>
      <c r="E658" t="s">
        <v>11</v>
      </c>
      <c r="F658">
        <v>4</v>
      </c>
      <c r="G658" t="s">
        <v>25</v>
      </c>
      <c r="H658" t="s">
        <v>875</v>
      </c>
    </row>
    <row r="659" spans="1:8">
      <c r="A659">
        <v>894</v>
      </c>
      <c r="B659" t="s">
        <v>1171</v>
      </c>
      <c r="C659" t="s">
        <v>20</v>
      </c>
      <c r="D659" t="s">
        <v>1676</v>
      </c>
      <c r="E659" t="s">
        <v>53</v>
      </c>
      <c r="F659">
        <v>5</v>
      </c>
      <c r="G659" t="s">
        <v>17</v>
      </c>
      <c r="H659" t="s">
        <v>1677</v>
      </c>
    </row>
    <row r="660" spans="1:8">
      <c r="A660">
        <v>895</v>
      </c>
      <c r="B660" t="s">
        <v>876</v>
      </c>
      <c r="C660" t="s">
        <v>20</v>
      </c>
      <c r="D660" t="s">
        <v>1678</v>
      </c>
      <c r="E660" t="s">
        <v>11</v>
      </c>
      <c r="F660">
        <v>4</v>
      </c>
      <c r="G660" t="s">
        <v>12</v>
      </c>
      <c r="H660" t="s">
        <v>1653</v>
      </c>
    </row>
    <row r="661" spans="1:8">
      <c r="A661">
        <v>896</v>
      </c>
      <c r="B661" t="s">
        <v>215</v>
      </c>
      <c r="C661" t="s">
        <v>9</v>
      </c>
      <c r="D661" t="s">
        <v>1679</v>
      </c>
      <c r="E661" t="s">
        <v>16</v>
      </c>
      <c r="F661">
        <v>1</v>
      </c>
      <c r="G661" t="s">
        <v>12</v>
      </c>
      <c r="H661" t="s">
        <v>889</v>
      </c>
    </row>
    <row r="662" spans="1:8">
      <c r="A662">
        <v>897</v>
      </c>
      <c r="B662" t="s">
        <v>922</v>
      </c>
      <c r="C662" t="s">
        <v>9</v>
      </c>
      <c r="D662" t="s">
        <v>1680</v>
      </c>
      <c r="E662" t="s">
        <v>29</v>
      </c>
      <c r="F662">
        <v>6</v>
      </c>
      <c r="G662" t="s">
        <v>25</v>
      </c>
      <c r="H662" t="s">
        <v>1681</v>
      </c>
    </row>
    <row r="663" spans="1:8">
      <c r="A663">
        <v>898</v>
      </c>
      <c r="B663" t="s">
        <v>1190</v>
      </c>
      <c r="C663" t="s">
        <v>9</v>
      </c>
      <c r="D663" t="s">
        <v>1682</v>
      </c>
      <c r="E663" t="s">
        <v>16</v>
      </c>
      <c r="F663">
        <v>1</v>
      </c>
      <c r="G663" t="s">
        <v>25</v>
      </c>
      <c r="H663" t="s">
        <v>1683</v>
      </c>
    </row>
    <row r="664" spans="1:8">
      <c r="A664">
        <v>899</v>
      </c>
      <c r="B664" t="s">
        <v>344</v>
      </c>
      <c r="C664" t="s">
        <v>20</v>
      </c>
      <c r="D664" t="s">
        <v>1684</v>
      </c>
      <c r="E664" t="s">
        <v>11</v>
      </c>
      <c r="F664">
        <v>4</v>
      </c>
      <c r="G664" t="s">
        <v>12</v>
      </c>
      <c r="H664" t="s">
        <v>1685</v>
      </c>
    </row>
    <row r="665" spans="1:8">
      <c r="A665">
        <v>900</v>
      </c>
      <c r="B665" t="s">
        <v>1686</v>
      </c>
      <c r="C665" t="s">
        <v>20</v>
      </c>
      <c r="D665" t="s">
        <v>1687</v>
      </c>
      <c r="E665" t="s">
        <v>33</v>
      </c>
      <c r="F665">
        <v>7</v>
      </c>
      <c r="G665" t="s">
        <v>17</v>
      </c>
      <c r="H665" t="s">
        <v>1688</v>
      </c>
    </row>
    <row r="666" spans="1:8">
      <c r="A666">
        <v>901</v>
      </c>
      <c r="B666" t="s">
        <v>1689</v>
      </c>
      <c r="C666" t="s">
        <v>9</v>
      </c>
      <c r="D666" t="s">
        <v>1690</v>
      </c>
      <c r="E666" t="s">
        <v>53</v>
      </c>
      <c r="F666">
        <v>5</v>
      </c>
      <c r="G666" t="s">
        <v>12</v>
      </c>
      <c r="H666" t="s">
        <v>515</v>
      </c>
    </row>
    <row r="667" spans="1:8">
      <c r="A667">
        <v>902</v>
      </c>
      <c r="B667" t="s">
        <v>416</v>
      </c>
      <c r="C667" t="s">
        <v>20</v>
      </c>
      <c r="D667" t="s">
        <v>1691</v>
      </c>
      <c r="E667" t="s">
        <v>16</v>
      </c>
      <c r="F667">
        <v>1</v>
      </c>
      <c r="G667" t="s">
        <v>12</v>
      </c>
      <c r="H667" t="s">
        <v>18</v>
      </c>
    </row>
    <row r="668" spans="1:8">
      <c r="A668">
        <v>903</v>
      </c>
      <c r="B668" t="s">
        <v>947</v>
      </c>
      <c r="C668" t="s">
        <v>20</v>
      </c>
      <c r="D668" t="s">
        <v>1692</v>
      </c>
      <c r="E668" t="s">
        <v>11</v>
      </c>
      <c r="F668">
        <v>4</v>
      </c>
      <c r="G668" t="s">
        <v>17</v>
      </c>
      <c r="H668" t="s">
        <v>1693</v>
      </c>
    </row>
    <row r="669" spans="1:8">
      <c r="A669">
        <v>904</v>
      </c>
      <c r="B669" t="s">
        <v>1694</v>
      </c>
      <c r="C669" t="s">
        <v>20</v>
      </c>
      <c r="D669" t="s">
        <v>1695</v>
      </c>
      <c r="E669" t="s">
        <v>29</v>
      </c>
      <c r="F669">
        <v>6</v>
      </c>
      <c r="G669" t="s">
        <v>17</v>
      </c>
      <c r="H669" t="s">
        <v>1180</v>
      </c>
    </row>
    <row r="670" spans="1:8">
      <c r="A670">
        <v>905</v>
      </c>
      <c r="B670" t="s">
        <v>881</v>
      </c>
      <c r="C670" t="s">
        <v>20</v>
      </c>
      <c r="D670" t="s">
        <v>1696</v>
      </c>
      <c r="E670" t="s">
        <v>33</v>
      </c>
      <c r="F670">
        <v>7</v>
      </c>
      <c r="G670" t="s">
        <v>12</v>
      </c>
      <c r="H670" t="s">
        <v>1697</v>
      </c>
    </row>
    <row r="671" spans="1:8">
      <c r="A671">
        <v>906</v>
      </c>
      <c r="B671" t="s">
        <v>1698</v>
      </c>
      <c r="C671" t="s">
        <v>20</v>
      </c>
      <c r="D671" t="s">
        <v>1699</v>
      </c>
      <c r="E671" t="s">
        <v>53</v>
      </c>
      <c r="F671">
        <v>5</v>
      </c>
      <c r="G671" t="s">
        <v>17</v>
      </c>
      <c r="H671" t="s">
        <v>1700</v>
      </c>
    </row>
    <row r="672" spans="1:8">
      <c r="A672">
        <v>907</v>
      </c>
      <c r="B672" t="s">
        <v>1701</v>
      </c>
      <c r="C672" t="s">
        <v>9</v>
      </c>
      <c r="D672" t="s">
        <v>1702</v>
      </c>
      <c r="E672" t="s">
        <v>33</v>
      </c>
      <c r="F672">
        <v>7</v>
      </c>
      <c r="G672" t="s">
        <v>12</v>
      </c>
      <c r="H672" t="s">
        <v>257</v>
      </c>
    </row>
    <row r="673" spans="1:8">
      <c r="A673">
        <v>908</v>
      </c>
      <c r="B673" t="s">
        <v>1703</v>
      </c>
      <c r="C673" t="s">
        <v>9</v>
      </c>
      <c r="D673" t="s">
        <v>1704</v>
      </c>
      <c r="E673" t="s">
        <v>43</v>
      </c>
      <c r="F673">
        <v>3</v>
      </c>
      <c r="G673" t="s">
        <v>12</v>
      </c>
      <c r="H673" t="s">
        <v>1705</v>
      </c>
    </row>
    <row r="674" spans="1:8">
      <c r="A674">
        <v>909</v>
      </c>
      <c r="B674" t="s">
        <v>212</v>
      </c>
      <c r="C674" t="s">
        <v>9</v>
      </c>
      <c r="D674" t="s">
        <v>1706</v>
      </c>
      <c r="E674" t="s">
        <v>53</v>
      </c>
      <c r="F674">
        <v>5</v>
      </c>
      <c r="G674" t="s">
        <v>12</v>
      </c>
      <c r="H674" t="s">
        <v>1707</v>
      </c>
    </row>
    <row r="675" spans="1:8">
      <c r="A675">
        <v>910</v>
      </c>
      <c r="B675" t="s">
        <v>1708</v>
      </c>
      <c r="C675" t="s">
        <v>9</v>
      </c>
      <c r="D675" t="s">
        <v>1709</v>
      </c>
      <c r="E675" t="s">
        <v>29</v>
      </c>
      <c r="F675">
        <v>6</v>
      </c>
      <c r="G675" t="s">
        <v>12</v>
      </c>
      <c r="H675" t="s">
        <v>1710</v>
      </c>
    </row>
    <row r="676" spans="1:8">
      <c r="A676">
        <v>911</v>
      </c>
      <c r="B676" t="s">
        <v>61</v>
      </c>
      <c r="C676" t="s">
        <v>20</v>
      </c>
      <c r="D676" t="s">
        <v>1711</v>
      </c>
      <c r="E676" t="s">
        <v>43</v>
      </c>
      <c r="F676">
        <v>3</v>
      </c>
      <c r="G676" t="s">
        <v>12</v>
      </c>
      <c r="H676" t="s">
        <v>1712</v>
      </c>
    </row>
    <row r="677" spans="1:8">
      <c r="A677">
        <v>912</v>
      </c>
      <c r="B677" t="s">
        <v>1713</v>
      </c>
      <c r="C677" t="s">
        <v>9</v>
      </c>
      <c r="D677" t="s">
        <v>1714</v>
      </c>
      <c r="E677" t="s">
        <v>53</v>
      </c>
      <c r="F677">
        <v>5</v>
      </c>
      <c r="G677" t="s">
        <v>12</v>
      </c>
      <c r="H677" t="s">
        <v>426</v>
      </c>
    </row>
    <row r="678" spans="1:8">
      <c r="A678">
        <v>913</v>
      </c>
      <c r="B678" t="s">
        <v>1715</v>
      </c>
      <c r="C678" t="s">
        <v>9</v>
      </c>
      <c r="D678" t="s">
        <v>1716</v>
      </c>
      <c r="E678" t="s">
        <v>11</v>
      </c>
      <c r="F678">
        <v>4</v>
      </c>
      <c r="G678" t="s">
        <v>12</v>
      </c>
      <c r="H678" t="s">
        <v>1717</v>
      </c>
    </row>
    <row r="679" spans="1:8">
      <c r="A679">
        <v>914</v>
      </c>
      <c r="B679" t="s">
        <v>1718</v>
      </c>
      <c r="C679" t="s">
        <v>20</v>
      </c>
      <c r="D679" t="s">
        <v>1719</v>
      </c>
      <c r="E679" t="s">
        <v>29</v>
      </c>
      <c r="F679">
        <v>6</v>
      </c>
      <c r="G679" t="s">
        <v>17</v>
      </c>
      <c r="H679" t="s">
        <v>1720</v>
      </c>
    </row>
    <row r="680" spans="1:8">
      <c r="A680">
        <v>915</v>
      </c>
      <c r="B680" t="s">
        <v>27</v>
      </c>
      <c r="C680" t="s">
        <v>20</v>
      </c>
      <c r="D680" t="s">
        <v>1721</v>
      </c>
      <c r="E680" t="s">
        <v>43</v>
      </c>
      <c r="F680">
        <v>3</v>
      </c>
      <c r="G680" t="s">
        <v>17</v>
      </c>
      <c r="H680" t="s">
        <v>661</v>
      </c>
    </row>
    <row r="681" spans="1:8">
      <c r="A681">
        <v>916</v>
      </c>
      <c r="B681" t="s">
        <v>1077</v>
      </c>
      <c r="C681" t="s">
        <v>9</v>
      </c>
      <c r="D681" t="s">
        <v>1722</v>
      </c>
      <c r="E681" t="s">
        <v>29</v>
      </c>
      <c r="F681">
        <v>6</v>
      </c>
      <c r="G681" t="s">
        <v>17</v>
      </c>
      <c r="H681" t="s">
        <v>1723</v>
      </c>
    </row>
    <row r="682" spans="1:8">
      <c r="A682">
        <v>917</v>
      </c>
      <c r="B682" t="s">
        <v>23</v>
      </c>
      <c r="C682" t="s">
        <v>9</v>
      </c>
      <c r="D682" t="s">
        <v>1724</v>
      </c>
      <c r="E682" t="s">
        <v>11</v>
      </c>
      <c r="F682">
        <v>4</v>
      </c>
      <c r="G682" t="s">
        <v>12</v>
      </c>
      <c r="H682" t="s">
        <v>1725</v>
      </c>
    </row>
    <row r="683" spans="1:8">
      <c r="A683">
        <v>918</v>
      </c>
      <c r="B683" t="s">
        <v>293</v>
      </c>
      <c r="C683" t="s">
        <v>9</v>
      </c>
      <c r="D683" t="s">
        <v>1726</v>
      </c>
      <c r="E683" t="s">
        <v>33</v>
      </c>
      <c r="F683">
        <v>7</v>
      </c>
      <c r="G683" t="s">
        <v>12</v>
      </c>
      <c r="H683" t="s">
        <v>909</v>
      </c>
    </row>
    <row r="684" spans="1:8">
      <c r="A684">
        <v>919</v>
      </c>
      <c r="B684" t="s">
        <v>1727</v>
      </c>
      <c r="C684" t="s">
        <v>9</v>
      </c>
      <c r="D684" t="s">
        <v>1728</v>
      </c>
      <c r="E684" t="s">
        <v>16</v>
      </c>
      <c r="F684">
        <v>1</v>
      </c>
      <c r="G684" t="s">
        <v>12</v>
      </c>
      <c r="H684" t="s">
        <v>944</v>
      </c>
    </row>
    <row r="685" spans="1:8">
      <c r="A685">
        <v>920</v>
      </c>
      <c r="B685" t="s">
        <v>1729</v>
      </c>
      <c r="C685" t="s">
        <v>9</v>
      </c>
      <c r="D685" t="s">
        <v>1730</v>
      </c>
      <c r="E685" t="s">
        <v>16</v>
      </c>
      <c r="F685">
        <v>1</v>
      </c>
      <c r="G685" t="s">
        <v>12</v>
      </c>
      <c r="H685" t="s">
        <v>1731</v>
      </c>
    </row>
    <row r="686" spans="1:8">
      <c r="A686">
        <v>921</v>
      </c>
      <c r="B686" t="s">
        <v>1382</v>
      </c>
      <c r="C686" t="s">
        <v>9</v>
      </c>
      <c r="D686" t="s">
        <v>1732</v>
      </c>
      <c r="E686" t="s">
        <v>43</v>
      </c>
      <c r="F686">
        <v>3</v>
      </c>
      <c r="G686" t="s">
        <v>12</v>
      </c>
      <c r="H686" t="s">
        <v>1733</v>
      </c>
    </row>
    <row r="687" spans="1:8">
      <c r="A687">
        <v>922</v>
      </c>
      <c r="B687" t="s">
        <v>8</v>
      </c>
      <c r="C687" t="s">
        <v>9</v>
      </c>
      <c r="D687" t="s">
        <v>1734</v>
      </c>
      <c r="E687" t="s">
        <v>11</v>
      </c>
      <c r="F687">
        <v>4</v>
      </c>
      <c r="G687" t="s">
        <v>17</v>
      </c>
      <c r="H687" t="s">
        <v>1735</v>
      </c>
    </row>
    <row r="688" spans="1:8">
      <c r="A688">
        <v>923</v>
      </c>
      <c r="B688" t="s">
        <v>1736</v>
      </c>
      <c r="C688" t="s">
        <v>20</v>
      </c>
      <c r="D688" t="s">
        <v>52</v>
      </c>
      <c r="E688" t="s">
        <v>16</v>
      </c>
      <c r="F688">
        <v>1</v>
      </c>
      <c r="G688" t="s">
        <v>12</v>
      </c>
      <c r="H688" t="s">
        <v>1737</v>
      </c>
    </row>
    <row r="689" spans="1:8">
      <c r="A689">
        <v>924</v>
      </c>
      <c r="B689" t="s">
        <v>1738</v>
      </c>
      <c r="C689" t="s">
        <v>9</v>
      </c>
      <c r="D689" t="s">
        <v>1739</v>
      </c>
      <c r="E689" t="s">
        <v>53</v>
      </c>
      <c r="F689">
        <v>5</v>
      </c>
      <c r="G689" t="s">
        <v>25</v>
      </c>
      <c r="H689" t="s">
        <v>898</v>
      </c>
    </row>
    <row r="690" spans="1:8">
      <c r="A690">
        <v>925</v>
      </c>
      <c r="B690" t="s">
        <v>1226</v>
      </c>
      <c r="C690" t="s">
        <v>9</v>
      </c>
      <c r="D690" t="s">
        <v>1740</v>
      </c>
      <c r="E690" t="s">
        <v>16</v>
      </c>
      <c r="F690">
        <v>2</v>
      </c>
      <c r="G690" t="s">
        <v>12</v>
      </c>
      <c r="H690" t="s">
        <v>533</v>
      </c>
    </row>
    <row r="691" spans="1:8">
      <c r="A691">
        <v>926</v>
      </c>
      <c r="B691" t="s">
        <v>90</v>
      </c>
      <c r="C691" t="s">
        <v>20</v>
      </c>
      <c r="D691" t="s">
        <v>1741</v>
      </c>
      <c r="E691" t="s">
        <v>16</v>
      </c>
      <c r="F691">
        <v>1</v>
      </c>
      <c r="G691" t="s">
        <v>12</v>
      </c>
      <c r="H691" t="s">
        <v>1477</v>
      </c>
    </row>
    <row r="692" spans="1:8">
      <c r="A692">
        <v>927</v>
      </c>
      <c r="B692" t="s">
        <v>1742</v>
      </c>
      <c r="C692" t="s">
        <v>9</v>
      </c>
      <c r="D692" t="s">
        <v>1743</v>
      </c>
      <c r="E692" t="s">
        <v>29</v>
      </c>
      <c r="F692">
        <v>6</v>
      </c>
      <c r="G692" t="s">
        <v>12</v>
      </c>
      <c r="H692" t="s">
        <v>1744</v>
      </c>
    </row>
    <row r="693" spans="1:8">
      <c r="A693">
        <v>928</v>
      </c>
      <c r="B693" t="s">
        <v>787</v>
      </c>
      <c r="C693" t="s">
        <v>20</v>
      </c>
      <c r="D693" t="s">
        <v>1745</v>
      </c>
      <c r="E693" t="s">
        <v>43</v>
      </c>
      <c r="F693">
        <v>3</v>
      </c>
      <c r="G693" t="s">
        <v>25</v>
      </c>
      <c r="H693" t="s">
        <v>1746</v>
      </c>
    </row>
    <row r="694" spans="1:8">
      <c r="A694">
        <v>929</v>
      </c>
      <c r="B694" t="s">
        <v>1747</v>
      </c>
      <c r="C694" t="s">
        <v>20</v>
      </c>
      <c r="D694" t="s">
        <v>1748</v>
      </c>
      <c r="E694" t="s">
        <v>33</v>
      </c>
      <c r="F694">
        <v>7</v>
      </c>
      <c r="G694" t="s">
        <v>12</v>
      </c>
      <c r="H694" t="s">
        <v>1749</v>
      </c>
    </row>
    <row r="695" spans="1:8">
      <c r="A695">
        <v>930</v>
      </c>
      <c r="B695" t="s">
        <v>504</v>
      </c>
      <c r="C695" t="s">
        <v>9</v>
      </c>
      <c r="D695" t="s">
        <v>1750</v>
      </c>
      <c r="E695" t="s">
        <v>16</v>
      </c>
      <c r="F695">
        <v>1</v>
      </c>
      <c r="G695" t="s">
        <v>25</v>
      </c>
      <c r="H695" t="s">
        <v>1751</v>
      </c>
    </row>
    <row r="696" spans="1:8">
      <c r="A696">
        <v>931</v>
      </c>
      <c r="B696" t="s">
        <v>8</v>
      </c>
      <c r="C696" t="s">
        <v>9</v>
      </c>
      <c r="D696" t="s">
        <v>1752</v>
      </c>
      <c r="E696" t="s">
        <v>16</v>
      </c>
      <c r="F696">
        <v>1</v>
      </c>
      <c r="G696" t="s">
        <v>12</v>
      </c>
      <c r="H696" t="s">
        <v>1753</v>
      </c>
    </row>
    <row r="697" spans="1:8">
      <c r="A697">
        <v>932</v>
      </c>
      <c r="B697" t="s">
        <v>994</v>
      </c>
      <c r="C697" t="s">
        <v>9</v>
      </c>
      <c r="D697" t="s">
        <v>1754</v>
      </c>
      <c r="E697" t="s">
        <v>53</v>
      </c>
      <c r="F697">
        <v>5</v>
      </c>
      <c r="G697" t="s">
        <v>12</v>
      </c>
      <c r="H697" t="s">
        <v>1755</v>
      </c>
    </row>
    <row r="698" spans="1:8">
      <c r="A698">
        <v>933</v>
      </c>
      <c r="B698" t="s">
        <v>1756</v>
      </c>
      <c r="C698" t="s">
        <v>20</v>
      </c>
      <c r="D698" t="s">
        <v>1757</v>
      </c>
      <c r="E698" t="s">
        <v>29</v>
      </c>
      <c r="F698">
        <v>6</v>
      </c>
      <c r="G698" t="s">
        <v>12</v>
      </c>
      <c r="H698" t="s">
        <v>1758</v>
      </c>
    </row>
    <row r="699" spans="1:8">
      <c r="A699">
        <v>934</v>
      </c>
      <c r="B699" t="s">
        <v>1759</v>
      </c>
      <c r="C699" t="s">
        <v>20</v>
      </c>
      <c r="D699" t="s">
        <v>1760</v>
      </c>
      <c r="E699" t="s">
        <v>16</v>
      </c>
      <c r="F699">
        <v>2</v>
      </c>
      <c r="G699" t="s">
        <v>12</v>
      </c>
      <c r="H699" t="s">
        <v>1761</v>
      </c>
    </row>
    <row r="700" spans="1:8">
      <c r="A700">
        <v>935</v>
      </c>
      <c r="B700" t="s">
        <v>1618</v>
      </c>
      <c r="C700" t="s">
        <v>9</v>
      </c>
      <c r="D700" t="s">
        <v>1762</v>
      </c>
      <c r="E700" t="s">
        <v>16</v>
      </c>
      <c r="F700">
        <v>1</v>
      </c>
      <c r="G700" t="s">
        <v>25</v>
      </c>
      <c r="H700" t="s">
        <v>1763</v>
      </c>
    </row>
    <row r="701" spans="1:8">
      <c r="A701">
        <v>936</v>
      </c>
      <c r="B701" t="s">
        <v>1764</v>
      </c>
      <c r="C701" t="s">
        <v>20</v>
      </c>
      <c r="D701" t="s">
        <v>1765</v>
      </c>
      <c r="E701" t="s">
        <v>11</v>
      </c>
      <c r="F701">
        <v>4</v>
      </c>
      <c r="G701" t="s">
        <v>12</v>
      </c>
      <c r="H701" t="s">
        <v>1766</v>
      </c>
    </row>
    <row r="702" spans="1:8">
      <c r="A702">
        <v>937</v>
      </c>
      <c r="B702" t="s">
        <v>1756</v>
      </c>
      <c r="C702" t="s">
        <v>20</v>
      </c>
      <c r="D702" t="s">
        <v>1767</v>
      </c>
      <c r="E702" t="s">
        <v>29</v>
      </c>
      <c r="F702">
        <v>6</v>
      </c>
      <c r="G702" t="s">
        <v>12</v>
      </c>
      <c r="H702" t="s">
        <v>1768</v>
      </c>
    </row>
    <row r="703" spans="1:8">
      <c r="A703">
        <v>938</v>
      </c>
      <c r="B703" t="s">
        <v>1769</v>
      </c>
      <c r="C703" t="s">
        <v>9</v>
      </c>
      <c r="D703" t="s">
        <v>1770</v>
      </c>
      <c r="E703" t="s">
        <v>33</v>
      </c>
      <c r="F703">
        <v>7</v>
      </c>
      <c r="G703" t="s">
        <v>12</v>
      </c>
      <c r="H703" t="s">
        <v>1771</v>
      </c>
    </row>
    <row r="704" spans="1:8">
      <c r="A704">
        <v>939</v>
      </c>
      <c r="B704" t="s">
        <v>1772</v>
      </c>
      <c r="C704" t="s">
        <v>20</v>
      </c>
      <c r="D704" t="s">
        <v>1773</v>
      </c>
      <c r="E704" t="s">
        <v>16</v>
      </c>
      <c r="F704">
        <v>1</v>
      </c>
      <c r="G704" t="s">
        <v>12</v>
      </c>
      <c r="H704" t="s">
        <v>1774</v>
      </c>
    </row>
    <row r="705" spans="1:8">
      <c r="A705">
        <v>940</v>
      </c>
      <c r="B705" t="s">
        <v>1775</v>
      </c>
      <c r="C705" t="s">
        <v>9</v>
      </c>
      <c r="D705" t="s">
        <v>1776</v>
      </c>
      <c r="E705" t="s">
        <v>43</v>
      </c>
      <c r="F705">
        <v>3</v>
      </c>
      <c r="G705" t="s">
        <v>25</v>
      </c>
      <c r="H705" t="s">
        <v>1777</v>
      </c>
    </row>
    <row r="706" spans="1:8">
      <c r="A706">
        <v>941</v>
      </c>
      <c r="B706" t="s">
        <v>966</v>
      </c>
      <c r="C706" t="s">
        <v>9</v>
      </c>
      <c r="D706" t="s">
        <v>1778</v>
      </c>
      <c r="E706" t="s">
        <v>33</v>
      </c>
      <c r="F706">
        <v>7</v>
      </c>
      <c r="G706" t="s">
        <v>12</v>
      </c>
      <c r="H706" t="s">
        <v>1779</v>
      </c>
    </row>
    <row r="707" spans="1:8">
      <c r="A707">
        <v>942</v>
      </c>
      <c r="B707" t="s">
        <v>126</v>
      </c>
      <c r="C707" t="s">
        <v>20</v>
      </c>
      <c r="D707" t="s">
        <v>1780</v>
      </c>
      <c r="E707" t="s">
        <v>16</v>
      </c>
      <c r="F707">
        <v>2</v>
      </c>
      <c r="G707" t="s">
        <v>25</v>
      </c>
      <c r="H707" t="s">
        <v>495</v>
      </c>
    </row>
    <row r="708" spans="1:8">
      <c r="A708">
        <v>943</v>
      </c>
      <c r="B708" t="s">
        <v>1781</v>
      </c>
      <c r="C708" t="s">
        <v>9</v>
      </c>
      <c r="D708" t="s">
        <v>1782</v>
      </c>
      <c r="E708" t="s">
        <v>53</v>
      </c>
      <c r="F708">
        <v>5</v>
      </c>
      <c r="G708" t="s">
        <v>17</v>
      </c>
      <c r="H708" t="s">
        <v>563</v>
      </c>
    </row>
    <row r="709" spans="1:8">
      <c r="A709">
        <v>944</v>
      </c>
      <c r="B709" t="s">
        <v>440</v>
      </c>
      <c r="C709" t="s">
        <v>9</v>
      </c>
      <c r="D709" t="s">
        <v>1783</v>
      </c>
      <c r="E709" t="s">
        <v>16</v>
      </c>
      <c r="F709">
        <v>2</v>
      </c>
      <c r="G709" t="s">
        <v>12</v>
      </c>
      <c r="H709" t="s">
        <v>1558</v>
      </c>
    </row>
    <row r="710" spans="1:8">
      <c r="A710">
        <v>945</v>
      </c>
      <c r="B710" t="s">
        <v>777</v>
      </c>
      <c r="C710" t="s">
        <v>20</v>
      </c>
      <c r="D710" t="s">
        <v>1784</v>
      </c>
      <c r="E710" t="s">
        <v>33</v>
      </c>
      <c r="F710">
        <v>7</v>
      </c>
      <c r="G710" t="s">
        <v>25</v>
      </c>
      <c r="H710" t="s">
        <v>1785</v>
      </c>
    </row>
    <row r="711" spans="1:8">
      <c r="A711">
        <v>946</v>
      </c>
      <c r="B711" t="s">
        <v>1786</v>
      </c>
      <c r="C711" t="s">
        <v>9</v>
      </c>
      <c r="D711" t="s">
        <v>1787</v>
      </c>
      <c r="E711" t="s">
        <v>16</v>
      </c>
      <c r="F711">
        <v>1</v>
      </c>
      <c r="G711" t="s">
        <v>25</v>
      </c>
      <c r="H711" t="s">
        <v>1788</v>
      </c>
    </row>
    <row r="712" spans="1:8">
      <c r="A712">
        <v>947</v>
      </c>
      <c r="B712" t="s">
        <v>1259</v>
      </c>
      <c r="C712" t="s">
        <v>20</v>
      </c>
      <c r="D712" t="s">
        <v>1789</v>
      </c>
      <c r="E712" t="s">
        <v>29</v>
      </c>
      <c r="F712">
        <v>6</v>
      </c>
      <c r="G712" t="s">
        <v>12</v>
      </c>
      <c r="H712" t="s">
        <v>1790</v>
      </c>
    </row>
    <row r="713" spans="1:8">
      <c r="A713">
        <v>948</v>
      </c>
      <c r="B713" t="s">
        <v>72</v>
      </c>
      <c r="C713" t="s">
        <v>9</v>
      </c>
      <c r="D713" t="s">
        <v>1791</v>
      </c>
      <c r="E713" t="s">
        <v>29</v>
      </c>
      <c r="F713">
        <v>6</v>
      </c>
      <c r="G713" t="s">
        <v>12</v>
      </c>
      <c r="H713" t="s">
        <v>735</v>
      </c>
    </row>
    <row r="714" spans="1:8">
      <c r="A714">
        <v>949</v>
      </c>
      <c r="B714" t="s">
        <v>1689</v>
      </c>
      <c r="C714" t="s">
        <v>9</v>
      </c>
      <c r="D714" t="s">
        <v>1792</v>
      </c>
      <c r="E714" t="s">
        <v>53</v>
      </c>
      <c r="F714">
        <v>5</v>
      </c>
      <c r="G714" t="s">
        <v>12</v>
      </c>
      <c r="H714" t="s">
        <v>1793</v>
      </c>
    </row>
    <row r="715" spans="1:8">
      <c r="A715">
        <v>950</v>
      </c>
      <c r="B715" t="s">
        <v>1433</v>
      </c>
      <c r="C715" t="s">
        <v>20</v>
      </c>
      <c r="D715" t="s">
        <v>1794</v>
      </c>
      <c r="E715" t="s">
        <v>53</v>
      </c>
      <c r="F715">
        <v>5</v>
      </c>
      <c r="G715" t="s">
        <v>12</v>
      </c>
      <c r="H715" t="s">
        <v>1795</v>
      </c>
    </row>
    <row r="716" spans="1:8">
      <c r="A716">
        <v>951</v>
      </c>
      <c r="B716" t="s">
        <v>1262</v>
      </c>
      <c r="C716" t="s">
        <v>20</v>
      </c>
      <c r="D716" t="s">
        <v>1796</v>
      </c>
      <c r="E716" t="s">
        <v>11</v>
      </c>
      <c r="F716">
        <v>4</v>
      </c>
      <c r="G716" t="s">
        <v>25</v>
      </c>
      <c r="H716" t="s">
        <v>1797</v>
      </c>
    </row>
    <row r="717" spans="1:8">
      <c r="A717">
        <v>952</v>
      </c>
      <c r="B717" t="s">
        <v>1798</v>
      </c>
      <c r="C717" t="s">
        <v>20</v>
      </c>
      <c r="D717" t="s">
        <v>1799</v>
      </c>
      <c r="E717" t="s">
        <v>33</v>
      </c>
      <c r="F717">
        <v>7</v>
      </c>
      <c r="G717" t="s">
        <v>17</v>
      </c>
      <c r="H717" t="s">
        <v>1800</v>
      </c>
    </row>
    <row r="718" spans="1:8">
      <c r="A718">
        <v>953</v>
      </c>
      <c r="B718" t="s">
        <v>1801</v>
      </c>
      <c r="C718" t="s">
        <v>20</v>
      </c>
      <c r="D718" t="s">
        <v>1802</v>
      </c>
      <c r="E718" t="s">
        <v>33</v>
      </c>
      <c r="F718">
        <v>7</v>
      </c>
      <c r="G718" t="s">
        <v>12</v>
      </c>
      <c r="H718" t="s">
        <v>1405</v>
      </c>
    </row>
    <row r="719" spans="1:8">
      <c r="A719">
        <v>954</v>
      </c>
      <c r="B719" t="s">
        <v>1803</v>
      </c>
      <c r="C719" t="s">
        <v>9</v>
      </c>
      <c r="D719" t="s">
        <v>1804</v>
      </c>
      <c r="E719" t="s">
        <v>53</v>
      </c>
      <c r="F719">
        <v>5</v>
      </c>
      <c r="G719" t="s">
        <v>12</v>
      </c>
      <c r="H719" t="s">
        <v>1805</v>
      </c>
    </row>
    <row r="720" spans="1:8">
      <c r="A720">
        <v>955</v>
      </c>
      <c r="B720" t="s">
        <v>887</v>
      </c>
      <c r="C720" t="s">
        <v>9</v>
      </c>
      <c r="D720" t="s">
        <v>1806</v>
      </c>
      <c r="E720" t="s">
        <v>53</v>
      </c>
      <c r="F720">
        <v>5</v>
      </c>
      <c r="G720" t="s">
        <v>12</v>
      </c>
      <c r="H720" t="s">
        <v>1807</v>
      </c>
    </row>
    <row r="721" spans="1:8">
      <c r="A721">
        <v>956</v>
      </c>
      <c r="B721" t="s">
        <v>1808</v>
      </c>
      <c r="C721" t="s">
        <v>9</v>
      </c>
      <c r="D721" t="s">
        <v>1809</v>
      </c>
      <c r="E721" t="s">
        <v>43</v>
      </c>
      <c r="F721">
        <v>3</v>
      </c>
      <c r="G721" t="s">
        <v>17</v>
      </c>
      <c r="H721" t="s">
        <v>920</v>
      </c>
    </row>
    <row r="722" spans="1:8">
      <c r="A722">
        <v>957</v>
      </c>
      <c r="B722" t="s">
        <v>1810</v>
      </c>
      <c r="C722" t="s">
        <v>20</v>
      </c>
      <c r="D722" t="s">
        <v>1811</v>
      </c>
      <c r="E722" t="s">
        <v>11</v>
      </c>
      <c r="F722">
        <v>4</v>
      </c>
      <c r="G722" t="s">
        <v>12</v>
      </c>
      <c r="H722" t="s">
        <v>1812</v>
      </c>
    </row>
    <row r="723" spans="1:8">
      <c r="A723">
        <v>958</v>
      </c>
      <c r="B723" t="s">
        <v>1813</v>
      </c>
      <c r="C723" t="s">
        <v>9</v>
      </c>
      <c r="D723" t="s">
        <v>694</v>
      </c>
      <c r="E723" t="s">
        <v>16</v>
      </c>
      <c r="F723">
        <v>1</v>
      </c>
      <c r="G723" t="s">
        <v>12</v>
      </c>
      <c r="H723" t="s">
        <v>1814</v>
      </c>
    </row>
    <row r="724" spans="1:8">
      <c r="A724">
        <v>959</v>
      </c>
      <c r="B724" t="s">
        <v>836</v>
      </c>
      <c r="C724" t="s">
        <v>20</v>
      </c>
      <c r="D724" t="s">
        <v>1815</v>
      </c>
      <c r="E724" t="s">
        <v>43</v>
      </c>
      <c r="F724">
        <v>3</v>
      </c>
      <c r="G724" t="s">
        <v>12</v>
      </c>
      <c r="H724" t="s">
        <v>1816</v>
      </c>
    </row>
    <row r="725" spans="1:8">
      <c r="A725">
        <v>960</v>
      </c>
      <c r="B725" t="s">
        <v>994</v>
      </c>
      <c r="C725" t="s">
        <v>9</v>
      </c>
      <c r="D725" t="s">
        <v>1817</v>
      </c>
      <c r="E725" t="s">
        <v>33</v>
      </c>
      <c r="F725">
        <v>7</v>
      </c>
      <c r="G725" t="s">
        <v>17</v>
      </c>
      <c r="H725" t="s">
        <v>612</v>
      </c>
    </row>
    <row r="726" spans="1:8">
      <c r="A726">
        <v>961</v>
      </c>
      <c r="B726" t="s">
        <v>1818</v>
      </c>
      <c r="C726" t="s">
        <v>9</v>
      </c>
      <c r="D726" t="s">
        <v>1118</v>
      </c>
      <c r="E726" t="s">
        <v>29</v>
      </c>
      <c r="F726">
        <v>6</v>
      </c>
      <c r="G726" t="s">
        <v>25</v>
      </c>
      <c r="H726" t="s">
        <v>1819</v>
      </c>
    </row>
    <row r="727" spans="1:8">
      <c r="A727">
        <v>962</v>
      </c>
      <c r="B727" t="s">
        <v>1820</v>
      </c>
      <c r="C727" t="s">
        <v>20</v>
      </c>
      <c r="D727" t="s">
        <v>1821</v>
      </c>
      <c r="E727" t="s">
        <v>11</v>
      </c>
      <c r="F727">
        <v>4</v>
      </c>
      <c r="G727" t="s">
        <v>12</v>
      </c>
      <c r="H727" t="s">
        <v>1822</v>
      </c>
    </row>
    <row r="728" spans="1:8">
      <c r="A728">
        <v>963</v>
      </c>
      <c r="B728" t="s">
        <v>67</v>
      </c>
      <c r="C728" t="s">
        <v>20</v>
      </c>
      <c r="D728" t="s">
        <v>1823</v>
      </c>
      <c r="E728" t="s">
        <v>43</v>
      </c>
      <c r="F728">
        <v>3</v>
      </c>
      <c r="G728" t="s">
        <v>12</v>
      </c>
      <c r="H728" t="s">
        <v>1824</v>
      </c>
    </row>
    <row r="729" spans="1:8">
      <c r="A729">
        <v>964</v>
      </c>
      <c r="B729" t="s">
        <v>830</v>
      </c>
      <c r="C729" t="s">
        <v>9</v>
      </c>
      <c r="D729" t="s">
        <v>1825</v>
      </c>
      <c r="E729" t="s">
        <v>43</v>
      </c>
      <c r="F729">
        <v>3</v>
      </c>
      <c r="G729" t="s">
        <v>12</v>
      </c>
      <c r="H729" t="s">
        <v>1826</v>
      </c>
    </row>
    <row r="730" spans="1:8">
      <c r="A730">
        <v>965</v>
      </c>
      <c r="B730" t="s">
        <v>168</v>
      </c>
      <c r="C730" t="s">
        <v>20</v>
      </c>
      <c r="D730" t="s">
        <v>1827</v>
      </c>
      <c r="E730" t="s">
        <v>33</v>
      </c>
      <c r="F730">
        <v>7</v>
      </c>
      <c r="G730" t="s">
        <v>12</v>
      </c>
      <c r="H730" t="s">
        <v>1828</v>
      </c>
    </row>
    <row r="731" spans="1:8">
      <c r="A731">
        <v>966</v>
      </c>
      <c r="B731" t="s">
        <v>284</v>
      </c>
      <c r="C731" t="s">
        <v>20</v>
      </c>
      <c r="D731" t="s">
        <v>1829</v>
      </c>
      <c r="E731" t="s">
        <v>16</v>
      </c>
      <c r="F731">
        <v>1</v>
      </c>
      <c r="G731" t="s">
        <v>12</v>
      </c>
      <c r="H731" t="s">
        <v>1510</v>
      </c>
    </row>
    <row r="732" spans="1:8">
      <c r="A732">
        <v>967</v>
      </c>
      <c r="B732" t="s">
        <v>610</v>
      </c>
      <c r="C732" t="s">
        <v>9</v>
      </c>
      <c r="D732" t="s">
        <v>1830</v>
      </c>
      <c r="E732" t="s">
        <v>11</v>
      </c>
      <c r="F732">
        <v>4</v>
      </c>
      <c r="G732" t="s">
        <v>12</v>
      </c>
      <c r="H732" t="s">
        <v>1661</v>
      </c>
    </row>
    <row r="733" spans="1:8">
      <c r="A733">
        <v>968</v>
      </c>
      <c r="B733" t="s">
        <v>1831</v>
      </c>
      <c r="C733" t="s">
        <v>9</v>
      </c>
      <c r="D733" t="s">
        <v>1832</v>
      </c>
      <c r="E733" t="s">
        <v>43</v>
      </c>
      <c r="F733">
        <v>3</v>
      </c>
      <c r="G733" t="s">
        <v>12</v>
      </c>
      <c r="H733" t="s">
        <v>1833</v>
      </c>
    </row>
    <row r="734" spans="1:8">
      <c r="A734">
        <v>969</v>
      </c>
      <c r="B734" t="s">
        <v>476</v>
      </c>
      <c r="C734" t="s">
        <v>9</v>
      </c>
      <c r="D734" t="s">
        <v>1834</v>
      </c>
      <c r="E734" t="s">
        <v>16</v>
      </c>
      <c r="F734">
        <v>1</v>
      </c>
      <c r="G734" t="s">
        <v>17</v>
      </c>
      <c r="H734" t="s">
        <v>1835</v>
      </c>
    </row>
    <row r="735" spans="1:8">
      <c r="A735">
        <v>970</v>
      </c>
      <c r="B735" t="s">
        <v>1836</v>
      </c>
      <c r="C735" t="s">
        <v>9</v>
      </c>
      <c r="D735" t="s">
        <v>1837</v>
      </c>
      <c r="E735" t="s">
        <v>11</v>
      </c>
      <c r="F735">
        <v>4</v>
      </c>
      <c r="G735" t="s">
        <v>12</v>
      </c>
      <c r="H735" t="s">
        <v>116</v>
      </c>
    </row>
    <row r="736" spans="1:8">
      <c r="A736">
        <v>971</v>
      </c>
      <c r="B736" t="s">
        <v>1316</v>
      </c>
      <c r="C736" t="s">
        <v>20</v>
      </c>
      <c r="D736" t="s">
        <v>1838</v>
      </c>
      <c r="E736" t="s">
        <v>33</v>
      </c>
      <c r="F736">
        <v>7</v>
      </c>
      <c r="G736" t="s">
        <v>25</v>
      </c>
      <c r="H736" t="s">
        <v>1839</v>
      </c>
    </row>
    <row r="737" spans="1:8">
      <c r="A737">
        <v>972</v>
      </c>
      <c r="B737" t="s">
        <v>540</v>
      </c>
      <c r="C737" t="s">
        <v>9</v>
      </c>
      <c r="D737" t="s">
        <v>1840</v>
      </c>
      <c r="E737" t="s">
        <v>29</v>
      </c>
      <c r="F737">
        <v>6</v>
      </c>
      <c r="G737" t="s">
        <v>12</v>
      </c>
      <c r="H737" t="s">
        <v>1841</v>
      </c>
    </row>
    <row r="738" spans="1:8">
      <c r="A738">
        <v>973</v>
      </c>
      <c r="B738" t="s">
        <v>680</v>
      </c>
      <c r="C738" t="s">
        <v>9</v>
      </c>
      <c r="D738" t="s">
        <v>1842</v>
      </c>
      <c r="E738" t="s">
        <v>29</v>
      </c>
      <c r="F738">
        <v>6</v>
      </c>
      <c r="G738" t="s">
        <v>25</v>
      </c>
      <c r="H738" t="s">
        <v>1843</v>
      </c>
    </row>
    <row r="739" spans="1:8">
      <c r="A739">
        <v>974</v>
      </c>
      <c r="B739" t="s">
        <v>1554</v>
      </c>
      <c r="C739" t="s">
        <v>20</v>
      </c>
      <c r="D739" t="s">
        <v>1844</v>
      </c>
      <c r="E739" t="s">
        <v>29</v>
      </c>
      <c r="F739">
        <v>6</v>
      </c>
      <c r="G739" t="s">
        <v>12</v>
      </c>
      <c r="H739" t="s">
        <v>1845</v>
      </c>
    </row>
    <row r="740" spans="1:8">
      <c r="A740">
        <v>975</v>
      </c>
      <c r="B740" t="s">
        <v>1846</v>
      </c>
      <c r="C740" t="s">
        <v>9</v>
      </c>
      <c r="D740" t="s">
        <v>1847</v>
      </c>
      <c r="E740" t="s">
        <v>33</v>
      </c>
      <c r="F740">
        <v>7</v>
      </c>
      <c r="G740" t="s">
        <v>25</v>
      </c>
      <c r="H740" t="s">
        <v>644</v>
      </c>
    </row>
    <row r="741" spans="1:8">
      <c r="A741">
        <v>976</v>
      </c>
      <c r="B741" t="s">
        <v>800</v>
      </c>
      <c r="C741" t="s">
        <v>20</v>
      </c>
      <c r="D741" t="s">
        <v>1848</v>
      </c>
      <c r="E741" t="s">
        <v>16</v>
      </c>
      <c r="F741">
        <v>1</v>
      </c>
      <c r="G741" t="s">
        <v>17</v>
      </c>
      <c r="H741" t="s">
        <v>1849</v>
      </c>
    </row>
    <row r="742" spans="1:8">
      <c r="A742">
        <v>977</v>
      </c>
      <c r="B742" t="s">
        <v>1850</v>
      </c>
      <c r="C742" t="s">
        <v>9</v>
      </c>
      <c r="D742" t="s">
        <v>1851</v>
      </c>
      <c r="E742" t="s">
        <v>16</v>
      </c>
      <c r="F742">
        <v>1</v>
      </c>
      <c r="G742" t="s">
        <v>12</v>
      </c>
      <c r="H742" t="s">
        <v>913</v>
      </c>
    </row>
    <row r="743" spans="1:8">
      <c r="A743">
        <v>978</v>
      </c>
      <c r="B743" t="s">
        <v>1852</v>
      </c>
      <c r="C743" t="s">
        <v>20</v>
      </c>
      <c r="D743" t="s">
        <v>1853</v>
      </c>
      <c r="E743" t="s">
        <v>33</v>
      </c>
      <c r="F743">
        <v>7</v>
      </c>
      <c r="G743" t="s">
        <v>12</v>
      </c>
      <c r="H743" t="s">
        <v>395</v>
      </c>
    </row>
    <row r="744" spans="1:8">
      <c r="A744">
        <v>979</v>
      </c>
      <c r="B744" t="s">
        <v>1056</v>
      </c>
      <c r="C744" t="s">
        <v>20</v>
      </c>
      <c r="D744" t="s">
        <v>1854</v>
      </c>
      <c r="E744" t="s">
        <v>16</v>
      </c>
      <c r="F744">
        <v>1</v>
      </c>
      <c r="G744" t="s">
        <v>17</v>
      </c>
      <c r="H744" t="s">
        <v>1467</v>
      </c>
    </row>
    <row r="745" spans="1:8">
      <c r="A745">
        <v>980</v>
      </c>
      <c r="B745" t="s">
        <v>1801</v>
      </c>
      <c r="C745" t="s">
        <v>20</v>
      </c>
      <c r="D745" t="s">
        <v>1855</v>
      </c>
      <c r="E745" t="s">
        <v>53</v>
      </c>
      <c r="F745">
        <v>5</v>
      </c>
      <c r="G745" t="s">
        <v>17</v>
      </c>
      <c r="H745" t="s">
        <v>1856</v>
      </c>
    </row>
    <row r="746" spans="1:8">
      <c r="A746">
        <v>981</v>
      </c>
      <c r="B746" t="s">
        <v>1857</v>
      </c>
      <c r="C746" t="s">
        <v>20</v>
      </c>
      <c r="D746" t="s">
        <v>1858</v>
      </c>
      <c r="E746" t="s">
        <v>11</v>
      </c>
      <c r="F746">
        <v>4</v>
      </c>
      <c r="G746" t="s">
        <v>12</v>
      </c>
      <c r="H746" t="s">
        <v>1386</v>
      </c>
    </row>
    <row r="747" spans="1:8">
      <c r="A747">
        <v>982</v>
      </c>
      <c r="B747" t="s">
        <v>1859</v>
      </c>
      <c r="C747" t="s">
        <v>20</v>
      </c>
      <c r="D747" t="s">
        <v>1860</v>
      </c>
      <c r="E747" t="s">
        <v>33</v>
      </c>
      <c r="F747">
        <v>7</v>
      </c>
      <c r="G747" t="s">
        <v>12</v>
      </c>
      <c r="H747" t="s">
        <v>1861</v>
      </c>
    </row>
    <row r="748" spans="1:8">
      <c r="A748">
        <v>983</v>
      </c>
      <c r="B748" t="s">
        <v>766</v>
      </c>
      <c r="C748" t="s">
        <v>9</v>
      </c>
      <c r="D748" t="s">
        <v>1862</v>
      </c>
      <c r="E748" t="s">
        <v>33</v>
      </c>
      <c r="F748">
        <v>7</v>
      </c>
      <c r="G748" t="s">
        <v>25</v>
      </c>
      <c r="H748" t="s">
        <v>1863</v>
      </c>
    </row>
    <row r="749" spans="1:8">
      <c r="A749">
        <v>984</v>
      </c>
      <c r="B749" t="s">
        <v>1864</v>
      </c>
      <c r="C749" t="s">
        <v>20</v>
      </c>
      <c r="D749" t="s">
        <v>1353</v>
      </c>
      <c r="E749" t="s">
        <v>16</v>
      </c>
      <c r="F749">
        <v>1</v>
      </c>
      <c r="G749" t="s">
        <v>25</v>
      </c>
      <c r="H749" t="s">
        <v>1865</v>
      </c>
    </row>
    <row r="750" spans="1:8">
      <c r="A750">
        <v>985</v>
      </c>
      <c r="B750" t="s">
        <v>1866</v>
      </c>
      <c r="C750" t="s">
        <v>9</v>
      </c>
      <c r="D750" t="s">
        <v>1867</v>
      </c>
      <c r="E750" t="s">
        <v>11</v>
      </c>
      <c r="F750">
        <v>4</v>
      </c>
      <c r="G750" t="s">
        <v>17</v>
      </c>
      <c r="H750" t="s">
        <v>1419</v>
      </c>
    </row>
    <row r="751" spans="1:8">
      <c r="A751">
        <v>986</v>
      </c>
      <c r="B751" t="s">
        <v>1868</v>
      </c>
      <c r="C751" t="s">
        <v>20</v>
      </c>
      <c r="D751" t="s">
        <v>1869</v>
      </c>
      <c r="E751" t="s">
        <v>16</v>
      </c>
      <c r="F751">
        <v>1</v>
      </c>
      <c r="G751" t="s">
        <v>25</v>
      </c>
      <c r="H751" t="s">
        <v>1870</v>
      </c>
    </row>
    <row r="752" spans="1:8">
      <c r="A752">
        <v>987</v>
      </c>
      <c r="B752" t="s">
        <v>1433</v>
      </c>
      <c r="C752" t="s">
        <v>20</v>
      </c>
      <c r="D752" t="s">
        <v>1871</v>
      </c>
      <c r="E752" t="s">
        <v>29</v>
      </c>
      <c r="F752">
        <v>6</v>
      </c>
      <c r="G752" t="s">
        <v>12</v>
      </c>
      <c r="H752" t="s">
        <v>712</v>
      </c>
    </row>
    <row r="753" spans="1:8">
      <c r="A753">
        <v>988</v>
      </c>
      <c r="B753" t="s">
        <v>1872</v>
      </c>
      <c r="C753" t="s">
        <v>20</v>
      </c>
      <c r="D753" t="s">
        <v>1873</v>
      </c>
      <c r="E753" t="s">
        <v>16</v>
      </c>
      <c r="F753">
        <v>2</v>
      </c>
      <c r="G753" t="s">
        <v>25</v>
      </c>
      <c r="H753" t="s">
        <v>1874</v>
      </c>
    </row>
    <row r="754" spans="1:8">
      <c r="A754">
        <v>989</v>
      </c>
      <c r="B754" t="s">
        <v>1669</v>
      </c>
      <c r="C754" t="s">
        <v>9</v>
      </c>
      <c r="D754" t="s">
        <v>1875</v>
      </c>
      <c r="E754" t="s">
        <v>16</v>
      </c>
      <c r="F754">
        <v>1</v>
      </c>
      <c r="G754" t="s">
        <v>12</v>
      </c>
      <c r="H754" t="s">
        <v>1876</v>
      </c>
    </row>
    <row r="755" spans="1:8">
      <c r="A755">
        <v>990</v>
      </c>
      <c r="B755" t="s">
        <v>1504</v>
      </c>
      <c r="C755" t="s">
        <v>9</v>
      </c>
      <c r="D755" t="s">
        <v>1877</v>
      </c>
      <c r="E755" t="s">
        <v>43</v>
      </c>
      <c r="F755">
        <v>3</v>
      </c>
      <c r="G755" t="s">
        <v>17</v>
      </c>
      <c r="H755" t="s">
        <v>1878</v>
      </c>
    </row>
    <row r="756" spans="1:8">
      <c r="A756">
        <v>991</v>
      </c>
      <c r="B756" t="s">
        <v>198</v>
      </c>
      <c r="C756" t="s">
        <v>20</v>
      </c>
      <c r="D756" t="s">
        <v>1879</v>
      </c>
      <c r="E756" t="s">
        <v>16</v>
      </c>
      <c r="F756">
        <v>2</v>
      </c>
      <c r="G756" t="s">
        <v>25</v>
      </c>
      <c r="H756" t="s">
        <v>1880</v>
      </c>
    </row>
    <row r="757" spans="1:8">
      <c r="A757">
        <v>992</v>
      </c>
      <c r="B757" t="s">
        <v>1881</v>
      </c>
      <c r="C757" t="s">
        <v>20</v>
      </c>
      <c r="D757" t="s">
        <v>1882</v>
      </c>
      <c r="E757" t="s">
        <v>53</v>
      </c>
      <c r="F757">
        <v>5</v>
      </c>
      <c r="G757" t="s">
        <v>25</v>
      </c>
      <c r="H757" t="s">
        <v>1883</v>
      </c>
    </row>
    <row r="758" spans="1:8">
      <c r="A758">
        <v>993</v>
      </c>
      <c r="B758" t="s">
        <v>393</v>
      </c>
      <c r="C758" t="s">
        <v>9</v>
      </c>
      <c r="D758" t="s">
        <v>1884</v>
      </c>
      <c r="E758" t="s">
        <v>29</v>
      </c>
      <c r="F758">
        <v>6</v>
      </c>
      <c r="G758" t="s">
        <v>12</v>
      </c>
      <c r="H758" t="s">
        <v>119</v>
      </c>
    </row>
    <row r="759" spans="1:8">
      <c r="A759">
        <v>994</v>
      </c>
      <c r="B759" t="s">
        <v>1885</v>
      </c>
      <c r="C759" t="s">
        <v>9</v>
      </c>
      <c r="D759" t="s">
        <v>1886</v>
      </c>
      <c r="E759" t="s">
        <v>43</v>
      </c>
      <c r="F759">
        <v>3</v>
      </c>
      <c r="G759" t="s">
        <v>12</v>
      </c>
      <c r="H759" t="s">
        <v>1887</v>
      </c>
    </row>
    <row r="760" spans="1:8">
      <c r="A760">
        <v>995</v>
      </c>
      <c r="B760" t="s">
        <v>1309</v>
      </c>
      <c r="C760" t="s">
        <v>9</v>
      </c>
      <c r="D760" t="s">
        <v>1888</v>
      </c>
      <c r="E760" t="s">
        <v>11</v>
      </c>
      <c r="F760">
        <v>4</v>
      </c>
      <c r="G760" t="s">
        <v>17</v>
      </c>
      <c r="H760" t="s">
        <v>1889</v>
      </c>
    </row>
    <row r="761" spans="1:8">
      <c r="A761">
        <v>996</v>
      </c>
      <c r="B761" t="s">
        <v>1890</v>
      </c>
      <c r="C761" t="s">
        <v>20</v>
      </c>
      <c r="D761" t="s">
        <v>1891</v>
      </c>
      <c r="E761" t="s">
        <v>33</v>
      </c>
      <c r="F761">
        <v>7</v>
      </c>
      <c r="G761" t="s">
        <v>17</v>
      </c>
      <c r="H761" t="s">
        <v>1343</v>
      </c>
    </row>
    <row r="762" spans="1:8">
      <c r="A762">
        <v>997</v>
      </c>
      <c r="B762" t="s">
        <v>215</v>
      </c>
      <c r="C762" t="s">
        <v>9</v>
      </c>
      <c r="D762" t="s">
        <v>1892</v>
      </c>
      <c r="E762" t="s">
        <v>11</v>
      </c>
      <c r="F762">
        <v>4</v>
      </c>
      <c r="G762" t="s">
        <v>25</v>
      </c>
      <c r="H762" t="s">
        <v>1893</v>
      </c>
    </row>
    <row r="763" spans="1:8">
      <c r="A763">
        <v>998</v>
      </c>
      <c r="B763" t="s">
        <v>230</v>
      </c>
      <c r="C763" t="s">
        <v>20</v>
      </c>
      <c r="D763" t="s">
        <v>1894</v>
      </c>
      <c r="E763" t="s">
        <v>33</v>
      </c>
      <c r="F763">
        <v>7</v>
      </c>
      <c r="G763" t="s">
        <v>12</v>
      </c>
      <c r="H763" t="s">
        <v>1617</v>
      </c>
    </row>
    <row r="764" spans="1:8">
      <c r="A764">
        <v>999</v>
      </c>
      <c r="B764" t="s">
        <v>445</v>
      </c>
      <c r="C764" t="s">
        <v>9</v>
      </c>
      <c r="D764" t="s">
        <v>1895</v>
      </c>
      <c r="E764" t="s">
        <v>29</v>
      </c>
      <c r="F764">
        <v>6</v>
      </c>
      <c r="G764" t="s">
        <v>12</v>
      </c>
      <c r="H764" t="s">
        <v>1896</v>
      </c>
    </row>
    <row r="765" spans="1:8">
      <c r="A765">
        <v>1000</v>
      </c>
      <c r="B765" t="s">
        <v>64</v>
      </c>
      <c r="C765" t="s">
        <v>20</v>
      </c>
      <c r="D765" t="s">
        <v>1897</v>
      </c>
      <c r="E765" t="s">
        <v>11</v>
      </c>
      <c r="F765">
        <v>4</v>
      </c>
      <c r="G765" t="s">
        <v>12</v>
      </c>
      <c r="H765" t="s">
        <v>1898</v>
      </c>
    </row>
    <row r="766" spans="1:8">
      <c r="A766">
        <v>597</v>
      </c>
      <c r="B766" t="s">
        <v>267</v>
      </c>
      <c r="C766" t="s">
        <v>20</v>
      </c>
      <c r="D766" t="s">
        <v>1899</v>
      </c>
      <c r="E766" t="s">
        <v>53</v>
      </c>
      <c r="F766">
        <v>5</v>
      </c>
      <c r="G766" t="s">
        <v>25</v>
      </c>
      <c r="H766" t="s">
        <v>1900</v>
      </c>
    </row>
    <row r="767" spans="1:8">
      <c r="A767">
        <v>598</v>
      </c>
      <c r="B767" t="s">
        <v>1165</v>
      </c>
      <c r="C767" t="s">
        <v>20</v>
      </c>
      <c r="D767" t="s">
        <v>1901</v>
      </c>
      <c r="E767" t="s">
        <v>11</v>
      </c>
      <c r="F767">
        <v>4</v>
      </c>
      <c r="G767" t="s">
        <v>12</v>
      </c>
      <c r="H767" t="s">
        <v>1902</v>
      </c>
    </row>
    <row r="768" spans="1:8">
      <c r="A768">
        <v>599</v>
      </c>
      <c r="B768" t="s">
        <v>693</v>
      </c>
      <c r="C768" t="s">
        <v>20</v>
      </c>
      <c r="D768" t="s">
        <v>1903</v>
      </c>
      <c r="E768" t="s">
        <v>53</v>
      </c>
      <c r="F768">
        <v>5</v>
      </c>
      <c r="G768" t="s">
        <v>25</v>
      </c>
      <c r="H768" t="s">
        <v>661</v>
      </c>
    </row>
    <row r="769" spans="1:8">
      <c r="A769">
        <v>600</v>
      </c>
      <c r="B769" t="s">
        <v>537</v>
      </c>
      <c r="C769" t="s">
        <v>9</v>
      </c>
      <c r="D769" t="s">
        <v>1904</v>
      </c>
      <c r="E769" t="s">
        <v>43</v>
      </c>
      <c r="F769">
        <v>3</v>
      </c>
      <c r="G769" t="s">
        <v>12</v>
      </c>
      <c r="H769" t="s">
        <v>1905</v>
      </c>
    </row>
    <row r="770" spans="1:8">
      <c r="A770">
        <v>601</v>
      </c>
      <c r="B770" t="s">
        <v>1906</v>
      </c>
      <c r="C770" t="s">
        <v>9</v>
      </c>
      <c r="D770" t="s">
        <v>1907</v>
      </c>
      <c r="E770" t="s">
        <v>43</v>
      </c>
      <c r="F770">
        <v>3</v>
      </c>
      <c r="G770" t="s">
        <v>12</v>
      </c>
      <c r="H770" t="s">
        <v>1908</v>
      </c>
    </row>
    <row r="771" spans="1:8">
      <c r="A771">
        <v>602</v>
      </c>
      <c r="B771" t="s">
        <v>1281</v>
      </c>
      <c r="C771" t="s">
        <v>9</v>
      </c>
      <c r="D771" t="s">
        <v>1909</v>
      </c>
      <c r="E771" t="s">
        <v>16</v>
      </c>
      <c r="F771">
        <v>1</v>
      </c>
      <c r="G771" t="s">
        <v>12</v>
      </c>
      <c r="H771" t="s">
        <v>1398</v>
      </c>
    </row>
    <row r="772" spans="1:8">
      <c r="A772">
        <v>603</v>
      </c>
      <c r="B772" t="s">
        <v>1593</v>
      </c>
      <c r="C772" t="s">
        <v>9</v>
      </c>
      <c r="D772" t="s">
        <v>1910</v>
      </c>
      <c r="E772" t="s">
        <v>43</v>
      </c>
      <c r="F772">
        <v>3</v>
      </c>
      <c r="G772" t="s">
        <v>12</v>
      </c>
      <c r="H772" t="s">
        <v>1911</v>
      </c>
    </row>
    <row r="773" spans="1:8">
      <c r="A773">
        <v>604</v>
      </c>
      <c r="B773" t="s">
        <v>1912</v>
      </c>
      <c r="C773" t="s">
        <v>20</v>
      </c>
      <c r="D773" t="s">
        <v>1913</v>
      </c>
      <c r="E773" t="s">
        <v>43</v>
      </c>
      <c r="F773">
        <v>3</v>
      </c>
      <c r="G773" t="s">
        <v>12</v>
      </c>
      <c r="H773" t="s">
        <v>60</v>
      </c>
    </row>
    <row r="774" spans="1:8">
      <c r="A774">
        <v>605</v>
      </c>
      <c r="B774" t="s">
        <v>1914</v>
      </c>
      <c r="C774" t="s">
        <v>20</v>
      </c>
      <c r="D774" t="s">
        <v>1915</v>
      </c>
      <c r="E774" t="s">
        <v>53</v>
      </c>
      <c r="F774">
        <v>5</v>
      </c>
      <c r="G774" t="s">
        <v>17</v>
      </c>
      <c r="H774" t="s">
        <v>1916</v>
      </c>
    </row>
    <row r="775" spans="1:8">
      <c r="A775">
        <v>606</v>
      </c>
      <c r="B775" t="s">
        <v>296</v>
      </c>
      <c r="C775" t="s">
        <v>20</v>
      </c>
      <c r="D775" t="s">
        <v>1917</v>
      </c>
      <c r="E775" t="s">
        <v>53</v>
      </c>
      <c r="F775">
        <v>5</v>
      </c>
      <c r="G775" t="s">
        <v>12</v>
      </c>
      <c r="H775" t="s">
        <v>1918</v>
      </c>
    </row>
    <row r="776" spans="1:8">
      <c r="A776">
        <v>607</v>
      </c>
      <c r="B776" t="s">
        <v>255</v>
      </c>
      <c r="C776" t="s">
        <v>20</v>
      </c>
      <c r="D776" t="s">
        <v>1919</v>
      </c>
      <c r="E776" t="s">
        <v>53</v>
      </c>
      <c r="F776">
        <v>5</v>
      </c>
      <c r="G776" t="s">
        <v>25</v>
      </c>
      <c r="H776" t="s">
        <v>1920</v>
      </c>
    </row>
    <row r="777" spans="1:8">
      <c r="A777">
        <v>608</v>
      </c>
      <c r="B777" t="s">
        <v>1921</v>
      </c>
      <c r="C777" t="s">
        <v>20</v>
      </c>
      <c r="D777" t="s">
        <v>1922</v>
      </c>
      <c r="E777" t="s">
        <v>29</v>
      </c>
      <c r="F777">
        <v>6</v>
      </c>
      <c r="G777" t="s">
        <v>25</v>
      </c>
      <c r="H777" t="s">
        <v>1923</v>
      </c>
    </row>
    <row r="778" spans="1:8">
      <c r="A778">
        <v>609</v>
      </c>
      <c r="B778" t="s">
        <v>1428</v>
      </c>
      <c r="C778" t="s">
        <v>20</v>
      </c>
      <c r="D778" t="s">
        <v>1924</v>
      </c>
      <c r="E778" t="s">
        <v>33</v>
      </c>
      <c r="F778">
        <v>7</v>
      </c>
      <c r="G778" t="s">
        <v>12</v>
      </c>
      <c r="H778" t="s">
        <v>1925</v>
      </c>
    </row>
    <row r="779" spans="1:8">
      <c r="A779">
        <v>610</v>
      </c>
      <c r="B779" t="s">
        <v>969</v>
      </c>
      <c r="C779" t="s">
        <v>20</v>
      </c>
      <c r="D779" t="s">
        <v>1926</v>
      </c>
      <c r="E779" t="s">
        <v>43</v>
      </c>
      <c r="F779">
        <v>3</v>
      </c>
      <c r="G779" t="s">
        <v>12</v>
      </c>
      <c r="H779" t="s">
        <v>872</v>
      </c>
    </row>
    <row r="780" spans="1:8">
      <c r="A780">
        <v>611</v>
      </c>
      <c r="B780" t="s">
        <v>1927</v>
      </c>
      <c r="C780" t="s">
        <v>20</v>
      </c>
      <c r="D780" t="s">
        <v>1928</v>
      </c>
      <c r="E780" t="s">
        <v>29</v>
      </c>
      <c r="F780">
        <v>6</v>
      </c>
      <c r="G780" t="s">
        <v>12</v>
      </c>
      <c r="H780" t="s">
        <v>1929</v>
      </c>
    </row>
    <row r="781" spans="1:8">
      <c r="A781">
        <v>612</v>
      </c>
      <c r="B781" t="s">
        <v>1930</v>
      </c>
      <c r="C781" t="s">
        <v>9</v>
      </c>
      <c r="D781" t="s">
        <v>1931</v>
      </c>
      <c r="E781" t="s">
        <v>29</v>
      </c>
      <c r="F781">
        <v>6</v>
      </c>
      <c r="G781" t="s">
        <v>25</v>
      </c>
      <c r="H781" t="s">
        <v>1932</v>
      </c>
    </row>
    <row r="782" spans="1:8">
      <c r="A782">
        <v>613</v>
      </c>
      <c r="B782" t="s">
        <v>1933</v>
      </c>
      <c r="C782" t="s">
        <v>20</v>
      </c>
      <c r="D782" t="s">
        <v>1934</v>
      </c>
      <c r="E782" t="s">
        <v>53</v>
      </c>
      <c r="F782">
        <v>5</v>
      </c>
      <c r="G782" t="s">
        <v>12</v>
      </c>
      <c r="H782" t="s">
        <v>1935</v>
      </c>
    </row>
    <row r="783" spans="1:8">
      <c r="A783">
        <v>614</v>
      </c>
      <c r="B783" t="s">
        <v>1936</v>
      </c>
      <c r="C783" t="s">
        <v>20</v>
      </c>
      <c r="D783" t="s">
        <v>1937</v>
      </c>
      <c r="E783" t="s">
        <v>16</v>
      </c>
      <c r="F783">
        <v>2</v>
      </c>
      <c r="G783" t="s">
        <v>12</v>
      </c>
      <c r="H783" t="s">
        <v>1938</v>
      </c>
    </row>
    <row r="784" spans="1:8">
      <c r="A784">
        <v>615</v>
      </c>
      <c r="B784" t="s">
        <v>1939</v>
      </c>
      <c r="C784" t="s">
        <v>20</v>
      </c>
      <c r="D784" t="s">
        <v>1940</v>
      </c>
      <c r="E784" t="s">
        <v>16</v>
      </c>
      <c r="F784">
        <v>1</v>
      </c>
      <c r="G784" t="s">
        <v>25</v>
      </c>
      <c r="H784" t="s">
        <v>1941</v>
      </c>
    </row>
    <row r="785" spans="1:8">
      <c r="A785">
        <v>616</v>
      </c>
      <c r="B785" t="s">
        <v>1518</v>
      </c>
      <c r="C785" t="s">
        <v>20</v>
      </c>
      <c r="D785" t="s">
        <v>1942</v>
      </c>
      <c r="E785" t="s">
        <v>16</v>
      </c>
      <c r="F785">
        <v>1</v>
      </c>
      <c r="G785" t="s">
        <v>12</v>
      </c>
      <c r="H785" t="s">
        <v>1943</v>
      </c>
    </row>
    <row r="786" spans="1:8">
      <c r="A786">
        <v>617</v>
      </c>
      <c r="B786" t="s">
        <v>1259</v>
      </c>
      <c r="C786" t="s">
        <v>20</v>
      </c>
      <c r="D786" t="s">
        <v>1944</v>
      </c>
      <c r="E786" t="s">
        <v>11</v>
      </c>
      <c r="F786">
        <v>4</v>
      </c>
      <c r="G786" t="s">
        <v>12</v>
      </c>
      <c r="H786" t="s">
        <v>1925</v>
      </c>
    </row>
    <row r="787" spans="1:8">
      <c r="A787">
        <v>618</v>
      </c>
      <c r="B787" t="s">
        <v>147</v>
      </c>
      <c r="C787" t="s">
        <v>9</v>
      </c>
      <c r="D787" t="s">
        <v>1945</v>
      </c>
      <c r="E787" t="s">
        <v>11</v>
      </c>
      <c r="F787">
        <v>4</v>
      </c>
      <c r="G787" t="s">
        <v>12</v>
      </c>
      <c r="H787" t="s">
        <v>1946</v>
      </c>
    </row>
    <row r="788" spans="1:8">
      <c r="A788">
        <v>619</v>
      </c>
      <c r="B788" t="s">
        <v>825</v>
      </c>
      <c r="C788" t="s">
        <v>20</v>
      </c>
      <c r="D788" t="s">
        <v>1947</v>
      </c>
      <c r="E788" t="s">
        <v>11</v>
      </c>
      <c r="F788">
        <v>4</v>
      </c>
      <c r="G788" t="s">
        <v>12</v>
      </c>
      <c r="H788" t="s">
        <v>1948</v>
      </c>
    </row>
    <row r="789" spans="1:8">
      <c r="A789">
        <v>620</v>
      </c>
      <c r="B789" t="s">
        <v>1949</v>
      </c>
      <c r="C789" t="s">
        <v>20</v>
      </c>
      <c r="D789" t="s">
        <v>1950</v>
      </c>
      <c r="E789" t="s">
        <v>11</v>
      </c>
      <c r="F789">
        <v>4</v>
      </c>
      <c r="G789" t="s">
        <v>17</v>
      </c>
      <c r="H789" t="s">
        <v>1951</v>
      </c>
    </row>
    <row r="790" spans="1:8">
      <c r="A790">
        <v>621</v>
      </c>
      <c r="B790" t="s">
        <v>1952</v>
      </c>
      <c r="C790" t="s">
        <v>20</v>
      </c>
      <c r="D790" t="s">
        <v>1953</v>
      </c>
      <c r="E790" t="s">
        <v>11</v>
      </c>
      <c r="F790">
        <v>4</v>
      </c>
      <c r="G790" t="s">
        <v>12</v>
      </c>
      <c r="H790" t="s">
        <v>1954</v>
      </c>
    </row>
    <row r="791" spans="1:8">
      <c r="A791">
        <v>622</v>
      </c>
      <c r="B791" t="s">
        <v>1955</v>
      </c>
      <c r="C791" t="s">
        <v>9</v>
      </c>
      <c r="D791" t="s">
        <v>1956</v>
      </c>
      <c r="E791" t="s">
        <v>16</v>
      </c>
      <c r="F791">
        <v>2</v>
      </c>
      <c r="G791" t="s">
        <v>12</v>
      </c>
      <c r="H791" t="s">
        <v>1957</v>
      </c>
    </row>
    <row r="792" spans="1:8">
      <c r="A792">
        <v>623</v>
      </c>
      <c r="B792" t="s">
        <v>1259</v>
      </c>
      <c r="C792" t="s">
        <v>20</v>
      </c>
      <c r="D792" t="s">
        <v>1958</v>
      </c>
      <c r="E792" t="s">
        <v>33</v>
      </c>
      <c r="F792">
        <v>7</v>
      </c>
      <c r="G792" t="s">
        <v>12</v>
      </c>
      <c r="H792" t="s">
        <v>450</v>
      </c>
    </row>
    <row r="793" spans="1:8">
      <c r="A793">
        <v>624</v>
      </c>
      <c r="B793" t="s">
        <v>1959</v>
      </c>
      <c r="C793" t="s">
        <v>9</v>
      </c>
      <c r="D793" t="s">
        <v>1960</v>
      </c>
      <c r="E793" t="s">
        <v>16</v>
      </c>
      <c r="F793">
        <v>2</v>
      </c>
      <c r="G793" t="s">
        <v>12</v>
      </c>
      <c r="H793" t="s">
        <v>1961</v>
      </c>
    </row>
    <row r="794" spans="1:8">
      <c r="A794">
        <v>625</v>
      </c>
      <c r="B794" t="s">
        <v>233</v>
      </c>
      <c r="C794" t="s">
        <v>20</v>
      </c>
      <c r="D794" t="s">
        <v>1962</v>
      </c>
      <c r="E794" t="s">
        <v>53</v>
      </c>
      <c r="F794">
        <v>5</v>
      </c>
      <c r="G794" t="s">
        <v>12</v>
      </c>
      <c r="H794" t="s">
        <v>1963</v>
      </c>
    </row>
    <row r="795" spans="1:8">
      <c r="A795">
        <v>626</v>
      </c>
      <c r="B795" t="s">
        <v>1132</v>
      </c>
      <c r="C795" t="s">
        <v>20</v>
      </c>
      <c r="D795" t="s">
        <v>1964</v>
      </c>
      <c r="E795" t="s">
        <v>11</v>
      </c>
      <c r="F795">
        <v>4</v>
      </c>
      <c r="G795" t="s">
        <v>12</v>
      </c>
      <c r="H795" t="s">
        <v>1965</v>
      </c>
    </row>
    <row r="796" spans="1:8">
      <c r="A796">
        <v>627</v>
      </c>
      <c r="B796" t="s">
        <v>102</v>
      </c>
      <c r="C796" t="s">
        <v>9</v>
      </c>
      <c r="D796" t="s">
        <v>1966</v>
      </c>
      <c r="E796" t="s">
        <v>16</v>
      </c>
      <c r="F796">
        <v>1</v>
      </c>
      <c r="G796" t="s">
        <v>25</v>
      </c>
      <c r="H796" t="s">
        <v>1967</v>
      </c>
    </row>
    <row r="797" spans="1:8">
      <c r="A797">
        <v>628</v>
      </c>
      <c r="B797" t="s">
        <v>1968</v>
      </c>
      <c r="C797" t="s">
        <v>20</v>
      </c>
      <c r="D797" t="s">
        <v>1969</v>
      </c>
      <c r="E797" t="s">
        <v>43</v>
      </c>
      <c r="F797">
        <v>3</v>
      </c>
      <c r="G797" t="s">
        <v>12</v>
      </c>
      <c r="H797" t="s">
        <v>232</v>
      </c>
    </row>
    <row r="798" spans="1:8">
      <c r="A798">
        <v>629</v>
      </c>
      <c r="B798" t="s">
        <v>1970</v>
      </c>
      <c r="C798" t="s">
        <v>20</v>
      </c>
      <c r="D798" t="s">
        <v>1971</v>
      </c>
      <c r="E798" t="s">
        <v>16</v>
      </c>
      <c r="F798">
        <v>2</v>
      </c>
      <c r="G798" t="s">
        <v>12</v>
      </c>
      <c r="H798" t="s">
        <v>1972</v>
      </c>
    </row>
    <row r="799" spans="1:8">
      <c r="A799">
        <v>630</v>
      </c>
      <c r="B799" t="s">
        <v>1973</v>
      </c>
      <c r="C799" t="s">
        <v>9</v>
      </c>
      <c r="D799" t="s">
        <v>1974</v>
      </c>
      <c r="E799" t="s">
        <v>53</v>
      </c>
      <c r="F799">
        <v>5</v>
      </c>
      <c r="G799" t="s">
        <v>25</v>
      </c>
      <c r="H799" t="s">
        <v>243</v>
      </c>
    </row>
    <row r="800" spans="1:8">
      <c r="A800">
        <v>631</v>
      </c>
      <c r="B800" t="s">
        <v>1666</v>
      </c>
      <c r="C800" t="s">
        <v>9</v>
      </c>
      <c r="D800" t="s">
        <v>1975</v>
      </c>
      <c r="E800" t="s">
        <v>29</v>
      </c>
      <c r="F800">
        <v>6</v>
      </c>
      <c r="G800" t="s">
        <v>12</v>
      </c>
      <c r="H800" t="s">
        <v>1131</v>
      </c>
    </row>
    <row r="801" spans="1:8">
      <c r="A801">
        <v>632</v>
      </c>
      <c r="B801" t="s">
        <v>1976</v>
      </c>
      <c r="C801" t="s">
        <v>20</v>
      </c>
      <c r="D801" t="s">
        <v>1977</v>
      </c>
      <c r="E801" t="s">
        <v>43</v>
      </c>
      <c r="F801">
        <v>3</v>
      </c>
      <c r="G801" t="s">
        <v>12</v>
      </c>
      <c r="H801" t="s">
        <v>1938</v>
      </c>
    </row>
    <row r="802" spans="1:8">
      <c r="A802">
        <v>633</v>
      </c>
      <c r="B802" t="s">
        <v>1978</v>
      </c>
      <c r="C802" t="s">
        <v>20</v>
      </c>
      <c r="D802" t="s">
        <v>1979</v>
      </c>
      <c r="E802" t="s">
        <v>16</v>
      </c>
      <c r="F802">
        <v>1</v>
      </c>
      <c r="G802" t="s">
        <v>17</v>
      </c>
      <c r="H802" t="s">
        <v>489</v>
      </c>
    </row>
    <row r="803" spans="1:8">
      <c r="A803">
        <v>634</v>
      </c>
      <c r="B803" t="s">
        <v>341</v>
      </c>
      <c r="C803" t="s">
        <v>20</v>
      </c>
      <c r="D803" t="s">
        <v>1980</v>
      </c>
      <c r="E803" t="s">
        <v>16</v>
      </c>
      <c r="F803">
        <v>2</v>
      </c>
      <c r="G803" t="s">
        <v>25</v>
      </c>
      <c r="H803" t="s">
        <v>1981</v>
      </c>
    </row>
    <row r="804" spans="1:8">
      <c r="A804">
        <v>635</v>
      </c>
      <c r="B804" t="s">
        <v>1982</v>
      </c>
      <c r="C804" t="s">
        <v>9</v>
      </c>
      <c r="D804" t="s">
        <v>1983</v>
      </c>
      <c r="E804" t="s">
        <v>53</v>
      </c>
      <c r="F804">
        <v>5</v>
      </c>
      <c r="G804" t="s">
        <v>12</v>
      </c>
      <c r="H804" t="s">
        <v>1984</v>
      </c>
    </row>
    <row r="805" spans="1:8">
      <c r="A805">
        <v>636</v>
      </c>
      <c r="B805" t="s">
        <v>956</v>
      </c>
      <c r="C805" t="s">
        <v>20</v>
      </c>
      <c r="D805" t="s">
        <v>1062</v>
      </c>
      <c r="E805" t="s">
        <v>53</v>
      </c>
      <c r="F805">
        <v>5</v>
      </c>
      <c r="G805" t="s">
        <v>12</v>
      </c>
      <c r="H805" t="s">
        <v>1297</v>
      </c>
    </row>
    <row r="806" spans="1:8">
      <c r="A806">
        <v>637</v>
      </c>
      <c r="B806" t="s">
        <v>525</v>
      </c>
      <c r="C806" t="s">
        <v>20</v>
      </c>
      <c r="D806" t="s">
        <v>1985</v>
      </c>
      <c r="E806" t="s">
        <v>53</v>
      </c>
      <c r="F806">
        <v>5</v>
      </c>
      <c r="G806" t="s">
        <v>12</v>
      </c>
      <c r="H806" t="s">
        <v>1986</v>
      </c>
    </row>
    <row r="807" spans="1:8">
      <c r="A807">
        <v>638</v>
      </c>
      <c r="B807" t="s">
        <v>1987</v>
      </c>
      <c r="C807" t="s">
        <v>20</v>
      </c>
      <c r="D807" t="s">
        <v>1988</v>
      </c>
      <c r="E807" t="s">
        <v>16</v>
      </c>
      <c r="F807">
        <v>2</v>
      </c>
      <c r="G807" t="s">
        <v>25</v>
      </c>
      <c r="H807" t="s">
        <v>1989</v>
      </c>
    </row>
    <row r="808" spans="1:8">
      <c r="A808">
        <v>639</v>
      </c>
      <c r="B808" t="s">
        <v>1990</v>
      </c>
      <c r="C808" t="s">
        <v>20</v>
      </c>
      <c r="D808" t="s">
        <v>1991</v>
      </c>
      <c r="E808" t="s">
        <v>11</v>
      </c>
      <c r="F808">
        <v>4</v>
      </c>
      <c r="G808" t="s">
        <v>17</v>
      </c>
      <c r="H808" t="s">
        <v>1753</v>
      </c>
    </row>
    <row r="809" spans="1:8">
      <c r="A809">
        <v>640</v>
      </c>
      <c r="B809" t="s">
        <v>1485</v>
      </c>
      <c r="C809" t="s">
        <v>20</v>
      </c>
      <c r="D809" t="s">
        <v>1992</v>
      </c>
      <c r="E809" t="s">
        <v>16</v>
      </c>
      <c r="F809">
        <v>2</v>
      </c>
      <c r="G809" t="s">
        <v>25</v>
      </c>
      <c r="H809" t="s">
        <v>1993</v>
      </c>
    </row>
    <row r="810" spans="1:8">
      <c r="A810">
        <v>641</v>
      </c>
      <c r="B810" t="s">
        <v>341</v>
      </c>
      <c r="C810" t="s">
        <v>20</v>
      </c>
      <c r="D810" t="s">
        <v>1994</v>
      </c>
      <c r="E810" t="s">
        <v>16</v>
      </c>
      <c r="F810">
        <v>1</v>
      </c>
      <c r="G810" t="s">
        <v>25</v>
      </c>
      <c r="H810" t="s">
        <v>1995</v>
      </c>
    </row>
    <row r="811" spans="1:8">
      <c r="A811">
        <v>642</v>
      </c>
      <c r="B811" t="s">
        <v>1996</v>
      </c>
      <c r="C811" t="s">
        <v>20</v>
      </c>
      <c r="D811" t="s">
        <v>1997</v>
      </c>
      <c r="E811" t="s">
        <v>16</v>
      </c>
      <c r="F811">
        <v>1</v>
      </c>
      <c r="G811" t="s">
        <v>25</v>
      </c>
      <c r="H811" t="s">
        <v>426</v>
      </c>
    </row>
    <row r="812" spans="1:8">
      <c r="A812">
        <v>643</v>
      </c>
      <c r="B812" t="s">
        <v>1998</v>
      </c>
      <c r="C812" t="s">
        <v>9</v>
      </c>
      <c r="D812" t="s">
        <v>1999</v>
      </c>
      <c r="E812" t="s">
        <v>16</v>
      </c>
      <c r="F812">
        <v>1</v>
      </c>
      <c r="G812" t="s">
        <v>12</v>
      </c>
      <c r="H812" t="s">
        <v>2000</v>
      </c>
    </row>
    <row r="813" spans="1:8">
      <c r="A813">
        <v>644</v>
      </c>
      <c r="B813" t="s">
        <v>2001</v>
      </c>
      <c r="C813" t="s">
        <v>20</v>
      </c>
      <c r="D813" t="s">
        <v>2002</v>
      </c>
      <c r="E813" t="s">
        <v>33</v>
      </c>
      <c r="F813">
        <v>7</v>
      </c>
      <c r="G813" t="s">
        <v>12</v>
      </c>
      <c r="H813" t="s">
        <v>2003</v>
      </c>
    </row>
    <row r="814" spans="1:8">
      <c r="A814">
        <v>645</v>
      </c>
      <c r="B814" t="s">
        <v>1003</v>
      </c>
      <c r="C814" t="s">
        <v>9</v>
      </c>
      <c r="D814" t="s">
        <v>2004</v>
      </c>
      <c r="E814" t="s">
        <v>43</v>
      </c>
      <c r="F814">
        <v>3</v>
      </c>
      <c r="G814" t="s">
        <v>12</v>
      </c>
      <c r="H814" t="s">
        <v>2005</v>
      </c>
    </row>
    <row r="815" spans="1:8">
      <c r="A815">
        <v>646</v>
      </c>
      <c r="B815" t="s">
        <v>727</v>
      </c>
      <c r="C815" t="s">
        <v>20</v>
      </c>
      <c r="D815" t="s">
        <v>2006</v>
      </c>
      <c r="E815" t="s">
        <v>11</v>
      </c>
      <c r="F815">
        <v>4</v>
      </c>
      <c r="G815" t="s">
        <v>17</v>
      </c>
      <c r="H815" t="s">
        <v>1600</v>
      </c>
    </row>
    <row r="816" spans="1:8">
      <c r="A816">
        <v>647</v>
      </c>
      <c r="B816" t="s">
        <v>2007</v>
      </c>
      <c r="C816" t="s">
        <v>9</v>
      </c>
      <c r="D816" t="s">
        <v>2008</v>
      </c>
      <c r="E816" t="s">
        <v>29</v>
      </c>
      <c r="F816">
        <v>6</v>
      </c>
      <c r="G816" t="s">
        <v>12</v>
      </c>
      <c r="H816" t="s">
        <v>2009</v>
      </c>
    </row>
    <row r="817" spans="1:8">
      <c r="A817">
        <v>648</v>
      </c>
      <c r="B817" t="s">
        <v>1289</v>
      </c>
      <c r="C817" t="s">
        <v>20</v>
      </c>
      <c r="D817" t="s">
        <v>2010</v>
      </c>
      <c r="E817" t="s">
        <v>16</v>
      </c>
      <c r="F817">
        <v>2</v>
      </c>
      <c r="G817" t="s">
        <v>12</v>
      </c>
      <c r="H817" t="s">
        <v>2011</v>
      </c>
    </row>
    <row r="818" spans="1:8">
      <c r="A818">
        <v>649</v>
      </c>
      <c r="B818" t="s">
        <v>221</v>
      </c>
      <c r="C818" t="s">
        <v>9</v>
      </c>
      <c r="D818" t="s">
        <v>2012</v>
      </c>
      <c r="E818" t="s">
        <v>29</v>
      </c>
      <c r="F818">
        <v>6</v>
      </c>
      <c r="G818" t="s">
        <v>25</v>
      </c>
      <c r="H818" t="s">
        <v>483</v>
      </c>
    </row>
    <row r="819" spans="1:8">
      <c r="A819">
        <v>650</v>
      </c>
      <c r="B819" t="s">
        <v>1289</v>
      </c>
      <c r="C819" t="s">
        <v>20</v>
      </c>
      <c r="D819" t="s">
        <v>2013</v>
      </c>
      <c r="E819" t="s">
        <v>16</v>
      </c>
      <c r="F819">
        <v>1</v>
      </c>
      <c r="G819" t="s">
        <v>12</v>
      </c>
      <c r="H819" t="s">
        <v>2014</v>
      </c>
    </row>
    <row r="820" spans="1:8">
      <c r="A820">
        <v>651</v>
      </c>
      <c r="B820" t="s">
        <v>2015</v>
      </c>
      <c r="C820" t="s">
        <v>20</v>
      </c>
      <c r="D820" t="s">
        <v>603</v>
      </c>
      <c r="E820" t="s">
        <v>29</v>
      </c>
      <c r="F820">
        <v>6</v>
      </c>
      <c r="G820" t="s">
        <v>12</v>
      </c>
      <c r="H820" t="s">
        <v>2016</v>
      </c>
    </row>
    <row r="821" spans="1:8">
      <c r="A821">
        <v>652</v>
      </c>
      <c r="B821" t="s">
        <v>2017</v>
      </c>
      <c r="C821" t="s">
        <v>20</v>
      </c>
      <c r="D821" t="s">
        <v>2018</v>
      </c>
      <c r="E821" t="s">
        <v>43</v>
      </c>
      <c r="F821">
        <v>3</v>
      </c>
      <c r="G821" t="s">
        <v>12</v>
      </c>
      <c r="H821" t="s">
        <v>1758</v>
      </c>
    </row>
    <row r="822" spans="1:8">
      <c r="A822">
        <v>653</v>
      </c>
      <c r="B822" t="s">
        <v>1666</v>
      </c>
      <c r="C822" t="s">
        <v>9</v>
      </c>
      <c r="D822" t="s">
        <v>2019</v>
      </c>
      <c r="E822" t="s">
        <v>11</v>
      </c>
      <c r="F822">
        <v>4</v>
      </c>
      <c r="G822" t="s">
        <v>12</v>
      </c>
      <c r="H822" t="s">
        <v>2020</v>
      </c>
    </row>
    <row r="823" spans="1:8">
      <c r="A823">
        <v>654</v>
      </c>
      <c r="B823" t="s">
        <v>2021</v>
      </c>
      <c r="C823" t="s">
        <v>20</v>
      </c>
      <c r="D823" t="s">
        <v>2022</v>
      </c>
      <c r="E823" t="s">
        <v>53</v>
      </c>
      <c r="F823">
        <v>5</v>
      </c>
      <c r="G823" t="s">
        <v>25</v>
      </c>
      <c r="H823" t="s">
        <v>2023</v>
      </c>
    </row>
    <row r="824" spans="1:8">
      <c r="A824">
        <v>655</v>
      </c>
      <c r="B824" t="s">
        <v>645</v>
      </c>
      <c r="C824" t="s">
        <v>20</v>
      </c>
      <c r="D824" t="s">
        <v>2024</v>
      </c>
      <c r="E824" t="s">
        <v>43</v>
      </c>
      <c r="F824">
        <v>3</v>
      </c>
      <c r="G824" t="s">
        <v>25</v>
      </c>
      <c r="H824" t="s">
        <v>1264</v>
      </c>
    </row>
    <row r="825" spans="1:8">
      <c r="A825">
        <v>656</v>
      </c>
      <c r="B825" t="s">
        <v>1470</v>
      </c>
      <c r="C825" t="s">
        <v>9</v>
      </c>
      <c r="D825" t="s">
        <v>2025</v>
      </c>
      <c r="E825" t="s">
        <v>16</v>
      </c>
      <c r="F825">
        <v>2</v>
      </c>
      <c r="G825" t="s">
        <v>17</v>
      </c>
      <c r="H825" t="s">
        <v>2026</v>
      </c>
    </row>
    <row r="826" spans="1:8">
      <c r="A826">
        <v>657</v>
      </c>
      <c r="B826" t="s">
        <v>899</v>
      </c>
      <c r="C826" t="s">
        <v>20</v>
      </c>
      <c r="D826" t="s">
        <v>2027</v>
      </c>
      <c r="E826" t="s">
        <v>11</v>
      </c>
      <c r="F826">
        <v>4</v>
      </c>
      <c r="G826" t="s">
        <v>25</v>
      </c>
      <c r="H826" t="s">
        <v>337</v>
      </c>
    </row>
    <row r="827" spans="1:8">
      <c r="A827">
        <v>658</v>
      </c>
      <c r="B827" t="s">
        <v>1593</v>
      </c>
      <c r="C827" t="s">
        <v>9</v>
      </c>
      <c r="D827" t="s">
        <v>2028</v>
      </c>
      <c r="E827" t="s">
        <v>33</v>
      </c>
      <c r="F827">
        <v>7</v>
      </c>
      <c r="G827" t="s">
        <v>12</v>
      </c>
      <c r="H827" t="s">
        <v>2029</v>
      </c>
    </row>
    <row r="828" spans="1:8">
      <c r="A828">
        <v>659</v>
      </c>
      <c r="B828" t="s">
        <v>816</v>
      </c>
      <c r="C828" t="s">
        <v>20</v>
      </c>
      <c r="D828" t="s">
        <v>2030</v>
      </c>
      <c r="E828" t="s">
        <v>16</v>
      </c>
      <c r="F828">
        <v>2</v>
      </c>
      <c r="G828" t="s">
        <v>17</v>
      </c>
      <c r="H828" t="s">
        <v>1506</v>
      </c>
    </row>
    <row r="829" spans="1:8">
      <c r="A829">
        <v>660</v>
      </c>
      <c r="B829" t="s">
        <v>645</v>
      </c>
      <c r="C829" t="s">
        <v>20</v>
      </c>
      <c r="D829" t="s">
        <v>2031</v>
      </c>
      <c r="E829" t="s">
        <v>33</v>
      </c>
      <c r="F829">
        <v>7</v>
      </c>
      <c r="G829" t="s">
        <v>25</v>
      </c>
      <c r="H829" t="s">
        <v>1630</v>
      </c>
    </row>
    <row r="830" spans="1:8">
      <c r="A830">
        <v>661</v>
      </c>
      <c r="B830" t="s">
        <v>2032</v>
      </c>
      <c r="C830" t="s">
        <v>9</v>
      </c>
      <c r="D830" t="s">
        <v>2033</v>
      </c>
      <c r="E830" t="s">
        <v>11</v>
      </c>
      <c r="F830">
        <v>4</v>
      </c>
      <c r="G830" t="s">
        <v>17</v>
      </c>
      <c r="H830" t="s">
        <v>860</v>
      </c>
    </row>
    <row r="831" spans="1:8">
      <c r="A831">
        <v>662</v>
      </c>
      <c r="B831" t="s">
        <v>1265</v>
      </c>
      <c r="C831" t="s">
        <v>9</v>
      </c>
      <c r="D831" t="s">
        <v>2034</v>
      </c>
      <c r="E831" t="s">
        <v>33</v>
      </c>
      <c r="F831">
        <v>7</v>
      </c>
      <c r="G831" t="s">
        <v>12</v>
      </c>
      <c r="H831" t="s">
        <v>1603</v>
      </c>
    </row>
    <row r="832" spans="1:8">
      <c r="A832">
        <v>663</v>
      </c>
      <c r="B832" t="s">
        <v>619</v>
      </c>
      <c r="C832" t="s">
        <v>9</v>
      </c>
      <c r="D832" t="s">
        <v>2035</v>
      </c>
      <c r="E832" t="s">
        <v>29</v>
      </c>
      <c r="F832">
        <v>6</v>
      </c>
      <c r="G832" t="s">
        <v>12</v>
      </c>
      <c r="H832" t="s">
        <v>2036</v>
      </c>
    </row>
    <row r="833" spans="1:8">
      <c r="A833">
        <v>664</v>
      </c>
      <c r="B833" t="s">
        <v>2037</v>
      </c>
      <c r="C833" t="s">
        <v>9</v>
      </c>
      <c r="D833" t="s">
        <v>2038</v>
      </c>
      <c r="E833" t="s">
        <v>43</v>
      </c>
      <c r="F833">
        <v>3</v>
      </c>
      <c r="G833" t="s">
        <v>12</v>
      </c>
      <c r="H833" t="s">
        <v>2039</v>
      </c>
    </row>
    <row r="834" spans="1:8">
      <c r="A834">
        <v>665</v>
      </c>
      <c r="B834" t="s">
        <v>120</v>
      </c>
      <c r="C834" t="s">
        <v>9</v>
      </c>
      <c r="D834" t="s">
        <v>2040</v>
      </c>
      <c r="E834" t="s">
        <v>16</v>
      </c>
      <c r="F834">
        <v>2</v>
      </c>
      <c r="G834" t="s">
        <v>17</v>
      </c>
      <c r="H834" t="s">
        <v>2041</v>
      </c>
    </row>
    <row r="835" spans="1:8">
      <c r="A835">
        <v>666</v>
      </c>
      <c r="B835" t="s">
        <v>1147</v>
      </c>
      <c r="C835" t="s">
        <v>9</v>
      </c>
      <c r="D835" t="s">
        <v>1083</v>
      </c>
      <c r="E835" t="s">
        <v>43</v>
      </c>
      <c r="F835">
        <v>3</v>
      </c>
      <c r="G835" t="s">
        <v>12</v>
      </c>
      <c r="H835" t="s">
        <v>2042</v>
      </c>
    </row>
    <row r="836" spans="1:8">
      <c r="A836">
        <v>667</v>
      </c>
      <c r="B836" t="s">
        <v>1096</v>
      </c>
      <c r="C836" t="s">
        <v>20</v>
      </c>
      <c r="D836" t="s">
        <v>2043</v>
      </c>
      <c r="E836" t="s">
        <v>33</v>
      </c>
      <c r="F836">
        <v>7</v>
      </c>
      <c r="G836" t="s">
        <v>25</v>
      </c>
      <c r="H836" t="s">
        <v>2044</v>
      </c>
    </row>
    <row r="837" spans="1:8">
      <c r="A837">
        <v>668</v>
      </c>
      <c r="B837" t="s">
        <v>404</v>
      </c>
      <c r="C837" t="s">
        <v>20</v>
      </c>
      <c r="D837" t="s">
        <v>2045</v>
      </c>
      <c r="E837" t="s">
        <v>16</v>
      </c>
      <c r="F837">
        <v>1</v>
      </c>
      <c r="G837" t="s">
        <v>12</v>
      </c>
      <c r="H837" t="s">
        <v>2046</v>
      </c>
    </row>
    <row r="838" spans="1:8">
      <c r="A838">
        <v>669</v>
      </c>
      <c r="B838" t="s">
        <v>2047</v>
      </c>
      <c r="C838" t="s">
        <v>9</v>
      </c>
      <c r="D838" t="s">
        <v>2048</v>
      </c>
      <c r="E838" t="s">
        <v>43</v>
      </c>
      <c r="F838">
        <v>3</v>
      </c>
      <c r="G838" t="s">
        <v>12</v>
      </c>
      <c r="H838" t="s">
        <v>2049</v>
      </c>
    </row>
    <row r="839" spans="1:8">
      <c r="A839">
        <v>670</v>
      </c>
      <c r="B839" t="s">
        <v>2050</v>
      </c>
      <c r="C839" t="s">
        <v>9</v>
      </c>
      <c r="D839" t="s">
        <v>2051</v>
      </c>
      <c r="E839" t="s">
        <v>53</v>
      </c>
      <c r="F839">
        <v>5</v>
      </c>
      <c r="G839" t="s">
        <v>12</v>
      </c>
      <c r="H839" t="s">
        <v>2052</v>
      </c>
    </row>
    <row r="840" spans="1:8">
      <c r="A840">
        <v>671</v>
      </c>
      <c r="B840" t="s">
        <v>171</v>
      </c>
      <c r="C840" t="s">
        <v>9</v>
      </c>
      <c r="D840" t="s">
        <v>2053</v>
      </c>
      <c r="E840" t="s">
        <v>33</v>
      </c>
      <c r="F840">
        <v>7</v>
      </c>
      <c r="G840" t="s">
        <v>12</v>
      </c>
      <c r="H840" t="s">
        <v>2054</v>
      </c>
    </row>
    <row r="841" spans="1:8">
      <c r="A841">
        <v>672</v>
      </c>
      <c r="B841" t="s">
        <v>476</v>
      </c>
      <c r="C841" t="s">
        <v>9</v>
      </c>
      <c r="D841" t="s">
        <v>2055</v>
      </c>
      <c r="E841" t="s">
        <v>16</v>
      </c>
      <c r="F841">
        <v>1</v>
      </c>
      <c r="G841" t="s">
        <v>17</v>
      </c>
      <c r="H841" t="s">
        <v>1060</v>
      </c>
    </row>
    <row r="842" spans="1:8">
      <c r="A842">
        <v>673</v>
      </c>
      <c r="B842" t="s">
        <v>64</v>
      </c>
      <c r="C842" t="s">
        <v>20</v>
      </c>
      <c r="D842" t="s">
        <v>2056</v>
      </c>
      <c r="E842" t="s">
        <v>53</v>
      </c>
      <c r="F842">
        <v>5</v>
      </c>
      <c r="G842" t="s">
        <v>12</v>
      </c>
      <c r="H842" t="s">
        <v>2057</v>
      </c>
    </row>
    <row r="843" spans="1:8">
      <c r="A843">
        <v>674</v>
      </c>
      <c r="B843" t="s">
        <v>2058</v>
      </c>
      <c r="C843" t="s">
        <v>20</v>
      </c>
      <c r="D843" t="s">
        <v>2059</v>
      </c>
      <c r="E843" t="s">
        <v>16</v>
      </c>
      <c r="F843">
        <v>1</v>
      </c>
      <c r="G843" t="s">
        <v>25</v>
      </c>
      <c r="H843" t="s">
        <v>2060</v>
      </c>
    </row>
    <row r="844" spans="1:8">
      <c r="A844">
        <v>675</v>
      </c>
      <c r="B844" t="s">
        <v>966</v>
      </c>
      <c r="C844" t="s">
        <v>9</v>
      </c>
      <c r="D844" t="s">
        <v>2061</v>
      </c>
      <c r="E844" t="s">
        <v>53</v>
      </c>
      <c r="F844">
        <v>5</v>
      </c>
      <c r="G844" t="s">
        <v>17</v>
      </c>
      <c r="H844" t="s">
        <v>2062</v>
      </c>
    </row>
    <row r="845" spans="1:8">
      <c r="A845">
        <v>676</v>
      </c>
      <c r="B845" t="s">
        <v>8</v>
      </c>
      <c r="C845" t="s">
        <v>9</v>
      </c>
      <c r="D845" t="s">
        <v>2063</v>
      </c>
      <c r="E845" t="s">
        <v>43</v>
      </c>
      <c r="F845">
        <v>3</v>
      </c>
      <c r="G845" t="s">
        <v>12</v>
      </c>
      <c r="H845" t="s">
        <v>447</v>
      </c>
    </row>
    <row r="846" spans="1:8">
      <c r="A846">
        <v>677</v>
      </c>
      <c r="B846" t="s">
        <v>933</v>
      </c>
      <c r="C846" t="s">
        <v>9</v>
      </c>
      <c r="D846" t="s">
        <v>2064</v>
      </c>
      <c r="E846" t="s">
        <v>33</v>
      </c>
      <c r="F846">
        <v>7</v>
      </c>
      <c r="G846" t="s">
        <v>25</v>
      </c>
      <c r="H846" t="s">
        <v>2065</v>
      </c>
    </row>
    <row r="847" spans="1:8">
      <c r="A847">
        <v>678</v>
      </c>
      <c r="B847" t="s">
        <v>2066</v>
      </c>
      <c r="C847" t="s">
        <v>20</v>
      </c>
      <c r="D847" t="s">
        <v>2067</v>
      </c>
      <c r="E847" t="s">
        <v>16</v>
      </c>
      <c r="F847">
        <v>2</v>
      </c>
      <c r="G847" t="s">
        <v>25</v>
      </c>
      <c r="H847" t="s">
        <v>2068</v>
      </c>
    </row>
    <row r="848" spans="1:8">
      <c r="A848">
        <v>679</v>
      </c>
      <c r="B848" t="s">
        <v>2069</v>
      </c>
      <c r="C848" t="s">
        <v>20</v>
      </c>
      <c r="D848" t="s">
        <v>240</v>
      </c>
      <c r="E848" t="s">
        <v>29</v>
      </c>
      <c r="F848">
        <v>6</v>
      </c>
      <c r="G848" t="s">
        <v>25</v>
      </c>
      <c r="H848" t="s">
        <v>857</v>
      </c>
    </row>
    <row r="849" spans="1:8">
      <c r="A849">
        <v>680</v>
      </c>
      <c r="B849" t="s">
        <v>1727</v>
      </c>
      <c r="C849" t="s">
        <v>9</v>
      </c>
      <c r="D849" t="s">
        <v>2070</v>
      </c>
      <c r="E849" t="s">
        <v>16</v>
      </c>
      <c r="F849">
        <v>1</v>
      </c>
      <c r="G849" t="s">
        <v>17</v>
      </c>
      <c r="H849" t="s">
        <v>2071</v>
      </c>
    </row>
    <row r="850" spans="1:8">
      <c r="A850">
        <v>681</v>
      </c>
      <c r="B850" t="s">
        <v>2072</v>
      </c>
      <c r="C850" t="s">
        <v>20</v>
      </c>
      <c r="D850" t="s">
        <v>2073</v>
      </c>
      <c r="E850" t="s">
        <v>11</v>
      </c>
      <c r="F850">
        <v>4</v>
      </c>
      <c r="G850" t="s">
        <v>17</v>
      </c>
      <c r="H850" t="s">
        <v>2074</v>
      </c>
    </row>
    <row r="851" spans="1:8">
      <c r="A851">
        <v>682</v>
      </c>
      <c r="B851" t="s">
        <v>1952</v>
      </c>
      <c r="C851" t="s">
        <v>20</v>
      </c>
      <c r="D851" t="s">
        <v>2070</v>
      </c>
      <c r="E851" t="s">
        <v>11</v>
      </c>
      <c r="F851">
        <v>4</v>
      </c>
      <c r="G851" t="s">
        <v>25</v>
      </c>
      <c r="H851" t="s">
        <v>223</v>
      </c>
    </row>
    <row r="852" spans="1:8">
      <c r="A852">
        <v>683</v>
      </c>
      <c r="B852" t="s">
        <v>2075</v>
      </c>
      <c r="C852" t="s">
        <v>9</v>
      </c>
      <c r="D852" t="s">
        <v>2076</v>
      </c>
      <c r="E852" t="s">
        <v>16</v>
      </c>
      <c r="F852">
        <v>2</v>
      </c>
      <c r="G852" t="s">
        <v>12</v>
      </c>
      <c r="H852" t="s">
        <v>2077</v>
      </c>
    </row>
    <row r="853" spans="1:8">
      <c r="A853">
        <v>684</v>
      </c>
      <c r="B853" t="s">
        <v>1029</v>
      </c>
      <c r="C853" t="s">
        <v>20</v>
      </c>
      <c r="D853" t="s">
        <v>2078</v>
      </c>
      <c r="E853" t="s">
        <v>53</v>
      </c>
      <c r="F853">
        <v>5</v>
      </c>
      <c r="G853" t="s">
        <v>25</v>
      </c>
      <c r="H853" t="s">
        <v>95</v>
      </c>
    </row>
    <row r="854" spans="1:8">
      <c r="A854">
        <v>685</v>
      </c>
      <c r="B854" t="s">
        <v>1164</v>
      </c>
      <c r="C854" t="s">
        <v>20</v>
      </c>
      <c r="D854" t="s">
        <v>2079</v>
      </c>
      <c r="E854" t="s">
        <v>11</v>
      </c>
      <c r="F854">
        <v>4</v>
      </c>
      <c r="G854" t="s">
        <v>25</v>
      </c>
      <c r="H854" t="s">
        <v>2080</v>
      </c>
    </row>
    <row r="855" spans="1:8">
      <c r="A855">
        <v>686</v>
      </c>
      <c r="B855" t="s">
        <v>2081</v>
      </c>
      <c r="C855" t="s">
        <v>9</v>
      </c>
      <c r="D855" t="s">
        <v>2082</v>
      </c>
      <c r="E855" t="s">
        <v>53</v>
      </c>
      <c r="F855">
        <v>5</v>
      </c>
      <c r="G855" t="s">
        <v>25</v>
      </c>
      <c r="H855" t="s">
        <v>2083</v>
      </c>
    </row>
    <row r="856" spans="1:8">
      <c r="A856">
        <v>687</v>
      </c>
      <c r="B856" t="s">
        <v>2084</v>
      </c>
      <c r="C856" t="s">
        <v>9</v>
      </c>
      <c r="D856" t="s">
        <v>2085</v>
      </c>
      <c r="E856" t="s">
        <v>43</v>
      </c>
      <c r="F856">
        <v>3</v>
      </c>
      <c r="G856" t="s">
        <v>25</v>
      </c>
      <c r="H856" t="s">
        <v>2086</v>
      </c>
    </row>
    <row r="857" spans="1:8">
      <c r="A857">
        <v>688</v>
      </c>
      <c r="B857" t="s">
        <v>93</v>
      </c>
      <c r="C857" t="s">
        <v>9</v>
      </c>
      <c r="D857" t="s">
        <v>2087</v>
      </c>
      <c r="E857" t="s">
        <v>11</v>
      </c>
      <c r="F857">
        <v>4</v>
      </c>
      <c r="G857" t="s">
        <v>12</v>
      </c>
      <c r="H857" t="s">
        <v>917</v>
      </c>
    </row>
    <row r="858" spans="1:8">
      <c r="A858">
        <v>689</v>
      </c>
      <c r="B858" t="s">
        <v>1122</v>
      </c>
      <c r="C858" t="s">
        <v>20</v>
      </c>
      <c r="D858" t="s">
        <v>2088</v>
      </c>
      <c r="E858" t="s">
        <v>11</v>
      </c>
      <c r="F858">
        <v>4</v>
      </c>
      <c r="G858" t="s">
        <v>12</v>
      </c>
      <c r="H858" t="s">
        <v>275</v>
      </c>
    </row>
    <row r="859" spans="1:8">
      <c r="A859">
        <v>690</v>
      </c>
      <c r="B859" t="s">
        <v>1284</v>
      </c>
      <c r="C859" t="s">
        <v>20</v>
      </c>
      <c r="D859" t="s">
        <v>2089</v>
      </c>
      <c r="E859" t="s">
        <v>16</v>
      </c>
      <c r="F859">
        <v>1</v>
      </c>
      <c r="G859" t="s">
        <v>25</v>
      </c>
      <c r="H859" t="s">
        <v>2090</v>
      </c>
    </row>
    <row r="860" spans="1:8">
      <c r="A860">
        <v>691</v>
      </c>
      <c r="B860" t="s">
        <v>2091</v>
      </c>
      <c r="C860" t="s">
        <v>20</v>
      </c>
      <c r="D860" t="s">
        <v>2092</v>
      </c>
      <c r="E860" t="s">
        <v>11</v>
      </c>
      <c r="F860">
        <v>4</v>
      </c>
      <c r="G860" t="s">
        <v>25</v>
      </c>
      <c r="H860" t="s">
        <v>2093</v>
      </c>
    </row>
    <row r="861" spans="1:8">
      <c r="A861">
        <v>692</v>
      </c>
      <c r="B861" t="s">
        <v>2094</v>
      </c>
      <c r="C861" t="s">
        <v>9</v>
      </c>
      <c r="D861" t="s">
        <v>2095</v>
      </c>
      <c r="E861" t="s">
        <v>29</v>
      </c>
      <c r="F861">
        <v>6</v>
      </c>
      <c r="G861" t="s">
        <v>12</v>
      </c>
      <c r="H861" t="s">
        <v>2096</v>
      </c>
    </row>
    <row r="862" spans="1:8">
      <c r="A862">
        <v>693</v>
      </c>
      <c r="B862" t="s">
        <v>218</v>
      </c>
      <c r="C862" t="s">
        <v>9</v>
      </c>
      <c r="D862" t="s">
        <v>2097</v>
      </c>
      <c r="E862" t="s">
        <v>33</v>
      </c>
      <c r="F862">
        <v>7</v>
      </c>
      <c r="G862" t="s">
        <v>12</v>
      </c>
      <c r="H862" t="s">
        <v>2098</v>
      </c>
    </row>
    <row r="863" spans="1:8">
      <c r="A863">
        <v>694</v>
      </c>
      <c r="B863" t="s">
        <v>759</v>
      </c>
      <c r="C863" t="s">
        <v>9</v>
      </c>
      <c r="D863" t="s">
        <v>2099</v>
      </c>
      <c r="E863" t="s">
        <v>11</v>
      </c>
      <c r="F863">
        <v>4</v>
      </c>
      <c r="G863" t="s">
        <v>12</v>
      </c>
      <c r="H863" t="s">
        <v>2100</v>
      </c>
    </row>
    <row r="864" spans="1:8">
      <c r="A864">
        <v>695</v>
      </c>
      <c r="B864" t="s">
        <v>2101</v>
      </c>
      <c r="C864" t="s">
        <v>9</v>
      </c>
      <c r="D864" t="s">
        <v>2102</v>
      </c>
      <c r="E864" t="s">
        <v>33</v>
      </c>
      <c r="F864">
        <v>7</v>
      </c>
      <c r="G864" t="s">
        <v>17</v>
      </c>
      <c r="H864" t="s">
        <v>2103</v>
      </c>
    </row>
    <row r="865" spans="1:8">
      <c r="A865">
        <v>696</v>
      </c>
      <c r="B865" t="s">
        <v>1204</v>
      </c>
      <c r="C865" t="s">
        <v>9</v>
      </c>
      <c r="D865" t="s">
        <v>2104</v>
      </c>
      <c r="E865" t="s">
        <v>16</v>
      </c>
      <c r="F865">
        <v>2</v>
      </c>
      <c r="G865" t="s">
        <v>25</v>
      </c>
      <c r="H865" t="s">
        <v>2105</v>
      </c>
    </row>
    <row r="866" spans="1:8">
      <c r="A866">
        <v>697</v>
      </c>
      <c r="B866" t="s">
        <v>2106</v>
      </c>
      <c r="C866" t="s">
        <v>20</v>
      </c>
      <c r="D866" t="s">
        <v>2107</v>
      </c>
      <c r="E866" t="s">
        <v>53</v>
      </c>
      <c r="F866">
        <v>5</v>
      </c>
      <c r="G866" t="s">
        <v>25</v>
      </c>
      <c r="H866" t="s">
        <v>2108</v>
      </c>
    </row>
    <row r="867" spans="1:8">
      <c r="A867">
        <v>698</v>
      </c>
      <c r="B867" t="s">
        <v>2109</v>
      </c>
      <c r="C867" t="s">
        <v>20</v>
      </c>
      <c r="D867" t="s">
        <v>632</v>
      </c>
      <c r="E867" t="s">
        <v>43</v>
      </c>
      <c r="F867">
        <v>3</v>
      </c>
      <c r="G867" t="s">
        <v>12</v>
      </c>
      <c r="H867" t="s">
        <v>2110</v>
      </c>
    </row>
    <row r="868" spans="1:8">
      <c r="A868">
        <v>699</v>
      </c>
      <c r="B868" t="s">
        <v>335</v>
      </c>
      <c r="C868" t="s">
        <v>20</v>
      </c>
      <c r="D868" t="s">
        <v>2111</v>
      </c>
      <c r="E868" t="s">
        <v>33</v>
      </c>
      <c r="F868">
        <v>7</v>
      </c>
      <c r="G868" t="s">
        <v>17</v>
      </c>
      <c r="H868" t="s">
        <v>428</v>
      </c>
    </row>
    <row r="869" spans="1:8">
      <c r="A869">
        <v>700</v>
      </c>
      <c r="B869" t="s">
        <v>353</v>
      </c>
      <c r="C869" t="s">
        <v>9</v>
      </c>
      <c r="D869" t="s">
        <v>2112</v>
      </c>
      <c r="E869" t="s">
        <v>29</v>
      </c>
      <c r="F869">
        <v>6</v>
      </c>
      <c r="G869" t="s">
        <v>25</v>
      </c>
      <c r="H869" t="s">
        <v>2113</v>
      </c>
    </row>
    <row r="870" spans="1:8">
      <c r="A870">
        <v>701</v>
      </c>
      <c r="B870" t="s">
        <v>31</v>
      </c>
      <c r="C870" t="s">
        <v>9</v>
      </c>
      <c r="D870" t="s">
        <v>2114</v>
      </c>
      <c r="E870" t="s">
        <v>43</v>
      </c>
      <c r="F870">
        <v>3</v>
      </c>
      <c r="G870" t="s">
        <v>12</v>
      </c>
      <c r="H870" t="s">
        <v>2115</v>
      </c>
    </row>
    <row r="871" spans="1:8">
      <c r="A871">
        <v>702</v>
      </c>
      <c r="B871" t="s">
        <v>2116</v>
      </c>
      <c r="C871" t="s">
        <v>9</v>
      </c>
      <c r="D871" t="s">
        <v>2117</v>
      </c>
      <c r="E871" t="s">
        <v>16</v>
      </c>
      <c r="F871">
        <v>2</v>
      </c>
      <c r="G871" t="s">
        <v>25</v>
      </c>
      <c r="H871" t="s">
        <v>963</v>
      </c>
    </row>
    <row r="872" spans="1:8">
      <c r="A872">
        <v>703</v>
      </c>
      <c r="B872" t="s">
        <v>651</v>
      </c>
      <c r="C872" t="s">
        <v>9</v>
      </c>
      <c r="D872" t="s">
        <v>127</v>
      </c>
      <c r="E872" t="s">
        <v>53</v>
      </c>
      <c r="F872">
        <v>5</v>
      </c>
      <c r="G872" t="s">
        <v>12</v>
      </c>
      <c r="H872" t="s">
        <v>2118</v>
      </c>
    </row>
    <row r="873" spans="1:8">
      <c r="A873">
        <v>704</v>
      </c>
      <c r="B873" t="s">
        <v>994</v>
      </c>
      <c r="C873" t="s">
        <v>9</v>
      </c>
      <c r="D873" t="s">
        <v>2119</v>
      </c>
      <c r="E873" t="s">
        <v>11</v>
      </c>
      <c r="F873">
        <v>4</v>
      </c>
      <c r="G873" t="s">
        <v>25</v>
      </c>
      <c r="H873" t="s">
        <v>191</v>
      </c>
    </row>
    <row r="874" spans="1:8">
      <c r="A874">
        <v>705</v>
      </c>
      <c r="B874" t="s">
        <v>1686</v>
      </c>
      <c r="C874" t="s">
        <v>20</v>
      </c>
      <c r="D874" t="s">
        <v>2120</v>
      </c>
      <c r="E874" t="s">
        <v>29</v>
      </c>
      <c r="F874">
        <v>6</v>
      </c>
      <c r="G874" t="s">
        <v>12</v>
      </c>
      <c r="H874" t="s">
        <v>2121</v>
      </c>
    </row>
    <row r="875" spans="1:8">
      <c r="A875">
        <v>706</v>
      </c>
      <c r="B875" t="s">
        <v>959</v>
      </c>
      <c r="C875" t="s">
        <v>9</v>
      </c>
      <c r="D875" t="s">
        <v>2122</v>
      </c>
      <c r="E875" t="s">
        <v>11</v>
      </c>
      <c r="F875">
        <v>4</v>
      </c>
      <c r="G875" t="s">
        <v>17</v>
      </c>
      <c r="H875" t="s">
        <v>2123</v>
      </c>
    </row>
    <row r="876" spans="1:8">
      <c r="A876">
        <v>707</v>
      </c>
      <c r="B876" t="s">
        <v>2124</v>
      </c>
      <c r="C876" t="s">
        <v>9</v>
      </c>
      <c r="D876" t="s">
        <v>2125</v>
      </c>
      <c r="E876" t="s">
        <v>16</v>
      </c>
      <c r="F876">
        <v>2</v>
      </c>
      <c r="G876" t="s">
        <v>12</v>
      </c>
      <c r="H876" t="s">
        <v>2126</v>
      </c>
    </row>
    <row r="877" spans="1:8">
      <c r="A877">
        <v>708</v>
      </c>
      <c r="B877" t="s">
        <v>822</v>
      </c>
      <c r="C877" t="s">
        <v>20</v>
      </c>
      <c r="D877" t="s">
        <v>2127</v>
      </c>
      <c r="E877" t="s">
        <v>16</v>
      </c>
      <c r="F877">
        <v>2</v>
      </c>
      <c r="G877" t="s">
        <v>12</v>
      </c>
      <c r="H877" t="s">
        <v>2128</v>
      </c>
    </row>
    <row r="878" spans="1:8">
      <c r="A878">
        <v>709</v>
      </c>
      <c r="B878" t="s">
        <v>1006</v>
      </c>
      <c r="C878" t="s">
        <v>20</v>
      </c>
      <c r="D878" t="s">
        <v>2129</v>
      </c>
      <c r="E878" t="s">
        <v>16</v>
      </c>
      <c r="F878">
        <v>1</v>
      </c>
      <c r="G878" t="s">
        <v>25</v>
      </c>
      <c r="H878" t="s">
        <v>2130</v>
      </c>
    </row>
    <row r="879" spans="1:8">
      <c r="A879">
        <v>710</v>
      </c>
      <c r="B879" t="s">
        <v>790</v>
      </c>
      <c r="C879" t="s">
        <v>9</v>
      </c>
      <c r="D879" t="s">
        <v>2131</v>
      </c>
      <c r="E879" t="s">
        <v>43</v>
      </c>
      <c r="F879">
        <v>3</v>
      </c>
      <c r="G879" t="s">
        <v>25</v>
      </c>
      <c r="H879" t="s">
        <v>455</v>
      </c>
    </row>
    <row r="880" spans="1:8">
      <c r="A880">
        <v>711</v>
      </c>
      <c r="B880" t="s">
        <v>2132</v>
      </c>
      <c r="C880" t="s">
        <v>20</v>
      </c>
      <c r="D880" t="s">
        <v>2133</v>
      </c>
      <c r="E880" t="s">
        <v>29</v>
      </c>
      <c r="F880">
        <v>6</v>
      </c>
      <c r="G880" t="s">
        <v>12</v>
      </c>
      <c r="H880" t="s">
        <v>2134</v>
      </c>
    </row>
    <row r="881" spans="1:8">
      <c r="A881">
        <v>712</v>
      </c>
      <c r="B881" t="s">
        <v>2135</v>
      </c>
      <c r="C881" t="s">
        <v>9</v>
      </c>
      <c r="D881" t="s">
        <v>2136</v>
      </c>
      <c r="E881" t="s">
        <v>29</v>
      </c>
      <c r="F881">
        <v>6</v>
      </c>
      <c r="G881" t="s">
        <v>12</v>
      </c>
      <c r="H881" t="s">
        <v>2137</v>
      </c>
    </row>
    <row r="882" spans="1:8">
      <c r="A882">
        <v>713</v>
      </c>
      <c r="B882" t="s">
        <v>2138</v>
      </c>
      <c r="C882" t="s">
        <v>20</v>
      </c>
      <c r="D882" t="s">
        <v>2139</v>
      </c>
      <c r="E882" t="s">
        <v>11</v>
      </c>
      <c r="F882">
        <v>4</v>
      </c>
      <c r="G882" t="s">
        <v>17</v>
      </c>
      <c r="H882" t="s">
        <v>2140</v>
      </c>
    </row>
    <row r="883" spans="1:8">
      <c r="A883">
        <v>714</v>
      </c>
      <c r="B883" t="s">
        <v>2015</v>
      </c>
      <c r="C883" t="s">
        <v>20</v>
      </c>
      <c r="D883" t="s">
        <v>2141</v>
      </c>
      <c r="E883" t="s">
        <v>16</v>
      </c>
      <c r="F883">
        <v>1</v>
      </c>
      <c r="G883" t="s">
        <v>12</v>
      </c>
      <c r="H883" t="s">
        <v>555</v>
      </c>
    </row>
    <row r="884" spans="1:8">
      <c r="A884">
        <v>715</v>
      </c>
      <c r="B884" t="s">
        <v>1786</v>
      </c>
      <c r="C884" t="s">
        <v>9</v>
      </c>
      <c r="D884" t="s">
        <v>2142</v>
      </c>
      <c r="E884" t="s">
        <v>43</v>
      </c>
      <c r="F884">
        <v>3</v>
      </c>
      <c r="G884" t="s">
        <v>25</v>
      </c>
      <c r="H884" t="s">
        <v>2143</v>
      </c>
    </row>
    <row r="885" spans="1:8">
      <c r="A885">
        <v>716</v>
      </c>
      <c r="B885" t="s">
        <v>2144</v>
      </c>
      <c r="C885" t="s">
        <v>20</v>
      </c>
      <c r="D885" t="s">
        <v>2145</v>
      </c>
      <c r="E885" t="s">
        <v>16</v>
      </c>
      <c r="F885">
        <v>2</v>
      </c>
      <c r="G885" t="s">
        <v>12</v>
      </c>
      <c r="H885" t="s">
        <v>1746</v>
      </c>
    </row>
    <row r="886" spans="1:8">
      <c r="A886">
        <v>717</v>
      </c>
      <c r="B886" t="s">
        <v>2015</v>
      </c>
      <c r="C886" t="s">
        <v>20</v>
      </c>
      <c r="D886" t="s">
        <v>2146</v>
      </c>
      <c r="E886" t="s">
        <v>29</v>
      </c>
      <c r="F886">
        <v>6</v>
      </c>
      <c r="G886" t="s">
        <v>12</v>
      </c>
      <c r="H886" t="s">
        <v>188</v>
      </c>
    </row>
    <row r="887" spans="1:8">
      <c r="A887">
        <v>718</v>
      </c>
      <c r="B887" t="s">
        <v>2147</v>
      </c>
      <c r="C887" t="s">
        <v>20</v>
      </c>
      <c r="D887" t="s">
        <v>2148</v>
      </c>
      <c r="E887" t="s">
        <v>16</v>
      </c>
      <c r="F887">
        <v>2</v>
      </c>
      <c r="G887" t="s">
        <v>25</v>
      </c>
      <c r="H887" t="s">
        <v>2149</v>
      </c>
    </row>
    <row r="888" spans="1:8">
      <c r="A888">
        <v>719</v>
      </c>
      <c r="B888" t="s">
        <v>528</v>
      </c>
      <c r="C888" t="s">
        <v>9</v>
      </c>
      <c r="D888" t="s">
        <v>2150</v>
      </c>
      <c r="E888" t="s">
        <v>43</v>
      </c>
      <c r="F888">
        <v>3</v>
      </c>
      <c r="G888" t="s">
        <v>17</v>
      </c>
      <c r="H888" t="s">
        <v>527</v>
      </c>
    </row>
    <row r="889" spans="1:8">
      <c r="A889">
        <v>720</v>
      </c>
      <c r="B889" t="s">
        <v>839</v>
      </c>
      <c r="C889" t="s">
        <v>20</v>
      </c>
      <c r="D889" t="s">
        <v>2151</v>
      </c>
      <c r="E889" t="s">
        <v>16</v>
      </c>
      <c r="F889">
        <v>1</v>
      </c>
      <c r="G889" t="s">
        <v>12</v>
      </c>
      <c r="H889" t="s">
        <v>2152</v>
      </c>
    </row>
    <row r="890" spans="1:8">
      <c r="A890">
        <v>721</v>
      </c>
      <c r="B890" t="s">
        <v>2153</v>
      </c>
      <c r="C890" t="s">
        <v>20</v>
      </c>
      <c r="D890" t="s">
        <v>2154</v>
      </c>
      <c r="E890" t="s">
        <v>11</v>
      </c>
      <c r="F890">
        <v>4</v>
      </c>
      <c r="G890" t="s">
        <v>25</v>
      </c>
      <c r="H890" t="s">
        <v>2155</v>
      </c>
    </row>
    <row r="891" spans="1:8">
      <c r="A891">
        <v>722</v>
      </c>
      <c r="B891" t="s">
        <v>1820</v>
      </c>
      <c r="C891" t="s">
        <v>20</v>
      </c>
      <c r="D891" t="s">
        <v>2156</v>
      </c>
      <c r="E891" t="s">
        <v>11</v>
      </c>
      <c r="F891">
        <v>4</v>
      </c>
      <c r="G891" t="s">
        <v>12</v>
      </c>
      <c r="H891" t="s">
        <v>2157</v>
      </c>
    </row>
    <row r="892" spans="1:8">
      <c r="A892">
        <v>723</v>
      </c>
      <c r="B892" t="s">
        <v>279</v>
      </c>
      <c r="C892" t="s">
        <v>20</v>
      </c>
      <c r="D892" t="s">
        <v>2158</v>
      </c>
      <c r="E892" t="s">
        <v>16</v>
      </c>
      <c r="F892">
        <v>1</v>
      </c>
      <c r="G892" t="s">
        <v>12</v>
      </c>
      <c r="H892" t="s">
        <v>1335</v>
      </c>
    </row>
    <row r="893" spans="1:8">
      <c r="A893">
        <v>724</v>
      </c>
      <c r="B893" t="s">
        <v>2159</v>
      </c>
      <c r="C893" t="s">
        <v>20</v>
      </c>
      <c r="D893" t="s">
        <v>2160</v>
      </c>
      <c r="E893" t="s">
        <v>11</v>
      </c>
      <c r="F893">
        <v>4</v>
      </c>
      <c r="G893" t="s">
        <v>12</v>
      </c>
      <c r="H893" t="s">
        <v>1861</v>
      </c>
    </row>
    <row r="894" spans="1:8">
      <c r="A894">
        <v>725</v>
      </c>
      <c r="B894" t="s">
        <v>2161</v>
      </c>
      <c r="C894" t="s">
        <v>20</v>
      </c>
      <c r="D894" t="s">
        <v>2162</v>
      </c>
      <c r="E894" t="s">
        <v>43</v>
      </c>
      <c r="F894">
        <v>3</v>
      </c>
      <c r="G894" t="s">
        <v>25</v>
      </c>
      <c r="H894" t="s">
        <v>2163</v>
      </c>
    </row>
    <row r="895" spans="1:8">
      <c r="A895">
        <v>726</v>
      </c>
      <c r="B895" t="s">
        <v>2164</v>
      </c>
      <c r="C895" t="s">
        <v>20</v>
      </c>
      <c r="D895" t="s">
        <v>2165</v>
      </c>
      <c r="E895" t="s">
        <v>11</v>
      </c>
      <c r="F895">
        <v>4</v>
      </c>
      <c r="G895" t="s">
        <v>17</v>
      </c>
      <c r="H895" t="s">
        <v>2166</v>
      </c>
    </row>
    <row r="896" spans="1:8">
      <c r="A896">
        <v>727</v>
      </c>
      <c r="B896" t="s">
        <v>2167</v>
      </c>
      <c r="C896" t="s">
        <v>9</v>
      </c>
      <c r="D896" t="s">
        <v>2168</v>
      </c>
      <c r="E896" t="s">
        <v>16</v>
      </c>
      <c r="F896">
        <v>2</v>
      </c>
      <c r="G896" t="s">
        <v>25</v>
      </c>
      <c r="H896" t="s">
        <v>395</v>
      </c>
    </row>
    <row r="897" spans="1:8">
      <c r="A897">
        <v>728</v>
      </c>
      <c r="B897" t="s">
        <v>1939</v>
      </c>
      <c r="C897" t="s">
        <v>20</v>
      </c>
      <c r="D897" t="s">
        <v>2169</v>
      </c>
      <c r="E897" t="s">
        <v>16</v>
      </c>
      <c r="F897">
        <v>1</v>
      </c>
      <c r="G897" t="s">
        <v>12</v>
      </c>
      <c r="H897" t="s">
        <v>2170</v>
      </c>
    </row>
    <row r="898" spans="1:8">
      <c r="A898">
        <v>729</v>
      </c>
      <c r="B898" t="s">
        <v>553</v>
      </c>
      <c r="C898" t="s">
        <v>20</v>
      </c>
      <c r="D898" t="s">
        <v>2171</v>
      </c>
      <c r="E898" t="s">
        <v>16</v>
      </c>
      <c r="F898">
        <v>2</v>
      </c>
      <c r="G898" t="s">
        <v>12</v>
      </c>
      <c r="H898" t="s">
        <v>2172</v>
      </c>
    </row>
    <row r="899" spans="1:8">
      <c r="A899">
        <v>730</v>
      </c>
      <c r="B899" t="s">
        <v>2164</v>
      </c>
      <c r="C899" t="s">
        <v>20</v>
      </c>
      <c r="D899" t="s">
        <v>2173</v>
      </c>
      <c r="E899" t="s">
        <v>33</v>
      </c>
      <c r="F899">
        <v>7</v>
      </c>
      <c r="G899" t="s">
        <v>25</v>
      </c>
      <c r="H899" t="s">
        <v>2174</v>
      </c>
    </row>
    <row r="900" spans="1:8">
      <c r="A900">
        <v>731</v>
      </c>
      <c r="B900" t="s">
        <v>1772</v>
      </c>
      <c r="C900" t="s">
        <v>20</v>
      </c>
      <c r="D900" t="s">
        <v>2175</v>
      </c>
      <c r="E900" t="s">
        <v>16</v>
      </c>
      <c r="F900">
        <v>1</v>
      </c>
      <c r="G900" t="s">
        <v>17</v>
      </c>
      <c r="H900" t="s">
        <v>2176</v>
      </c>
    </row>
    <row r="901" spans="1:8">
      <c r="A901">
        <v>732</v>
      </c>
      <c r="B901" t="s">
        <v>2177</v>
      </c>
      <c r="C901" t="s">
        <v>9</v>
      </c>
      <c r="D901" t="s">
        <v>2178</v>
      </c>
      <c r="E901" t="s">
        <v>33</v>
      </c>
      <c r="F901">
        <v>7</v>
      </c>
      <c r="G901" t="s">
        <v>12</v>
      </c>
      <c r="H901" t="s">
        <v>2179</v>
      </c>
    </row>
    <row r="902" spans="1:8">
      <c r="A902">
        <v>733</v>
      </c>
      <c r="B902" t="s">
        <v>2180</v>
      </c>
      <c r="C902" t="s">
        <v>20</v>
      </c>
      <c r="D902" t="s">
        <v>2181</v>
      </c>
      <c r="E902" t="s">
        <v>43</v>
      </c>
      <c r="F902">
        <v>3</v>
      </c>
      <c r="G902" t="s">
        <v>12</v>
      </c>
      <c r="H902" t="s">
        <v>2182</v>
      </c>
    </row>
    <row r="903" spans="1:8">
      <c r="A903">
        <v>734</v>
      </c>
      <c r="B903" t="s">
        <v>2183</v>
      </c>
      <c r="C903" t="s">
        <v>9</v>
      </c>
      <c r="D903" t="s">
        <v>2184</v>
      </c>
      <c r="E903" t="s">
        <v>11</v>
      </c>
      <c r="F903">
        <v>4</v>
      </c>
      <c r="G903" t="s">
        <v>25</v>
      </c>
      <c r="H903" t="s">
        <v>630</v>
      </c>
    </row>
    <row r="904" spans="1:8">
      <c r="A904">
        <v>735</v>
      </c>
      <c r="B904" t="s">
        <v>2185</v>
      </c>
      <c r="C904" t="s">
        <v>9</v>
      </c>
      <c r="D904" t="s">
        <v>2186</v>
      </c>
      <c r="E904" t="s">
        <v>33</v>
      </c>
      <c r="F904">
        <v>7</v>
      </c>
      <c r="G904" t="s">
        <v>12</v>
      </c>
      <c r="H904" t="s">
        <v>2187</v>
      </c>
    </row>
    <row r="905" spans="1:8">
      <c r="A905">
        <v>736</v>
      </c>
      <c r="B905" t="s">
        <v>2188</v>
      </c>
      <c r="C905" t="s">
        <v>9</v>
      </c>
      <c r="D905" t="s">
        <v>2189</v>
      </c>
      <c r="E905" t="s">
        <v>29</v>
      </c>
      <c r="F905">
        <v>6</v>
      </c>
      <c r="G905" t="s">
        <v>25</v>
      </c>
      <c r="H905" t="s">
        <v>1755</v>
      </c>
    </row>
    <row r="906" spans="1:8">
      <c r="A906">
        <v>737</v>
      </c>
      <c r="B906" t="s">
        <v>2190</v>
      </c>
      <c r="C906" t="s">
        <v>9</v>
      </c>
      <c r="D906" t="s">
        <v>2191</v>
      </c>
      <c r="E906" t="s">
        <v>43</v>
      </c>
      <c r="F906">
        <v>3</v>
      </c>
      <c r="G906" t="s">
        <v>12</v>
      </c>
      <c r="H906" t="s">
        <v>2192</v>
      </c>
    </row>
    <row r="907" spans="1:8">
      <c r="A907">
        <v>738</v>
      </c>
      <c r="B907" t="s">
        <v>159</v>
      </c>
      <c r="C907" t="s">
        <v>20</v>
      </c>
      <c r="D907" t="s">
        <v>2193</v>
      </c>
      <c r="E907" t="s">
        <v>53</v>
      </c>
      <c r="F907">
        <v>5</v>
      </c>
      <c r="G907" t="s">
        <v>17</v>
      </c>
      <c r="H907" t="s">
        <v>2194</v>
      </c>
    </row>
    <row r="908" spans="1:8">
      <c r="A908">
        <v>739</v>
      </c>
      <c r="B908" t="s">
        <v>1857</v>
      </c>
      <c r="C908" t="s">
        <v>20</v>
      </c>
      <c r="D908" t="s">
        <v>2195</v>
      </c>
      <c r="E908" t="s">
        <v>29</v>
      </c>
      <c r="F908">
        <v>6</v>
      </c>
      <c r="G908" t="s">
        <v>12</v>
      </c>
      <c r="H908" t="s">
        <v>2196</v>
      </c>
    </row>
    <row r="909" spans="1:8">
      <c r="A909">
        <v>740</v>
      </c>
      <c r="B909" t="s">
        <v>1930</v>
      </c>
      <c r="C909" t="s">
        <v>9</v>
      </c>
      <c r="D909" t="s">
        <v>2197</v>
      </c>
      <c r="E909" t="s">
        <v>16</v>
      </c>
      <c r="F909">
        <v>2</v>
      </c>
      <c r="G909" t="s">
        <v>12</v>
      </c>
      <c r="H909" t="s">
        <v>2198</v>
      </c>
    </row>
    <row r="910" spans="1:8">
      <c r="A910">
        <v>741</v>
      </c>
      <c r="B910" t="s">
        <v>599</v>
      </c>
      <c r="C910" t="s">
        <v>20</v>
      </c>
      <c r="D910" t="s">
        <v>2199</v>
      </c>
      <c r="E910" t="s">
        <v>29</v>
      </c>
      <c r="F910">
        <v>6</v>
      </c>
      <c r="G910" t="s">
        <v>12</v>
      </c>
      <c r="H910" t="s">
        <v>2200</v>
      </c>
    </row>
    <row r="911" spans="1:8">
      <c r="A911">
        <v>742</v>
      </c>
      <c r="B911" t="s">
        <v>2201</v>
      </c>
      <c r="C911" t="s">
        <v>20</v>
      </c>
      <c r="D911" t="s">
        <v>2202</v>
      </c>
      <c r="E911" t="s">
        <v>43</v>
      </c>
      <c r="F911">
        <v>3</v>
      </c>
      <c r="G911" t="s">
        <v>12</v>
      </c>
      <c r="H911" t="s">
        <v>2203</v>
      </c>
    </row>
    <row r="912" spans="1:8">
      <c r="A912">
        <v>743</v>
      </c>
      <c r="B912" t="s">
        <v>2159</v>
      </c>
      <c r="C912" t="s">
        <v>20</v>
      </c>
      <c r="D912" t="s">
        <v>2204</v>
      </c>
      <c r="E912" t="s">
        <v>16</v>
      </c>
      <c r="F912">
        <v>1</v>
      </c>
      <c r="G912" t="s">
        <v>17</v>
      </c>
      <c r="H912" t="s">
        <v>2205</v>
      </c>
    </row>
    <row r="913" spans="1:8">
      <c r="A913">
        <v>744</v>
      </c>
      <c r="B913" t="s">
        <v>1061</v>
      </c>
      <c r="C913" t="s">
        <v>9</v>
      </c>
      <c r="D913" t="s">
        <v>2206</v>
      </c>
      <c r="E913" t="s">
        <v>11</v>
      </c>
      <c r="F913">
        <v>4</v>
      </c>
      <c r="G913" t="s">
        <v>12</v>
      </c>
      <c r="H913" t="s">
        <v>2207</v>
      </c>
    </row>
    <row r="914" spans="1:8">
      <c r="A914">
        <v>745</v>
      </c>
      <c r="B914" t="s">
        <v>2208</v>
      </c>
      <c r="C914" t="s">
        <v>9</v>
      </c>
      <c r="D914" t="s">
        <v>2209</v>
      </c>
      <c r="E914" t="s">
        <v>33</v>
      </c>
      <c r="F914">
        <v>7</v>
      </c>
      <c r="G914" t="s">
        <v>12</v>
      </c>
      <c r="H914" t="s">
        <v>1725</v>
      </c>
    </row>
    <row r="915" spans="1:8">
      <c r="A915">
        <v>746</v>
      </c>
      <c r="B915" t="s">
        <v>221</v>
      </c>
      <c r="C915" t="s">
        <v>9</v>
      </c>
      <c r="D915" t="s">
        <v>2210</v>
      </c>
      <c r="E915" t="s">
        <v>11</v>
      </c>
      <c r="F915">
        <v>4</v>
      </c>
      <c r="G915" t="s">
        <v>12</v>
      </c>
      <c r="H915" t="s">
        <v>2211</v>
      </c>
    </row>
    <row r="916" spans="1:8">
      <c r="A916">
        <v>747</v>
      </c>
      <c r="B916" t="s">
        <v>2212</v>
      </c>
      <c r="C916" t="s">
        <v>9</v>
      </c>
      <c r="D916" t="s">
        <v>2213</v>
      </c>
      <c r="E916" t="s">
        <v>43</v>
      </c>
      <c r="F916">
        <v>3</v>
      </c>
      <c r="G916" t="s">
        <v>12</v>
      </c>
      <c r="H916" t="s">
        <v>2214</v>
      </c>
    </row>
    <row r="917" spans="1:8">
      <c r="A917">
        <v>748</v>
      </c>
      <c r="B917" t="s">
        <v>2215</v>
      </c>
      <c r="C917" t="s">
        <v>9</v>
      </c>
      <c r="D917" t="s">
        <v>2216</v>
      </c>
      <c r="E917" t="s">
        <v>16</v>
      </c>
      <c r="F917">
        <v>2</v>
      </c>
      <c r="G917" t="s">
        <v>12</v>
      </c>
      <c r="H917" t="s">
        <v>1043</v>
      </c>
    </row>
    <row r="918" spans="1:8">
      <c r="A918">
        <v>749</v>
      </c>
      <c r="B918" t="s">
        <v>138</v>
      </c>
      <c r="C918" t="s">
        <v>9</v>
      </c>
      <c r="D918" t="s">
        <v>1634</v>
      </c>
      <c r="E918" t="s">
        <v>43</v>
      </c>
      <c r="F918">
        <v>3</v>
      </c>
      <c r="G918" t="s">
        <v>12</v>
      </c>
      <c r="H918" t="s">
        <v>2217</v>
      </c>
    </row>
    <row r="919" spans="1:8">
      <c r="A919">
        <v>750</v>
      </c>
      <c r="B919" t="s">
        <v>1132</v>
      </c>
      <c r="C919" t="s">
        <v>20</v>
      </c>
      <c r="D919" t="s">
        <v>2218</v>
      </c>
      <c r="E919" t="s">
        <v>16</v>
      </c>
      <c r="F919">
        <v>2</v>
      </c>
      <c r="G919" t="s">
        <v>17</v>
      </c>
      <c r="H919" t="s">
        <v>2219</v>
      </c>
    </row>
    <row r="920" spans="1:8">
      <c r="A920">
        <v>751</v>
      </c>
      <c r="B920" t="s">
        <v>2220</v>
      </c>
      <c r="C920" t="s">
        <v>20</v>
      </c>
      <c r="D920" t="s">
        <v>2221</v>
      </c>
      <c r="E920" t="s">
        <v>53</v>
      </c>
      <c r="F920">
        <v>5</v>
      </c>
      <c r="G920" t="s">
        <v>12</v>
      </c>
      <c r="H920" t="s">
        <v>1967</v>
      </c>
    </row>
    <row r="921" spans="1:8">
      <c r="A921">
        <v>752</v>
      </c>
      <c r="B921" t="s">
        <v>215</v>
      </c>
      <c r="C921" t="s">
        <v>9</v>
      </c>
      <c r="D921" t="s">
        <v>2222</v>
      </c>
      <c r="E921" t="s">
        <v>43</v>
      </c>
      <c r="F921">
        <v>3</v>
      </c>
      <c r="G921" t="s">
        <v>17</v>
      </c>
      <c r="H921" t="s">
        <v>1293</v>
      </c>
    </row>
    <row r="922" spans="1:8">
      <c r="A922">
        <v>753</v>
      </c>
      <c r="B922" t="s">
        <v>1262</v>
      </c>
      <c r="C922" t="s">
        <v>20</v>
      </c>
      <c r="D922" t="s">
        <v>2223</v>
      </c>
      <c r="E922" t="s">
        <v>29</v>
      </c>
      <c r="F922">
        <v>6</v>
      </c>
      <c r="G922" t="s">
        <v>12</v>
      </c>
      <c r="H922" t="s">
        <v>2224</v>
      </c>
    </row>
    <row r="923" spans="1:8">
      <c r="A923">
        <v>754</v>
      </c>
      <c r="B923" t="s">
        <v>2225</v>
      </c>
      <c r="C923" t="s">
        <v>20</v>
      </c>
      <c r="D923" t="s">
        <v>2226</v>
      </c>
      <c r="E923" t="s">
        <v>11</v>
      </c>
      <c r="F923">
        <v>4</v>
      </c>
      <c r="G923" t="s">
        <v>25</v>
      </c>
      <c r="H923" t="s">
        <v>1422</v>
      </c>
    </row>
    <row r="924" spans="1:8">
      <c r="A924">
        <v>755</v>
      </c>
      <c r="B924" t="s">
        <v>1536</v>
      </c>
      <c r="C924" t="s">
        <v>20</v>
      </c>
      <c r="D924" t="s">
        <v>2227</v>
      </c>
      <c r="E924" t="s">
        <v>43</v>
      </c>
      <c r="F924">
        <v>3</v>
      </c>
      <c r="G924" t="s">
        <v>12</v>
      </c>
      <c r="H924" t="s">
        <v>1661</v>
      </c>
    </row>
    <row r="925" spans="1:8">
      <c r="A925">
        <v>756</v>
      </c>
      <c r="B925" t="s">
        <v>2228</v>
      </c>
      <c r="C925" t="s">
        <v>20</v>
      </c>
      <c r="D925" t="s">
        <v>193</v>
      </c>
      <c r="E925" t="s">
        <v>11</v>
      </c>
      <c r="F925">
        <v>4</v>
      </c>
      <c r="G925" t="s">
        <v>17</v>
      </c>
      <c r="H925" t="s">
        <v>2229</v>
      </c>
    </row>
    <row r="926" spans="1:8">
      <c r="A926">
        <v>757</v>
      </c>
      <c r="B926" t="s">
        <v>123</v>
      </c>
      <c r="C926" t="s">
        <v>9</v>
      </c>
      <c r="D926" t="s">
        <v>2230</v>
      </c>
      <c r="E926" t="s">
        <v>16</v>
      </c>
      <c r="F926">
        <v>2</v>
      </c>
      <c r="G926" t="s">
        <v>17</v>
      </c>
      <c r="H926" t="s">
        <v>2231</v>
      </c>
    </row>
    <row r="927" spans="1:8">
      <c r="A927">
        <v>758</v>
      </c>
      <c r="B927" t="s">
        <v>1781</v>
      </c>
      <c r="C927" t="s">
        <v>9</v>
      </c>
      <c r="D927" t="s">
        <v>1252</v>
      </c>
      <c r="E927" t="s">
        <v>33</v>
      </c>
      <c r="F927">
        <v>7</v>
      </c>
      <c r="G927" t="s">
        <v>12</v>
      </c>
      <c r="H927" t="s">
        <v>2232</v>
      </c>
    </row>
    <row r="928" spans="1:8">
      <c r="A928">
        <v>759</v>
      </c>
      <c r="B928" t="s">
        <v>2017</v>
      </c>
      <c r="C928" t="s">
        <v>20</v>
      </c>
      <c r="D928" t="s">
        <v>2233</v>
      </c>
      <c r="E928" t="s">
        <v>16</v>
      </c>
      <c r="F928">
        <v>1</v>
      </c>
      <c r="G928" t="s">
        <v>12</v>
      </c>
      <c r="H928" t="s">
        <v>2234</v>
      </c>
    </row>
    <row r="929" spans="1:8">
      <c r="A929">
        <v>760</v>
      </c>
      <c r="B929" t="s">
        <v>382</v>
      </c>
      <c r="C929" t="s">
        <v>9</v>
      </c>
      <c r="D929" t="s">
        <v>2235</v>
      </c>
      <c r="E929" t="s">
        <v>16</v>
      </c>
      <c r="F929">
        <v>2</v>
      </c>
      <c r="G929" t="s">
        <v>25</v>
      </c>
      <c r="H929" t="s">
        <v>2236</v>
      </c>
    </row>
    <row r="930" spans="1:8">
      <c r="A930">
        <v>761</v>
      </c>
      <c r="B930" t="s">
        <v>2180</v>
      </c>
      <c r="C930" t="s">
        <v>20</v>
      </c>
      <c r="D930" t="s">
        <v>2237</v>
      </c>
      <c r="E930" t="s">
        <v>53</v>
      </c>
      <c r="F930">
        <v>5</v>
      </c>
      <c r="G930" t="s">
        <v>12</v>
      </c>
      <c r="H930" t="s">
        <v>2238</v>
      </c>
    </row>
    <row r="931" spans="1:8">
      <c r="A931">
        <v>762</v>
      </c>
      <c r="B931" t="s">
        <v>2239</v>
      </c>
      <c r="C931" t="s">
        <v>9</v>
      </c>
      <c r="D931" t="s">
        <v>2240</v>
      </c>
      <c r="E931" t="s">
        <v>53</v>
      </c>
      <c r="F931">
        <v>5</v>
      </c>
      <c r="G931" t="s">
        <v>12</v>
      </c>
      <c r="H931" t="s">
        <v>1123</v>
      </c>
    </row>
    <row r="932" spans="1:8">
      <c r="A932">
        <v>763</v>
      </c>
      <c r="B932" t="s">
        <v>385</v>
      </c>
      <c r="C932" t="s">
        <v>20</v>
      </c>
      <c r="D932" t="s">
        <v>2241</v>
      </c>
      <c r="E932" t="s">
        <v>43</v>
      </c>
      <c r="F932">
        <v>3</v>
      </c>
      <c r="G932" t="s">
        <v>12</v>
      </c>
      <c r="H932" t="s">
        <v>2242</v>
      </c>
    </row>
    <row r="933" spans="1:8">
      <c r="A933">
        <v>764</v>
      </c>
      <c r="B933" t="s">
        <v>2243</v>
      </c>
      <c r="C933" t="s">
        <v>9</v>
      </c>
      <c r="D933" t="s">
        <v>2244</v>
      </c>
      <c r="E933" t="s">
        <v>53</v>
      </c>
      <c r="F933">
        <v>5</v>
      </c>
      <c r="G933" t="s">
        <v>12</v>
      </c>
      <c r="H933" t="s">
        <v>2245</v>
      </c>
    </row>
    <row r="934" spans="1:8">
      <c r="A934">
        <v>765</v>
      </c>
      <c r="B934" t="s">
        <v>230</v>
      </c>
      <c r="C934" t="s">
        <v>20</v>
      </c>
      <c r="D934" t="s">
        <v>2246</v>
      </c>
      <c r="E934" t="s">
        <v>33</v>
      </c>
      <c r="F934">
        <v>7</v>
      </c>
      <c r="G934" t="s">
        <v>17</v>
      </c>
      <c r="H934" t="s">
        <v>2247</v>
      </c>
    </row>
    <row r="935" spans="1:8">
      <c r="A935">
        <v>766</v>
      </c>
      <c r="B935" t="s">
        <v>141</v>
      </c>
      <c r="C935" t="s">
        <v>20</v>
      </c>
      <c r="D935" t="s">
        <v>2248</v>
      </c>
      <c r="E935" t="s">
        <v>29</v>
      </c>
      <c r="F935">
        <v>6</v>
      </c>
      <c r="G935" t="s">
        <v>12</v>
      </c>
      <c r="H935" t="s">
        <v>1908</v>
      </c>
    </row>
    <row r="936" spans="1:8">
      <c r="A936">
        <v>767</v>
      </c>
      <c r="B936" t="s">
        <v>376</v>
      </c>
      <c r="C936" t="s">
        <v>20</v>
      </c>
      <c r="D936" t="s">
        <v>2249</v>
      </c>
      <c r="E936" t="s">
        <v>29</v>
      </c>
      <c r="F936">
        <v>6</v>
      </c>
      <c r="G936" t="s">
        <v>17</v>
      </c>
      <c r="H936" t="s">
        <v>1082</v>
      </c>
    </row>
    <row r="937" spans="1:8">
      <c r="A937">
        <v>768</v>
      </c>
      <c r="B937" t="s">
        <v>807</v>
      </c>
      <c r="C937" t="s">
        <v>9</v>
      </c>
      <c r="D937" t="s">
        <v>2250</v>
      </c>
      <c r="E937" t="s">
        <v>53</v>
      </c>
      <c r="F937">
        <v>5</v>
      </c>
      <c r="G937" t="s">
        <v>12</v>
      </c>
      <c r="H937" t="s">
        <v>726</v>
      </c>
    </row>
    <row r="938" spans="1:8">
      <c r="A938">
        <v>769</v>
      </c>
      <c r="B938" t="s">
        <v>1738</v>
      </c>
      <c r="C938" t="s">
        <v>9</v>
      </c>
      <c r="D938" t="s">
        <v>2251</v>
      </c>
      <c r="E938" t="s">
        <v>43</v>
      </c>
      <c r="F938">
        <v>3</v>
      </c>
      <c r="G938" t="s">
        <v>25</v>
      </c>
      <c r="H938" t="s">
        <v>2252</v>
      </c>
    </row>
    <row r="939" spans="1:8">
      <c r="A939">
        <v>770</v>
      </c>
      <c r="B939" t="s">
        <v>2253</v>
      </c>
      <c r="C939" t="s">
        <v>9</v>
      </c>
      <c r="D939" t="s">
        <v>2254</v>
      </c>
      <c r="E939" t="s">
        <v>43</v>
      </c>
      <c r="F939">
        <v>3</v>
      </c>
      <c r="G939" t="s">
        <v>12</v>
      </c>
      <c r="H939" t="s">
        <v>2255</v>
      </c>
    </row>
    <row r="940" spans="1:8">
      <c r="A940">
        <v>771</v>
      </c>
      <c r="B940" t="s">
        <v>313</v>
      </c>
      <c r="C940" t="s">
        <v>9</v>
      </c>
      <c r="D940" t="s">
        <v>2256</v>
      </c>
      <c r="E940" t="s">
        <v>16</v>
      </c>
      <c r="F940">
        <v>1</v>
      </c>
      <c r="G940" t="s">
        <v>12</v>
      </c>
      <c r="H940" t="s">
        <v>2174</v>
      </c>
    </row>
    <row r="941" spans="1:8">
      <c r="A941">
        <v>772</v>
      </c>
      <c r="B941" t="s">
        <v>87</v>
      </c>
      <c r="C941" t="s">
        <v>9</v>
      </c>
      <c r="D941" t="s">
        <v>2257</v>
      </c>
      <c r="E941" t="s">
        <v>16</v>
      </c>
      <c r="F941">
        <v>2</v>
      </c>
      <c r="G941" t="s">
        <v>25</v>
      </c>
      <c r="H941" t="s">
        <v>149</v>
      </c>
    </row>
    <row r="942" spans="1:8">
      <c r="A942">
        <v>773</v>
      </c>
      <c r="B942" t="s">
        <v>540</v>
      </c>
      <c r="C942" t="s">
        <v>9</v>
      </c>
      <c r="D942" t="s">
        <v>178</v>
      </c>
      <c r="E942" t="s">
        <v>33</v>
      </c>
      <c r="F942">
        <v>7</v>
      </c>
      <c r="G942" t="s">
        <v>12</v>
      </c>
      <c r="H942" t="s">
        <v>360</v>
      </c>
    </row>
    <row r="943" spans="1:8">
      <c r="A943">
        <v>774</v>
      </c>
      <c r="B943" t="s">
        <v>1628</v>
      </c>
      <c r="C943" t="s">
        <v>9</v>
      </c>
      <c r="D943" t="s">
        <v>2258</v>
      </c>
      <c r="E943" t="s">
        <v>16</v>
      </c>
      <c r="F943">
        <v>1</v>
      </c>
      <c r="G943" t="s">
        <v>17</v>
      </c>
      <c r="H943" t="s">
        <v>944</v>
      </c>
    </row>
    <row r="944" spans="1:8">
      <c r="A944">
        <v>775</v>
      </c>
      <c r="B944" t="s">
        <v>881</v>
      </c>
      <c r="C944" t="s">
        <v>20</v>
      </c>
      <c r="D944" t="s">
        <v>2259</v>
      </c>
      <c r="E944" t="s">
        <v>11</v>
      </c>
      <c r="F944">
        <v>4</v>
      </c>
      <c r="G944" t="s">
        <v>12</v>
      </c>
      <c r="H944" t="s">
        <v>2260</v>
      </c>
    </row>
    <row r="945" spans="1:8">
      <c r="A945">
        <v>776</v>
      </c>
      <c r="B945" t="s">
        <v>2261</v>
      </c>
      <c r="C945" t="s">
        <v>20</v>
      </c>
      <c r="D945" t="s">
        <v>2262</v>
      </c>
      <c r="E945" t="s">
        <v>43</v>
      </c>
      <c r="F945">
        <v>3</v>
      </c>
      <c r="G945" t="s">
        <v>25</v>
      </c>
      <c r="H945" t="s">
        <v>2263</v>
      </c>
    </row>
    <row r="946" spans="1:8">
      <c r="A946">
        <v>777</v>
      </c>
      <c r="B946" t="s">
        <v>2264</v>
      </c>
      <c r="C946" t="s">
        <v>9</v>
      </c>
      <c r="D946" t="s">
        <v>2265</v>
      </c>
      <c r="E946" t="s">
        <v>43</v>
      </c>
      <c r="F946">
        <v>3</v>
      </c>
      <c r="G946" t="s">
        <v>12</v>
      </c>
      <c r="H946" t="s">
        <v>2266</v>
      </c>
    </row>
    <row r="947" spans="1:8">
      <c r="A947">
        <v>778</v>
      </c>
      <c r="B947" t="s">
        <v>2267</v>
      </c>
      <c r="C947" t="s">
        <v>9</v>
      </c>
      <c r="D947" t="s">
        <v>2268</v>
      </c>
      <c r="E947" t="s">
        <v>16</v>
      </c>
      <c r="F947">
        <v>1</v>
      </c>
      <c r="G947" t="s">
        <v>12</v>
      </c>
      <c r="H947" t="s">
        <v>2269</v>
      </c>
    </row>
    <row r="948" spans="1:8">
      <c r="A948">
        <v>779</v>
      </c>
      <c r="B948" t="s">
        <v>1872</v>
      </c>
      <c r="C948" t="s">
        <v>20</v>
      </c>
      <c r="D948" t="s">
        <v>2270</v>
      </c>
      <c r="E948" t="s">
        <v>33</v>
      </c>
      <c r="F948">
        <v>7</v>
      </c>
      <c r="G948" t="s">
        <v>12</v>
      </c>
      <c r="H948" t="s">
        <v>664</v>
      </c>
    </row>
    <row r="949" spans="1:8">
      <c r="A949">
        <v>780</v>
      </c>
      <c r="B949" t="s">
        <v>884</v>
      </c>
      <c r="C949" t="s">
        <v>9</v>
      </c>
      <c r="D949" t="s">
        <v>2271</v>
      </c>
      <c r="E949" t="s">
        <v>29</v>
      </c>
      <c r="F949">
        <v>6</v>
      </c>
      <c r="G949" t="s">
        <v>17</v>
      </c>
      <c r="H949" t="s">
        <v>2272</v>
      </c>
    </row>
    <row r="950" spans="1:8">
      <c r="A950">
        <v>781</v>
      </c>
      <c r="B950" t="s">
        <v>8</v>
      </c>
      <c r="C950" t="s">
        <v>9</v>
      </c>
      <c r="D950" t="s">
        <v>2273</v>
      </c>
      <c r="E950" t="s">
        <v>43</v>
      </c>
      <c r="F950">
        <v>3</v>
      </c>
      <c r="G950" t="s">
        <v>12</v>
      </c>
      <c r="H950" t="s">
        <v>378</v>
      </c>
    </row>
    <row r="951" spans="1:8">
      <c r="A951">
        <v>782</v>
      </c>
      <c r="B951" t="s">
        <v>1820</v>
      </c>
      <c r="C951" t="s">
        <v>20</v>
      </c>
      <c r="D951" t="s">
        <v>2274</v>
      </c>
      <c r="E951" t="s">
        <v>43</v>
      </c>
      <c r="F951">
        <v>3</v>
      </c>
      <c r="G951" t="s">
        <v>25</v>
      </c>
      <c r="H951" t="s">
        <v>2275</v>
      </c>
    </row>
    <row r="952" spans="1:8">
      <c r="A952">
        <v>783</v>
      </c>
      <c r="B952" t="s">
        <v>2124</v>
      </c>
      <c r="C952" t="s">
        <v>9</v>
      </c>
      <c r="D952" t="s">
        <v>2276</v>
      </c>
      <c r="E952" t="s">
        <v>29</v>
      </c>
      <c r="F952">
        <v>6</v>
      </c>
      <c r="G952" t="s">
        <v>12</v>
      </c>
      <c r="H952" t="s">
        <v>458</v>
      </c>
    </row>
    <row r="953" spans="1:8">
      <c r="A953">
        <v>784</v>
      </c>
      <c r="B953" t="s">
        <v>1399</v>
      </c>
      <c r="C953" t="s">
        <v>9</v>
      </c>
      <c r="D953" t="s">
        <v>2277</v>
      </c>
      <c r="E953" t="s">
        <v>43</v>
      </c>
      <c r="F953">
        <v>3</v>
      </c>
      <c r="G953" t="s">
        <v>25</v>
      </c>
      <c r="H953" t="s">
        <v>321</v>
      </c>
    </row>
    <row r="954" spans="1:8">
      <c r="A954">
        <v>785</v>
      </c>
      <c r="B954" t="s">
        <v>424</v>
      </c>
      <c r="C954" t="s">
        <v>20</v>
      </c>
      <c r="D954" t="s">
        <v>2278</v>
      </c>
      <c r="E954" t="s">
        <v>43</v>
      </c>
      <c r="F954">
        <v>3</v>
      </c>
      <c r="G954" t="s">
        <v>25</v>
      </c>
      <c r="H954" t="s">
        <v>2279</v>
      </c>
    </row>
    <row r="955" spans="1:8">
      <c r="A955">
        <v>786</v>
      </c>
      <c r="B955" t="s">
        <v>750</v>
      </c>
      <c r="C955" t="s">
        <v>9</v>
      </c>
      <c r="D955" t="s">
        <v>2280</v>
      </c>
      <c r="E955" t="s">
        <v>33</v>
      </c>
      <c r="F955">
        <v>7</v>
      </c>
      <c r="G955" t="s">
        <v>17</v>
      </c>
      <c r="H955" t="s">
        <v>941</v>
      </c>
    </row>
    <row r="956" spans="1:8">
      <c r="A956">
        <v>787</v>
      </c>
      <c r="B956" t="s">
        <v>111</v>
      </c>
      <c r="C956" t="s">
        <v>20</v>
      </c>
      <c r="D956" t="s">
        <v>2281</v>
      </c>
      <c r="E956" t="s">
        <v>43</v>
      </c>
      <c r="F956">
        <v>3</v>
      </c>
      <c r="G956" t="s">
        <v>12</v>
      </c>
      <c r="H956" t="s">
        <v>2029</v>
      </c>
    </row>
    <row r="957" spans="1:8">
      <c r="A957">
        <v>788</v>
      </c>
      <c r="B957" t="s">
        <v>1460</v>
      </c>
      <c r="C957" t="s">
        <v>20</v>
      </c>
      <c r="D957" t="s">
        <v>2282</v>
      </c>
      <c r="E957" t="s">
        <v>29</v>
      </c>
      <c r="F957">
        <v>6</v>
      </c>
      <c r="G957" t="s">
        <v>17</v>
      </c>
      <c r="H957" t="s">
        <v>2283</v>
      </c>
    </row>
    <row r="958" spans="1:8">
      <c r="A958">
        <v>789</v>
      </c>
      <c r="B958" t="s">
        <v>1574</v>
      </c>
      <c r="C958" t="s">
        <v>20</v>
      </c>
      <c r="D958" t="s">
        <v>2284</v>
      </c>
      <c r="E958" t="s">
        <v>53</v>
      </c>
      <c r="F958">
        <v>5</v>
      </c>
      <c r="G958" t="s">
        <v>17</v>
      </c>
      <c r="H958" t="s">
        <v>2285</v>
      </c>
    </row>
    <row r="959" spans="1:8">
      <c r="A959">
        <v>790</v>
      </c>
      <c r="B959" t="s">
        <v>2286</v>
      </c>
      <c r="C959" t="s">
        <v>20</v>
      </c>
      <c r="D959" t="s">
        <v>2287</v>
      </c>
      <c r="E959" t="s">
        <v>11</v>
      </c>
      <c r="F959">
        <v>4</v>
      </c>
      <c r="G959" t="s">
        <v>12</v>
      </c>
      <c r="H959" t="s">
        <v>2288</v>
      </c>
    </row>
    <row r="960" spans="1:8">
      <c r="A960">
        <v>791</v>
      </c>
      <c r="B960" t="s">
        <v>456</v>
      </c>
      <c r="C960" t="s">
        <v>20</v>
      </c>
      <c r="D960" t="s">
        <v>2289</v>
      </c>
      <c r="E960" t="s">
        <v>16</v>
      </c>
      <c r="F960">
        <v>1</v>
      </c>
      <c r="G960" t="s">
        <v>12</v>
      </c>
      <c r="H960" t="s">
        <v>283</v>
      </c>
    </row>
    <row r="961" spans="1:8">
      <c r="A961">
        <v>792</v>
      </c>
      <c r="B961" t="s">
        <v>1499</v>
      </c>
      <c r="C961" t="s">
        <v>9</v>
      </c>
      <c r="D961" t="s">
        <v>2290</v>
      </c>
      <c r="E961" t="s">
        <v>53</v>
      </c>
      <c r="F961">
        <v>5</v>
      </c>
      <c r="G961" t="s">
        <v>12</v>
      </c>
      <c r="H961" t="s">
        <v>2103</v>
      </c>
    </row>
    <row r="962" spans="1:8">
      <c r="A962">
        <v>793</v>
      </c>
      <c r="B962" t="s">
        <v>1365</v>
      </c>
      <c r="C962" t="s">
        <v>20</v>
      </c>
      <c r="D962" t="s">
        <v>2291</v>
      </c>
      <c r="E962" t="s">
        <v>33</v>
      </c>
      <c r="F962">
        <v>7</v>
      </c>
      <c r="G962" t="s">
        <v>25</v>
      </c>
      <c r="H962" t="s">
        <v>2292</v>
      </c>
    </row>
    <row r="963" spans="1:8">
      <c r="A963">
        <v>794</v>
      </c>
      <c r="B963" t="s">
        <v>2293</v>
      </c>
      <c r="C963" t="s">
        <v>20</v>
      </c>
      <c r="D963" t="s">
        <v>2294</v>
      </c>
      <c r="E963" t="s">
        <v>29</v>
      </c>
      <c r="F963">
        <v>6</v>
      </c>
      <c r="G963" t="s">
        <v>12</v>
      </c>
      <c r="H963" t="s">
        <v>1125</v>
      </c>
    </row>
    <row r="964" spans="1:8">
      <c r="A964">
        <v>795</v>
      </c>
      <c r="B964" t="s">
        <v>236</v>
      </c>
      <c r="C964" t="s">
        <v>20</v>
      </c>
      <c r="D964" t="s">
        <v>2295</v>
      </c>
      <c r="E964" t="s">
        <v>16</v>
      </c>
      <c r="F964">
        <v>2</v>
      </c>
      <c r="G964" t="s">
        <v>12</v>
      </c>
      <c r="H964" t="s">
        <v>2296</v>
      </c>
    </row>
    <row r="965" spans="1:8">
      <c r="A965">
        <v>796</v>
      </c>
      <c r="B965" t="s">
        <v>1382</v>
      </c>
      <c r="C965" t="s">
        <v>9</v>
      </c>
      <c r="D965" t="s">
        <v>2297</v>
      </c>
      <c r="E965" t="s">
        <v>11</v>
      </c>
      <c r="F965">
        <v>4</v>
      </c>
      <c r="G965" t="s">
        <v>12</v>
      </c>
      <c r="H965" t="s">
        <v>2298</v>
      </c>
    </row>
    <row r="966" spans="1:8">
      <c r="A966">
        <v>797</v>
      </c>
      <c r="B966" t="s">
        <v>1781</v>
      </c>
      <c r="C966" t="s">
        <v>9</v>
      </c>
      <c r="D966" t="s">
        <v>2299</v>
      </c>
      <c r="E966" t="s">
        <v>43</v>
      </c>
      <c r="F966">
        <v>3</v>
      </c>
      <c r="G966" t="s">
        <v>12</v>
      </c>
      <c r="H966" t="s">
        <v>2300</v>
      </c>
    </row>
    <row r="967" spans="1:8">
      <c r="A967">
        <v>798</v>
      </c>
      <c r="B967" t="s">
        <v>977</v>
      </c>
      <c r="C967" t="s">
        <v>20</v>
      </c>
      <c r="D967" t="s">
        <v>2301</v>
      </c>
      <c r="E967" t="s">
        <v>29</v>
      </c>
      <c r="F967">
        <v>6</v>
      </c>
      <c r="G967" t="s">
        <v>12</v>
      </c>
      <c r="H967" t="s">
        <v>2302</v>
      </c>
    </row>
    <row r="968" spans="1:8">
      <c r="A968">
        <v>799</v>
      </c>
      <c r="B968" t="s">
        <v>2303</v>
      </c>
      <c r="C968" t="s">
        <v>20</v>
      </c>
      <c r="D968" t="s">
        <v>2304</v>
      </c>
      <c r="E968" t="s">
        <v>33</v>
      </c>
      <c r="F968">
        <v>7</v>
      </c>
      <c r="G968" t="s">
        <v>12</v>
      </c>
      <c r="H968" t="s">
        <v>2305</v>
      </c>
    </row>
    <row r="969" spans="1:8">
      <c r="A969">
        <v>800</v>
      </c>
      <c r="B969" t="s">
        <v>2306</v>
      </c>
      <c r="C969" t="s">
        <v>9</v>
      </c>
      <c r="D969" t="s">
        <v>2307</v>
      </c>
      <c r="E969" t="s">
        <v>43</v>
      </c>
      <c r="F969">
        <v>3</v>
      </c>
      <c r="G969" t="s">
        <v>12</v>
      </c>
      <c r="H969" t="s">
        <v>2308</v>
      </c>
    </row>
    <row r="970" spans="1:8">
      <c r="A970">
        <v>801</v>
      </c>
      <c r="B970" t="s">
        <v>2309</v>
      </c>
      <c r="C970" t="s">
        <v>9</v>
      </c>
      <c r="D970" t="s">
        <v>2310</v>
      </c>
      <c r="E970" t="s">
        <v>53</v>
      </c>
      <c r="F970">
        <v>5</v>
      </c>
      <c r="G970" t="s">
        <v>25</v>
      </c>
      <c r="H970" t="s">
        <v>2311</v>
      </c>
    </row>
    <row r="971" spans="1:8">
      <c r="A971">
        <v>802</v>
      </c>
      <c r="B971" t="s">
        <v>1284</v>
      </c>
      <c r="C971" t="s">
        <v>20</v>
      </c>
      <c r="D971" t="s">
        <v>2312</v>
      </c>
      <c r="E971" t="s">
        <v>43</v>
      </c>
      <c r="F971">
        <v>3</v>
      </c>
      <c r="G971" t="s">
        <v>12</v>
      </c>
      <c r="H971" t="s">
        <v>765</v>
      </c>
    </row>
    <row r="972" spans="1:8">
      <c r="A972">
        <v>803</v>
      </c>
      <c r="B972" t="s">
        <v>1320</v>
      </c>
      <c r="C972" t="s">
        <v>20</v>
      </c>
      <c r="D972" t="s">
        <v>2313</v>
      </c>
      <c r="E972" t="s">
        <v>29</v>
      </c>
      <c r="F972">
        <v>6</v>
      </c>
      <c r="G972" t="s">
        <v>12</v>
      </c>
      <c r="H972" t="s">
        <v>2314</v>
      </c>
    </row>
    <row r="973" spans="1:8">
      <c r="A973">
        <v>804</v>
      </c>
      <c r="B973" t="s">
        <v>67</v>
      </c>
      <c r="C973" t="s">
        <v>20</v>
      </c>
      <c r="D973" t="s">
        <v>2315</v>
      </c>
      <c r="E973" t="s">
        <v>53</v>
      </c>
      <c r="F973">
        <v>5</v>
      </c>
      <c r="G973" t="s">
        <v>17</v>
      </c>
      <c r="H973" t="s">
        <v>312</v>
      </c>
    </row>
    <row r="974" spans="1:8">
      <c r="A974">
        <v>805</v>
      </c>
      <c r="B974" t="s">
        <v>2188</v>
      </c>
      <c r="C974" t="s">
        <v>9</v>
      </c>
      <c r="D974" t="s">
        <v>2316</v>
      </c>
      <c r="E974" t="s">
        <v>53</v>
      </c>
      <c r="F974">
        <v>5</v>
      </c>
      <c r="G974" t="s">
        <v>12</v>
      </c>
      <c r="H974" t="s">
        <v>2317</v>
      </c>
    </row>
    <row r="975" spans="1:8">
      <c r="A975">
        <v>806</v>
      </c>
      <c r="B975" t="s">
        <v>2318</v>
      </c>
      <c r="C975" t="s">
        <v>9</v>
      </c>
      <c r="D975" t="s">
        <v>2319</v>
      </c>
      <c r="E975" t="s">
        <v>43</v>
      </c>
      <c r="F975">
        <v>3</v>
      </c>
      <c r="G975" t="s">
        <v>17</v>
      </c>
      <c r="H975" t="s">
        <v>2320</v>
      </c>
    </row>
    <row r="976" spans="1:8">
      <c r="A976">
        <v>807</v>
      </c>
      <c r="B976" t="s">
        <v>688</v>
      </c>
      <c r="C976" t="s">
        <v>9</v>
      </c>
      <c r="D976" t="s">
        <v>2321</v>
      </c>
      <c r="E976" t="s">
        <v>11</v>
      </c>
      <c r="F976">
        <v>4</v>
      </c>
      <c r="G976" t="s">
        <v>12</v>
      </c>
      <c r="H976" t="s">
        <v>2322</v>
      </c>
    </row>
    <row r="977" spans="1:8">
      <c r="A977">
        <v>808</v>
      </c>
      <c r="B977" t="s">
        <v>2323</v>
      </c>
      <c r="C977" t="s">
        <v>9</v>
      </c>
      <c r="D977" t="s">
        <v>2324</v>
      </c>
      <c r="E977" t="s">
        <v>53</v>
      </c>
      <c r="F977">
        <v>5</v>
      </c>
      <c r="G977" t="s">
        <v>17</v>
      </c>
      <c r="H977" t="s">
        <v>1735</v>
      </c>
    </row>
    <row r="978" spans="1:8">
      <c r="A978">
        <v>809</v>
      </c>
      <c r="B978" t="s">
        <v>93</v>
      </c>
      <c r="C978" t="s">
        <v>9</v>
      </c>
      <c r="D978" t="s">
        <v>2325</v>
      </c>
      <c r="E978" t="s">
        <v>11</v>
      </c>
      <c r="F978">
        <v>4</v>
      </c>
      <c r="G978" t="s">
        <v>12</v>
      </c>
      <c r="H978" t="s">
        <v>2326</v>
      </c>
    </row>
    <row r="979" spans="1:8">
      <c r="A979">
        <v>810</v>
      </c>
      <c r="B979" t="s">
        <v>1708</v>
      </c>
      <c r="C979" t="s">
        <v>9</v>
      </c>
      <c r="D979" t="s">
        <v>2289</v>
      </c>
      <c r="E979" t="s">
        <v>16</v>
      </c>
      <c r="F979">
        <v>1</v>
      </c>
      <c r="G979" t="s">
        <v>12</v>
      </c>
      <c r="H979" t="s">
        <v>2327</v>
      </c>
    </row>
    <row r="980" spans="1:8">
      <c r="A980">
        <v>811</v>
      </c>
      <c r="B980" t="s">
        <v>2328</v>
      </c>
      <c r="C980" t="s">
        <v>9</v>
      </c>
      <c r="D980" t="s">
        <v>1879</v>
      </c>
      <c r="E980" t="s">
        <v>43</v>
      </c>
      <c r="F980">
        <v>3</v>
      </c>
      <c r="G980" t="s">
        <v>12</v>
      </c>
      <c r="H980" t="s">
        <v>878</v>
      </c>
    </row>
    <row r="981" spans="1:8">
      <c r="A981">
        <v>812</v>
      </c>
      <c r="B981" t="s">
        <v>2084</v>
      </c>
      <c r="C981" t="s">
        <v>9</v>
      </c>
      <c r="D981" t="s">
        <v>2329</v>
      </c>
      <c r="E981" t="s">
        <v>43</v>
      </c>
      <c r="F981">
        <v>3</v>
      </c>
      <c r="G981" t="s">
        <v>17</v>
      </c>
      <c r="H981" t="s">
        <v>2330</v>
      </c>
    </row>
    <row r="982" spans="1:8">
      <c r="A982">
        <v>813</v>
      </c>
      <c r="B982" t="s">
        <v>2331</v>
      </c>
      <c r="C982" t="s">
        <v>20</v>
      </c>
      <c r="D982" t="s">
        <v>2332</v>
      </c>
      <c r="E982" t="s">
        <v>16</v>
      </c>
      <c r="F982">
        <v>1</v>
      </c>
      <c r="G982" t="s">
        <v>12</v>
      </c>
      <c r="H982" t="s">
        <v>2333</v>
      </c>
    </row>
    <row r="983" spans="1:8">
      <c r="A983">
        <v>814</v>
      </c>
      <c r="B983" t="s">
        <v>2334</v>
      </c>
      <c r="C983" t="s">
        <v>20</v>
      </c>
      <c r="D983" t="s">
        <v>2335</v>
      </c>
      <c r="E983" t="s">
        <v>33</v>
      </c>
      <c r="F983">
        <v>7</v>
      </c>
      <c r="G983" t="s">
        <v>25</v>
      </c>
      <c r="H983" t="s">
        <v>2336</v>
      </c>
    </row>
    <row r="984" spans="1:8">
      <c r="A984">
        <v>815</v>
      </c>
      <c r="B984" t="s">
        <v>836</v>
      </c>
      <c r="C984" t="s">
        <v>20</v>
      </c>
      <c r="D984" t="s">
        <v>2337</v>
      </c>
      <c r="E984" t="s">
        <v>16</v>
      </c>
      <c r="F984">
        <v>2</v>
      </c>
      <c r="G984" t="s">
        <v>12</v>
      </c>
      <c r="H984" t="s">
        <v>2338</v>
      </c>
    </row>
    <row r="985" spans="1:8">
      <c r="A985">
        <v>816</v>
      </c>
      <c r="B985" t="s">
        <v>716</v>
      </c>
      <c r="C985" t="s">
        <v>20</v>
      </c>
      <c r="D985" t="s">
        <v>2339</v>
      </c>
      <c r="E985" t="s">
        <v>16</v>
      </c>
      <c r="F985">
        <v>1</v>
      </c>
      <c r="G985" t="s">
        <v>12</v>
      </c>
      <c r="H985" t="s">
        <v>2340</v>
      </c>
    </row>
    <row r="986" spans="1:8">
      <c r="A986">
        <v>817</v>
      </c>
      <c r="B986" t="s">
        <v>830</v>
      </c>
      <c r="C986" t="s">
        <v>9</v>
      </c>
      <c r="D986" t="s">
        <v>2341</v>
      </c>
      <c r="E986" t="s">
        <v>33</v>
      </c>
      <c r="F986">
        <v>7</v>
      </c>
      <c r="G986" t="s">
        <v>17</v>
      </c>
      <c r="H986" t="s">
        <v>2200</v>
      </c>
    </row>
    <row r="987" spans="1:8">
      <c r="A987">
        <v>818</v>
      </c>
      <c r="B987" t="s">
        <v>830</v>
      </c>
      <c r="C987" t="s">
        <v>9</v>
      </c>
      <c r="D987" t="s">
        <v>2342</v>
      </c>
      <c r="E987" t="s">
        <v>16</v>
      </c>
      <c r="F987">
        <v>1</v>
      </c>
      <c r="G987" t="s">
        <v>25</v>
      </c>
      <c r="H987" t="s">
        <v>1028</v>
      </c>
    </row>
    <row r="988" spans="1:8">
      <c r="A988">
        <v>819</v>
      </c>
      <c r="B988" t="s">
        <v>507</v>
      </c>
      <c r="C988" t="s">
        <v>20</v>
      </c>
      <c r="D988" t="s">
        <v>2343</v>
      </c>
      <c r="E988" t="s">
        <v>16</v>
      </c>
      <c r="F988">
        <v>2</v>
      </c>
      <c r="G988" t="s">
        <v>25</v>
      </c>
      <c r="H988" t="s">
        <v>2344</v>
      </c>
    </row>
    <row r="989" spans="1:8">
      <c r="A989">
        <v>820</v>
      </c>
      <c r="B989" t="s">
        <v>2345</v>
      </c>
      <c r="C989" t="s">
        <v>9</v>
      </c>
      <c r="D989" t="s">
        <v>614</v>
      </c>
      <c r="E989" t="s">
        <v>11</v>
      </c>
      <c r="F989">
        <v>4</v>
      </c>
      <c r="G989" t="s">
        <v>25</v>
      </c>
      <c r="H989" t="s">
        <v>2346</v>
      </c>
    </row>
    <row r="990" spans="1:8">
      <c r="A990">
        <v>821</v>
      </c>
      <c r="B990" t="s">
        <v>1181</v>
      </c>
      <c r="C990" t="s">
        <v>20</v>
      </c>
      <c r="D990" t="s">
        <v>2347</v>
      </c>
      <c r="E990" t="s">
        <v>29</v>
      </c>
      <c r="F990">
        <v>6</v>
      </c>
      <c r="G990" t="s">
        <v>12</v>
      </c>
      <c r="H990" t="s">
        <v>2348</v>
      </c>
    </row>
    <row r="991" spans="1:8">
      <c r="A991">
        <v>822</v>
      </c>
      <c r="B991" t="s">
        <v>2349</v>
      </c>
      <c r="C991" t="s">
        <v>9</v>
      </c>
      <c r="D991" t="s">
        <v>2350</v>
      </c>
      <c r="E991" t="s">
        <v>16</v>
      </c>
      <c r="F991">
        <v>2</v>
      </c>
      <c r="G991" t="s">
        <v>17</v>
      </c>
      <c r="H991" t="s">
        <v>2351</v>
      </c>
    </row>
    <row r="992" spans="1:8">
      <c r="A992">
        <v>823</v>
      </c>
      <c r="B992" t="s">
        <v>1162</v>
      </c>
      <c r="C992" t="s">
        <v>9</v>
      </c>
      <c r="D992" t="s">
        <v>2352</v>
      </c>
      <c r="E992" t="s">
        <v>33</v>
      </c>
      <c r="F992">
        <v>7</v>
      </c>
      <c r="G992" t="s">
        <v>12</v>
      </c>
      <c r="H992" t="s">
        <v>1501</v>
      </c>
    </row>
    <row r="993" spans="1:8">
      <c r="A993">
        <v>824</v>
      </c>
      <c r="B993" t="s">
        <v>1022</v>
      </c>
      <c r="C993" t="s">
        <v>9</v>
      </c>
      <c r="D993" t="s">
        <v>767</v>
      </c>
      <c r="E993" t="s">
        <v>29</v>
      </c>
      <c r="F993">
        <v>6</v>
      </c>
      <c r="G993" t="s">
        <v>17</v>
      </c>
      <c r="H993" t="s">
        <v>1911</v>
      </c>
    </row>
    <row r="994" spans="1:8">
      <c r="A994">
        <v>825</v>
      </c>
      <c r="B994" t="s">
        <v>168</v>
      </c>
      <c r="C994" t="s">
        <v>20</v>
      </c>
      <c r="D994" t="s">
        <v>2353</v>
      </c>
      <c r="E994" t="s">
        <v>43</v>
      </c>
      <c r="F994">
        <v>3</v>
      </c>
      <c r="G994" t="s">
        <v>12</v>
      </c>
      <c r="H994" t="s">
        <v>2354</v>
      </c>
    </row>
    <row r="995" spans="1:8">
      <c r="A995">
        <v>826</v>
      </c>
      <c r="B995" t="s">
        <v>1657</v>
      </c>
      <c r="C995" t="s">
        <v>9</v>
      </c>
      <c r="D995" t="s">
        <v>2355</v>
      </c>
      <c r="E995" t="s">
        <v>53</v>
      </c>
      <c r="F995">
        <v>5</v>
      </c>
      <c r="G995" t="s">
        <v>25</v>
      </c>
      <c r="H995" t="s">
        <v>1856</v>
      </c>
    </row>
    <row r="996" spans="1:8">
      <c r="A996">
        <v>827</v>
      </c>
      <c r="B996" t="s">
        <v>2183</v>
      </c>
      <c r="C996" t="s">
        <v>9</v>
      </c>
      <c r="D996" t="s">
        <v>2356</v>
      </c>
      <c r="E996" t="s">
        <v>43</v>
      </c>
      <c r="F996">
        <v>3</v>
      </c>
      <c r="G996" t="s">
        <v>25</v>
      </c>
      <c r="H996" t="s">
        <v>2357</v>
      </c>
    </row>
    <row r="997" spans="1:8">
      <c r="A997">
        <v>828</v>
      </c>
      <c r="B997" t="s">
        <v>2050</v>
      </c>
      <c r="C997" t="s">
        <v>9</v>
      </c>
      <c r="D997" t="s">
        <v>2358</v>
      </c>
      <c r="E997" t="s">
        <v>11</v>
      </c>
      <c r="F997">
        <v>4</v>
      </c>
      <c r="G997" t="s">
        <v>12</v>
      </c>
      <c r="H997" t="s">
        <v>2359</v>
      </c>
    </row>
    <row r="998" spans="1:8">
      <c r="A998">
        <v>829</v>
      </c>
      <c r="B998" t="s">
        <v>1187</v>
      </c>
      <c r="C998" t="s">
        <v>20</v>
      </c>
      <c r="D998" t="s">
        <v>2360</v>
      </c>
      <c r="E998" t="s">
        <v>16</v>
      </c>
      <c r="F998">
        <v>2</v>
      </c>
      <c r="G998" t="s">
        <v>17</v>
      </c>
      <c r="H998" t="s">
        <v>1479</v>
      </c>
    </row>
    <row r="999" spans="1:8">
      <c r="A999">
        <v>830</v>
      </c>
      <c r="B999" t="s">
        <v>724</v>
      </c>
      <c r="C999" t="s">
        <v>9</v>
      </c>
      <c r="D999" t="s">
        <v>2361</v>
      </c>
      <c r="E999" t="s">
        <v>16</v>
      </c>
      <c r="F999">
        <v>2</v>
      </c>
      <c r="G999" t="s">
        <v>12</v>
      </c>
      <c r="H999" t="s">
        <v>2362</v>
      </c>
    </row>
    <row r="1000" spans="1:8">
      <c r="A1000">
        <v>831</v>
      </c>
      <c r="B1000" t="s">
        <v>2047</v>
      </c>
      <c r="C1000" t="s">
        <v>9</v>
      </c>
      <c r="D1000" t="s">
        <v>1025</v>
      </c>
      <c r="E1000" t="s">
        <v>53</v>
      </c>
      <c r="F1000">
        <v>5</v>
      </c>
      <c r="G1000" t="s">
        <v>12</v>
      </c>
      <c r="H1000" t="s">
        <v>2363</v>
      </c>
    </row>
    <row r="1001" spans="1:8">
      <c r="A1001">
        <v>832</v>
      </c>
      <c r="B1001" t="s">
        <v>1455</v>
      </c>
      <c r="C1001" t="s">
        <v>20</v>
      </c>
      <c r="D1001" t="s">
        <v>2364</v>
      </c>
      <c r="E1001" t="s">
        <v>11</v>
      </c>
      <c r="F1001">
        <v>4</v>
      </c>
      <c r="G1001" t="s">
        <v>12</v>
      </c>
      <c r="H1001" t="s">
        <v>2365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1"/>
  <sheetViews>
    <sheetView topLeftCell="A982" workbookViewId="0">
      <selection activeCell="F283" sqref="F283"/>
    </sheetView>
  </sheetViews>
  <sheetFormatPr defaultColWidth="10" defaultRowHeight="14.4"/>
  <cols>
    <col min="2" max="2" width="14.4444444444444" customWidth="1"/>
    <col min="3" max="3" width="11.6666666666667" customWidth="1"/>
    <col min="4" max="4" width="13.5555555555556" customWidth="1"/>
    <col min="5" max="5" width="15.7777777777778" style="7" customWidth="1"/>
    <col min="6" max="6" width="15.4444444444444" style="7" customWidth="1"/>
    <col min="7" max="7" width="15.5555555555556" customWidth="1"/>
    <col min="8" max="8" width="23.6666666666667" customWidth="1"/>
    <col min="9" max="9" width="7.88888888888889" customWidth="1"/>
    <col min="10" max="10" width="16.1111111111111" customWidth="1"/>
    <col min="11" max="11" width="23.6666666666667" style="9" customWidth="1"/>
    <col min="12" max="12" width="22.1111111111111" customWidth="1"/>
  </cols>
  <sheetData>
    <row r="1" spans="1:12">
      <c r="A1" t="s">
        <v>2366</v>
      </c>
      <c r="B1" t="s">
        <v>0</v>
      </c>
      <c r="C1" t="s">
        <v>5</v>
      </c>
      <c r="D1" t="s">
        <v>2367</v>
      </c>
      <c r="E1" s="7" t="s">
        <v>2368</v>
      </c>
      <c r="F1" s="7" t="s">
        <v>2369</v>
      </c>
      <c r="G1" t="s">
        <v>2370</v>
      </c>
      <c r="H1" t="s">
        <v>2371</v>
      </c>
      <c r="I1" t="s">
        <v>2372</v>
      </c>
      <c r="J1" t="s">
        <v>2373</v>
      </c>
      <c r="K1" s="9" t="s">
        <v>2374</v>
      </c>
      <c r="L1" t="s">
        <v>2375</v>
      </c>
    </row>
    <row r="2" spans="1:12">
      <c r="A2">
        <v>503</v>
      </c>
      <c r="B2">
        <v>964</v>
      </c>
      <c r="C2">
        <v>3</v>
      </c>
      <c r="D2" t="s">
        <v>2376</v>
      </c>
      <c r="E2" s="7">
        <v>144802.01</v>
      </c>
      <c r="F2" s="7">
        <v>12.52</v>
      </c>
      <c r="G2">
        <v>38</v>
      </c>
      <c r="H2" t="s">
        <v>949</v>
      </c>
      <c r="I2" t="s">
        <v>2377</v>
      </c>
      <c r="J2">
        <v>44</v>
      </c>
      <c r="K2" s="9">
        <f>DATEVALUE(LEFT(H2,10))</f>
        <v>45211</v>
      </c>
      <c r="L2">
        <f>_xlfn.NUMBERVALUE(E2,".",",")</f>
        <v>14480201</v>
      </c>
    </row>
    <row r="3" spans="1:12">
      <c r="A3">
        <v>504</v>
      </c>
      <c r="B3">
        <v>702</v>
      </c>
      <c r="C3">
        <v>2</v>
      </c>
      <c r="D3" t="s">
        <v>2376</v>
      </c>
      <c r="E3" s="7">
        <v>79987.33</v>
      </c>
      <c r="F3" s="7">
        <v>16.44</v>
      </c>
      <c r="G3">
        <v>115</v>
      </c>
      <c r="H3" t="s">
        <v>2378</v>
      </c>
      <c r="I3" t="s">
        <v>2377</v>
      </c>
      <c r="J3">
        <v>0</v>
      </c>
      <c r="K3" s="9">
        <f t="shared" ref="K3:K66" si="0">DATEVALUE(LEFT(H3,10))</f>
        <v>43971</v>
      </c>
      <c r="L3">
        <f t="shared" ref="L3:L66" si="1">_xlfn.NUMBERVALUE(E3,".",",")</f>
        <v>7998733</v>
      </c>
    </row>
    <row r="4" spans="1:12">
      <c r="A4">
        <v>505</v>
      </c>
      <c r="B4">
        <v>110</v>
      </c>
      <c r="C4">
        <v>7</v>
      </c>
      <c r="D4" t="s">
        <v>2379</v>
      </c>
      <c r="E4" s="7">
        <v>7888.64</v>
      </c>
      <c r="F4" s="7">
        <v>9.37</v>
      </c>
      <c r="G4">
        <v>57</v>
      </c>
      <c r="H4" t="s">
        <v>2380</v>
      </c>
      <c r="I4" t="s">
        <v>2377</v>
      </c>
      <c r="J4">
        <v>71</v>
      </c>
      <c r="K4" s="9">
        <f t="shared" si="0"/>
        <v>45825</v>
      </c>
      <c r="L4">
        <f t="shared" si="1"/>
        <v>788864</v>
      </c>
    </row>
    <row r="5" spans="1:12">
      <c r="A5">
        <v>506</v>
      </c>
      <c r="B5">
        <v>366</v>
      </c>
      <c r="C5">
        <v>1</v>
      </c>
      <c r="D5" t="s">
        <v>2376</v>
      </c>
      <c r="E5" s="7">
        <v>57335.63</v>
      </c>
      <c r="F5" s="7">
        <v>18.56</v>
      </c>
      <c r="G5">
        <v>49</v>
      </c>
      <c r="H5" t="s">
        <v>2381</v>
      </c>
      <c r="I5" t="s">
        <v>2377</v>
      </c>
      <c r="J5">
        <v>0</v>
      </c>
      <c r="K5" s="9">
        <f t="shared" si="0"/>
        <v>45603</v>
      </c>
      <c r="L5">
        <f t="shared" si="1"/>
        <v>5733563</v>
      </c>
    </row>
    <row r="6" spans="1:12">
      <c r="A6">
        <v>507</v>
      </c>
      <c r="B6">
        <v>629</v>
      </c>
      <c r="C6">
        <v>2</v>
      </c>
      <c r="D6" t="s">
        <v>2376</v>
      </c>
      <c r="E6" s="7">
        <v>68276.52</v>
      </c>
      <c r="F6" s="7">
        <v>13.67</v>
      </c>
      <c r="G6">
        <v>59</v>
      </c>
      <c r="H6" t="s">
        <v>2382</v>
      </c>
      <c r="I6" t="s">
        <v>2377</v>
      </c>
      <c r="J6">
        <v>0</v>
      </c>
      <c r="K6" s="9">
        <f t="shared" si="0"/>
        <v>44463</v>
      </c>
      <c r="L6">
        <f t="shared" si="1"/>
        <v>6827652</v>
      </c>
    </row>
    <row r="7" spans="1:12">
      <c r="A7">
        <v>508</v>
      </c>
      <c r="B7">
        <v>934</v>
      </c>
      <c r="C7">
        <v>2</v>
      </c>
      <c r="D7" t="s">
        <v>2379</v>
      </c>
      <c r="E7" s="7">
        <v>5395.2</v>
      </c>
      <c r="F7" s="7">
        <v>16.34</v>
      </c>
      <c r="G7">
        <v>55</v>
      </c>
      <c r="H7" t="s">
        <v>1522</v>
      </c>
      <c r="I7" t="s">
        <v>2383</v>
      </c>
      <c r="J7">
        <v>0</v>
      </c>
      <c r="K7" s="9">
        <f t="shared" si="0"/>
        <v>43956</v>
      </c>
      <c r="L7">
        <f t="shared" si="1"/>
        <v>53952</v>
      </c>
    </row>
    <row r="8" spans="1:12">
      <c r="A8">
        <v>509</v>
      </c>
      <c r="B8">
        <v>907</v>
      </c>
      <c r="C8">
        <v>7</v>
      </c>
      <c r="D8" t="s">
        <v>2376</v>
      </c>
      <c r="E8" s="7">
        <v>107604.16</v>
      </c>
      <c r="F8" s="7">
        <v>19.45</v>
      </c>
      <c r="G8">
        <v>53</v>
      </c>
      <c r="H8" t="s">
        <v>2384</v>
      </c>
      <c r="I8" t="s">
        <v>2377</v>
      </c>
      <c r="J8">
        <v>0</v>
      </c>
      <c r="K8" s="9">
        <f t="shared" si="0"/>
        <v>45663</v>
      </c>
      <c r="L8">
        <f t="shared" si="1"/>
        <v>10760416</v>
      </c>
    </row>
    <row r="9" spans="1:12">
      <c r="A9">
        <v>510</v>
      </c>
      <c r="B9">
        <v>326</v>
      </c>
      <c r="C9">
        <v>7</v>
      </c>
      <c r="D9" t="s">
        <v>2385</v>
      </c>
      <c r="E9" s="7">
        <v>7430.32</v>
      </c>
      <c r="F9" s="7">
        <v>12.87</v>
      </c>
      <c r="G9">
        <v>6</v>
      </c>
      <c r="H9" t="s">
        <v>2386</v>
      </c>
      <c r="I9" t="s">
        <v>2377</v>
      </c>
      <c r="J9">
        <v>0</v>
      </c>
      <c r="K9" s="9">
        <f t="shared" si="0"/>
        <v>45807</v>
      </c>
      <c r="L9">
        <f t="shared" si="1"/>
        <v>743032</v>
      </c>
    </row>
    <row r="10" spans="1:12">
      <c r="A10">
        <v>511</v>
      </c>
      <c r="B10">
        <v>352</v>
      </c>
      <c r="C10">
        <v>7</v>
      </c>
      <c r="D10" t="s">
        <v>2387</v>
      </c>
      <c r="E10" s="7">
        <v>99322.46</v>
      </c>
      <c r="F10" s="7">
        <v>14.86</v>
      </c>
      <c r="G10">
        <v>147</v>
      </c>
      <c r="H10" t="s">
        <v>2388</v>
      </c>
      <c r="I10" t="s">
        <v>2383</v>
      </c>
      <c r="J10">
        <v>0</v>
      </c>
      <c r="K10" s="9">
        <f t="shared" si="0"/>
        <v>44767</v>
      </c>
      <c r="L10">
        <f t="shared" si="1"/>
        <v>9932246</v>
      </c>
    </row>
    <row r="11" spans="1:12">
      <c r="A11">
        <v>512</v>
      </c>
      <c r="B11">
        <v>979</v>
      </c>
      <c r="C11">
        <v>1</v>
      </c>
      <c r="D11" t="s">
        <v>2379</v>
      </c>
      <c r="E11" s="7">
        <v>14436.78</v>
      </c>
      <c r="F11" s="7">
        <v>7.81</v>
      </c>
      <c r="G11">
        <v>20</v>
      </c>
      <c r="H11" t="s">
        <v>509</v>
      </c>
      <c r="I11" t="s">
        <v>2377</v>
      </c>
      <c r="J11">
        <v>0</v>
      </c>
      <c r="K11" s="9">
        <f t="shared" si="0"/>
        <v>45156</v>
      </c>
      <c r="L11">
        <f t="shared" si="1"/>
        <v>1443678</v>
      </c>
    </row>
    <row r="12" spans="1:12">
      <c r="A12">
        <v>513</v>
      </c>
      <c r="B12">
        <v>708</v>
      </c>
      <c r="C12">
        <v>2</v>
      </c>
      <c r="D12" t="s">
        <v>2387</v>
      </c>
      <c r="E12" s="7">
        <v>106322.24</v>
      </c>
      <c r="F12" s="7">
        <v>8.32</v>
      </c>
      <c r="G12">
        <v>280</v>
      </c>
      <c r="H12" t="s">
        <v>2389</v>
      </c>
      <c r="I12" t="s">
        <v>2383</v>
      </c>
      <c r="J12">
        <v>0</v>
      </c>
      <c r="K12" s="9">
        <f t="shared" si="0"/>
        <v>45256</v>
      </c>
      <c r="L12">
        <f t="shared" si="1"/>
        <v>10632224</v>
      </c>
    </row>
    <row r="13" spans="1:12">
      <c r="A13">
        <v>514</v>
      </c>
      <c r="B13">
        <v>243</v>
      </c>
      <c r="C13">
        <v>6</v>
      </c>
      <c r="D13" t="s">
        <v>2387</v>
      </c>
      <c r="E13" s="7">
        <v>136314.96</v>
      </c>
      <c r="F13" s="7">
        <v>11.88</v>
      </c>
      <c r="G13">
        <v>230</v>
      </c>
      <c r="H13" t="s">
        <v>2121</v>
      </c>
      <c r="I13" t="s">
        <v>2377</v>
      </c>
      <c r="J13">
        <v>0</v>
      </c>
      <c r="K13" s="9">
        <f t="shared" si="0"/>
        <v>45651</v>
      </c>
      <c r="L13">
        <f t="shared" si="1"/>
        <v>13631496</v>
      </c>
    </row>
    <row r="14" spans="1:12">
      <c r="A14">
        <v>515</v>
      </c>
      <c r="B14">
        <v>89</v>
      </c>
      <c r="C14">
        <v>1</v>
      </c>
      <c r="D14" t="s">
        <v>2390</v>
      </c>
      <c r="E14" s="7">
        <v>12025.71</v>
      </c>
      <c r="F14" s="7">
        <v>12.32</v>
      </c>
      <c r="G14">
        <v>71</v>
      </c>
      <c r="H14" t="s">
        <v>2391</v>
      </c>
      <c r="I14" t="s">
        <v>2377</v>
      </c>
      <c r="J14">
        <v>0</v>
      </c>
      <c r="K14" s="9">
        <f t="shared" si="0"/>
        <v>44811</v>
      </c>
      <c r="L14">
        <f t="shared" si="1"/>
        <v>1202571</v>
      </c>
    </row>
    <row r="15" spans="1:12">
      <c r="A15">
        <v>516</v>
      </c>
      <c r="B15">
        <v>702</v>
      </c>
      <c r="C15">
        <v>2</v>
      </c>
      <c r="D15" t="s">
        <v>2379</v>
      </c>
      <c r="E15" s="7">
        <v>11542.3</v>
      </c>
      <c r="F15" s="7">
        <v>14.3</v>
      </c>
      <c r="G15">
        <v>57</v>
      </c>
      <c r="H15" t="s">
        <v>2392</v>
      </c>
      <c r="I15" t="s">
        <v>2393</v>
      </c>
      <c r="J15">
        <v>303</v>
      </c>
      <c r="K15" s="9">
        <f t="shared" si="0"/>
        <v>44855</v>
      </c>
      <c r="L15">
        <f t="shared" si="1"/>
        <v>115423</v>
      </c>
    </row>
    <row r="16" spans="1:12">
      <c r="A16">
        <v>517</v>
      </c>
      <c r="B16">
        <v>261</v>
      </c>
      <c r="C16">
        <v>4</v>
      </c>
      <c r="D16" t="s">
        <v>2379</v>
      </c>
      <c r="E16" s="7">
        <v>5516.51</v>
      </c>
      <c r="F16" s="7">
        <v>8.89</v>
      </c>
      <c r="G16">
        <v>27</v>
      </c>
      <c r="H16" t="s">
        <v>1725</v>
      </c>
      <c r="I16" t="s">
        <v>2383</v>
      </c>
      <c r="J16">
        <v>0</v>
      </c>
      <c r="K16" s="9">
        <f t="shared" si="0"/>
        <v>44179</v>
      </c>
      <c r="L16">
        <f t="shared" si="1"/>
        <v>551651</v>
      </c>
    </row>
    <row r="17" spans="1:12">
      <c r="A17">
        <v>518</v>
      </c>
      <c r="B17">
        <v>430</v>
      </c>
      <c r="C17">
        <v>4</v>
      </c>
      <c r="D17" t="s">
        <v>2376</v>
      </c>
      <c r="E17" s="7">
        <v>140462.92</v>
      </c>
      <c r="F17" s="7">
        <v>17.47</v>
      </c>
      <c r="G17">
        <v>82</v>
      </c>
      <c r="H17" t="s">
        <v>2394</v>
      </c>
      <c r="I17" t="s">
        <v>2377</v>
      </c>
      <c r="J17">
        <v>0</v>
      </c>
      <c r="K17" s="9">
        <f t="shared" si="0"/>
        <v>43877</v>
      </c>
      <c r="L17">
        <f t="shared" si="1"/>
        <v>14046292</v>
      </c>
    </row>
    <row r="18" spans="1:12">
      <c r="A18">
        <v>519</v>
      </c>
      <c r="B18">
        <v>900</v>
      </c>
      <c r="C18">
        <v>7</v>
      </c>
      <c r="D18" t="s">
        <v>2387</v>
      </c>
      <c r="E18" s="7">
        <v>152095.89</v>
      </c>
      <c r="F18" s="7">
        <v>16.98</v>
      </c>
      <c r="G18">
        <v>301</v>
      </c>
      <c r="H18" t="s">
        <v>2395</v>
      </c>
      <c r="I18" t="s">
        <v>2383</v>
      </c>
      <c r="J18">
        <v>0</v>
      </c>
      <c r="K18" s="9">
        <f t="shared" si="0"/>
        <v>45142</v>
      </c>
      <c r="L18">
        <f t="shared" si="1"/>
        <v>15209589</v>
      </c>
    </row>
    <row r="19" spans="1:12">
      <c r="A19">
        <v>520</v>
      </c>
      <c r="B19">
        <v>957</v>
      </c>
      <c r="C19">
        <v>4</v>
      </c>
      <c r="D19" t="s">
        <v>2379</v>
      </c>
      <c r="E19" s="7">
        <v>3357.1</v>
      </c>
      <c r="F19" s="7">
        <v>10.5</v>
      </c>
      <c r="G19">
        <v>55</v>
      </c>
      <c r="H19" t="s">
        <v>2396</v>
      </c>
      <c r="I19" t="s">
        <v>2383</v>
      </c>
      <c r="J19">
        <v>0</v>
      </c>
      <c r="K19" s="9">
        <f t="shared" si="0"/>
        <v>44265</v>
      </c>
      <c r="L19">
        <f t="shared" si="1"/>
        <v>33571</v>
      </c>
    </row>
    <row r="20" spans="1:12">
      <c r="A20">
        <v>521</v>
      </c>
      <c r="B20">
        <v>706</v>
      </c>
      <c r="C20">
        <v>4</v>
      </c>
      <c r="D20" t="s">
        <v>2379</v>
      </c>
      <c r="E20" s="7">
        <v>8034.19</v>
      </c>
      <c r="F20" s="7">
        <v>20.27</v>
      </c>
      <c r="G20">
        <v>41</v>
      </c>
      <c r="H20" t="s">
        <v>2397</v>
      </c>
      <c r="I20" t="s">
        <v>2377</v>
      </c>
      <c r="J20">
        <v>33</v>
      </c>
      <c r="K20" s="9">
        <f t="shared" si="0"/>
        <v>45556</v>
      </c>
      <c r="L20">
        <f t="shared" si="1"/>
        <v>803419</v>
      </c>
    </row>
    <row r="21" spans="1:12">
      <c r="A21">
        <v>522</v>
      </c>
      <c r="B21">
        <v>933</v>
      </c>
      <c r="C21">
        <v>6</v>
      </c>
      <c r="D21" t="s">
        <v>2376</v>
      </c>
      <c r="E21" s="7">
        <v>39174.9</v>
      </c>
      <c r="F21" s="7">
        <v>14.01</v>
      </c>
      <c r="G21">
        <v>96</v>
      </c>
      <c r="H21" t="s">
        <v>2398</v>
      </c>
      <c r="I21" t="s">
        <v>2377</v>
      </c>
      <c r="J21">
        <v>69</v>
      </c>
      <c r="K21" s="9">
        <f t="shared" si="0"/>
        <v>44741</v>
      </c>
      <c r="L21">
        <f t="shared" si="1"/>
        <v>391749</v>
      </c>
    </row>
    <row r="22" spans="1:12">
      <c r="A22">
        <v>523</v>
      </c>
      <c r="B22">
        <v>902</v>
      </c>
      <c r="C22">
        <v>1</v>
      </c>
      <c r="D22" t="s">
        <v>2387</v>
      </c>
      <c r="E22" s="7">
        <v>126399.7</v>
      </c>
      <c r="F22" s="7">
        <v>8.41</v>
      </c>
      <c r="G22">
        <v>276</v>
      </c>
      <c r="H22" t="s">
        <v>2399</v>
      </c>
      <c r="I22" t="s">
        <v>2393</v>
      </c>
      <c r="J22">
        <v>157</v>
      </c>
      <c r="K22" s="9">
        <f t="shared" si="0"/>
        <v>44441</v>
      </c>
      <c r="L22">
        <f t="shared" si="1"/>
        <v>1263997</v>
      </c>
    </row>
    <row r="23" spans="1:12">
      <c r="A23">
        <v>524</v>
      </c>
      <c r="B23">
        <v>429</v>
      </c>
      <c r="C23">
        <v>5</v>
      </c>
      <c r="D23" t="s">
        <v>2390</v>
      </c>
      <c r="E23" s="7">
        <v>28675.25</v>
      </c>
      <c r="F23" s="7">
        <v>20.89</v>
      </c>
      <c r="G23">
        <v>60</v>
      </c>
      <c r="H23" t="s">
        <v>2400</v>
      </c>
      <c r="I23" t="s">
        <v>2377</v>
      </c>
      <c r="J23">
        <v>0</v>
      </c>
      <c r="K23" s="9">
        <f t="shared" si="0"/>
        <v>45596</v>
      </c>
      <c r="L23">
        <f t="shared" si="1"/>
        <v>2867525</v>
      </c>
    </row>
    <row r="24" spans="1:12">
      <c r="A24">
        <v>525</v>
      </c>
      <c r="B24">
        <v>405</v>
      </c>
      <c r="C24">
        <v>4</v>
      </c>
      <c r="D24" t="s">
        <v>2376</v>
      </c>
      <c r="E24" s="7">
        <v>86650.25</v>
      </c>
      <c r="F24" s="7">
        <v>6.76</v>
      </c>
      <c r="G24">
        <v>51</v>
      </c>
      <c r="H24" t="s">
        <v>2401</v>
      </c>
      <c r="I24" t="s">
        <v>2393</v>
      </c>
      <c r="J24">
        <v>290</v>
      </c>
      <c r="K24" s="9">
        <f t="shared" si="0"/>
        <v>44725</v>
      </c>
      <c r="L24">
        <f t="shared" si="1"/>
        <v>8665025</v>
      </c>
    </row>
    <row r="25" spans="1:12">
      <c r="A25">
        <v>526</v>
      </c>
      <c r="B25">
        <v>348</v>
      </c>
      <c r="C25">
        <v>7</v>
      </c>
      <c r="D25" t="s">
        <v>2379</v>
      </c>
      <c r="E25" s="7">
        <v>5007.46</v>
      </c>
      <c r="F25" s="7">
        <v>8.69</v>
      </c>
      <c r="G25">
        <v>14</v>
      </c>
      <c r="H25" t="s">
        <v>2402</v>
      </c>
      <c r="I25" t="s">
        <v>2383</v>
      </c>
      <c r="J25">
        <v>0</v>
      </c>
      <c r="K25" s="9">
        <f t="shared" si="0"/>
        <v>45630</v>
      </c>
      <c r="L25">
        <f t="shared" si="1"/>
        <v>500746</v>
      </c>
    </row>
    <row r="26" spans="1:12">
      <c r="A26">
        <v>527</v>
      </c>
      <c r="B26">
        <v>372</v>
      </c>
      <c r="C26">
        <v>4</v>
      </c>
      <c r="D26" t="s">
        <v>2390</v>
      </c>
      <c r="E26" s="7">
        <v>21487.02</v>
      </c>
      <c r="F26" s="7">
        <v>12.09</v>
      </c>
      <c r="G26">
        <v>82</v>
      </c>
      <c r="H26" t="s">
        <v>2403</v>
      </c>
      <c r="I26" t="s">
        <v>2377</v>
      </c>
      <c r="J26">
        <v>0</v>
      </c>
      <c r="K26" s="9">
        <f t="shared" si="0"/>
        <v>43851</v>
      </c>
      <c r="L26">
        <f t="shared" si="1"/>
        <v>2148702</v>
      </c>
    </row>
    <row r="27" spans="1:12">
      <c r="A27">
        <v>528</v>
      </c>
      <c r="B27">
        <v>932</v>
      </c>
      <c r="C27">
        <v>5</v>
      </c>
      <c r="D27" t="s">
        <v>2387</v>
      </c>
      <c r="E27" s="7">
        <v>131621.36</v>
      </c>
      <c r="F27" s="7">
        <v>14.66</v>
      </c>
      <c r="G27">
        <v>233</v>
      </c>
      <c r="H27" t="s">
        <v>2404</v>
      </c>
      <c r="I27" t="s">
        <v>2393</v>
      </c>
      <c r="J27">
        <v>327</v>
      </c>
      <c r="K27" s="9">
        <f t="shared" si="0"/>
        <v>45757</v>
      </c>
      <c r="L27">
        <f t="shared" si="1"/>
        <v>13162136</v>
      </c>
    </row>
    <row r="28" spans="1:12">
      <c r="A28">
        <v>529</v>
      </c>
      <c r="B28">
        <v>233</v>
      </c>
      <c r="C28">
        <v>1</v>
      </c>
      <c r="D28" t="s">
        <v>2385</v>
      </c>
      <c r="E28" s="7">
        <v>3271.66</v>
      </c>
      <c r="F28" s="7">
        <v>14.47</v>
      </c>
      <c r="G28">
        <v>32</v>
      </c>
      <c r="H28" t="s">
        <v>2405</v>
      </c>
      <c r="I28" t="s">
        <v>2377</v>
      </c>
      <c r="J28">
        <v>0</v>
      </c>
      <c r="K28" s="9">
        <f t="shared" si="0"/>
        <v>43849</v>
      </c>
      <c r="L28">
        <f t="shared" si="1"/>
        <v>327166</v>
      </c>
    </row>
    <row r="29" spans="1:12">
      <c r="A29">
        <v>530</v>
      </c>
      <c r="B29">
        <v>249</v>
      </c>
      <c r="C29">
        <v>6</v>
      </c>
      <c r="D29" t="s">
        <v>2379</v>
      </c>
      <c r="E29" s="7">
        <v>12138.1</v>
      </c>
      <c r="F29" s="7">
        <v>12.1</v>
      </c>
      <c r="G29">
        <v>49</v>
      </c>
      <c r="H29" t="s">
        <v>2406</v>
      </c>
      <c r="I29" t="s">
        <v>2377</v>
      </c>
      <c r="J29">
        <v>0</v>
      </c>
      <c r="K29" s="9">
        <f t="shared" si="0"/>
        <v>44234</v>
      </c>
      <c r="L29">
        <f t="shared" si="1"/>
        <v>121381</v>
      </c>
    </row>
    <row r="30" spans="1:12">
      <c r="A30">
        <v>531</v>
      </c>
      <c r="B30">
        <v>739</v>
      </c>
      <c r="C30">
        <v>6</v>
      </c>
      <c r="D30" t="s">
        <v>2376</v>
      </c>
      <c r="E30" s="7">
        <v>100872.7</v>
      </c>
      <c r="F30" s="7">
        <v>21.06</v>
      </c>
      <c r="G30">
        <v>15</v>
      </c>
      <c r="H30" t="s">
        <v>1134</v>
      </c>
      <c r="I30" t="s">
        <v>2377</v>
      </c>
      <c r="J30">
        <v>0</v>
      </c>
      <c r="K30" s="9">
        <f t="shared" si="0"/>
        <v>44909</v>
      </c>
      <c r="L30">
        <f t="shared" si="1"/>
        <v>1008727</v>
      </c>
    </row>
    <row r="31" spans="1:12">
      <c r="A31">
        <v>532</v>
      </c>
      <c r="B31">
        <v>469</v>
      </c>
      <c r="C31">
        <v>1</v>
      </c>
      <c r="D31" t="s">
        <v>2390</v>
      </c>
      <c r="E31" s="7">
        <v>39596.7</v>
      </c>
      <c r="F31" s="7">
        <v>6.07</v>
      </c>
      <c r="G31">
        <v>80</v>
      </c>
      <c r="H31" t="s">
        <v>530</v>
      </c>
      <c r="I31" t="s">
        <v>2383</v>
      </c>
      <c r="J31">
        <v>0</v>
      </c>
      <c r="K31" s="9">
        <f t="shared" si="0"/>
        <v>44554</v>
      </c>
      <c r="L31">
        <f t="shared" si="1"/>
        <v>395967</v>
      </c>
    </row>
    <row r="32" spans="1:12">
      <c r="A32">
        <v>533</v>
      </c>
      <c r="B32">
        <v>960</v>
      </c>
      <c r="C32">
        <v>7</v>
      </c>
      <c r="D32" t="s">
        <v>2390</v>
      </c>
      <c r="E32" s="7">
        <v>32046.48</v>
      </c>
      <c r="F32" s="7">
        <v>17.16</v>
      </c>
      <c r="G32">
        <v>34</v>
      </c>
      <c r="H32" t="s">
        <v>331</v>
      </c>
      <c r="I32" t="s">
        <v>2393</v>
      </c>
      <c r="J32">
        <v>153</v>
      </c>
      <c r="K32" s="9">
        <f t="shared" si="0"/>
        <v>44284</v>
      </c>
      <c r="L32">
        <f t="shared" si="1"/>
        <v>3204648</v>
      </c>
    </row>
    <row r="33" spans="1:12">
      <c r="A33">
        <v>534</v>
      </c>
      <c r="B33">
        <v>621</v>
      </c>
      <c r="C33">
        <v>4</v>
      </c>
      <c r="D33" t="s">
        <v>2385</v>
      </c>
      <c r="E33" s="7">
        <v>2561.95</v>
      </c>
      <c r="F33" s="7">
        <v>19.19</v>
      </c>
      <c r="G33">
        <v>29</v>
      </c>
      <c r="H33" t="s">
        <v>2407</v>
      </c>
      <c r="I33" t="s">
        <v>2377</v>
      </c>
      <c r="J33">
        <v>0</v>
      </c>
      <c r="K33" s="9">
        <f t="shared" si="0"/>
        <v>44254</v>
      </c>
      <c r="L33">
        <f t="shared" si="1"/>
        <v>256195</v>
      </c>
    </row>
    <row r="34" spans="1:12">
      <c r="A34">
        <v>535</v>
      </c>
      <c r="B34">
        <v>670</v>
      </c>
      <c r="C34">
        <v>5</v>
      </c>
      <c r="D34" t="s">
        <v>2385</v>
      </c>
      <c r="E34" s="7">
        <v>2079.28</v>
      </c>
      <c r="F34" s="7">
        <v>13.72</v>
      </c>
      <c r="G34">
        <v>21</v>
      </c>
      <c r="H34" t="s">
        <v>2408</v>
      </c>
      <c r="I34" t="s">
        <v>2377</v>
      </c>
      <c r="J34">
        <v>0</v>
      </c>
      <c r="K34" s="9">
        <f t="shared" si="0"/>
        <v>44828</v>
      </c>
      <c r="L34">
        <f t="shared" si="1"/>
        <v>207928</v>
      </c>
    </row>
    <row r="35" spans="1:12">
      <c r="A35">
        <v>536</v>
      </c>
      <c r="B35">
        <v>701</v>
      </c>
      <c r="C35">
        <v>3</v>
      </c>
      <c r="D35" t="s">
        <v>2390</v>
      </c>
      <c r="E35" s="7">
        <v>16932.81</v>
      </c>
      <c r="F35" s="7">
        <v>15.54</v>
      </c>
      <c r="G35">
        <v>73</v>
      </c>
      <c r="H35" t="s">
        <v>2409</v>
      </c>
      <c r="I35" t="s">
        <v>2383</v>
      </c>
      <c r="J35">
        <v>0</v>
      </c>
      <c r="K35" s="9">
        <f t="shared" si="0"/>
        <v>44573</v>
      </c>
      <c r="L35">
        <f t="shared" si="1"/>
        <v>1693281</v>
      </c>
    </row>
    <row r="36" spans="1:12">
      <c r="A36">
        <v>537</v>
      </c>
      <c r="B36">
        <v>461</v>
      </c>
      <c r="C36">
        <v>6</v>
      </c>
      <c r="D36" t="s">
        <v>2379</v>
      </c>
      <c r="E36" s="7">
        <v>5942.55</v>
      </c>
      <c r="F36" s="7">
        <v>13.94</v>
      </c>
      <c r="G36">
        <v>58</v>
      </c>
      <c r="H36" t="s">
        <v>987</v>
      </c>
      <c r="I36" t="s">
        <v>2377</v>
      </c>
      <c r="J36">
        <v>0</v>
      </c>
      <c r="K36" s="9">
        <f t="shared" si="0"/>
        <v>45123</v>
      </c>
      <c r="L36">
        <f t="shared" si="1"/>
        <v>594255</v>
      </c>
    </row>
    <row r="37" spans="1:12">
      <c r="A37">
        <v>538</v>
      </c>
      <c r="B37">
        <v>238</v>
      </c>
      <c r="C37">
        <v>3</v>
      </c>
      <c r="D37" t="s">
        <v>2379</v>
      </c>
      <c r="E37" s="7">
        <v>1499.15</v>
      </c>
      <c r="F37" s="7">
        <v>19.75</v>
      </c>
      <c r="G37">
        <v>28</v>
      </c>
      <c r="H37" t="s">
        <v>2410</v>
      </c>
      <c r="I37" t="s">
        <v>2383</v>
      </c>
      <c r="J37">
        <v>0</v>
      </c>
      <c r="K37" s="9">
        <f t="shared" si="0"/>
        <v>44143</v>
      </c>
      <c r="L37">
        <f t="shared" si="1"/>
        <v>149915</v>
      </c>
    </row>
    <row r="38" spans="1:12">
      <c r="A38">
        <v>539</v>
      </c>
      <c r="B38">
        <v>989</v>
      </c>
      <c r="C38">
        <v>1</v>
      </c>
      <c r="D38" t="s">
        <v>2379</v>
      </c>
      <c r="E38" s="7">
        <v>5904.77</v>
      </c>
      <c r="F38" s="7">
        <v>13.41</v>
      </c>
      <c r="G38">
        <v>34</v>
      </c>
      <c r="H38" t="s">
        <v>2194</v>
      </c>
      <c r="I38" t="s">
        <v>2377</v>
      </c>
      <c r="J38">
        <v>0</v>
      </c>
      <c r="K38" s="9">
        <f t="shared" si="0"/>
        <v>44729</v>
      </c>
      <c r="L38">
        <f t="shared" si="1"/>
        <v>590477</v>
      </c>
    </row>
    <row r="39" spans="1:12">
      <c r="A39">
        <v>540</v>
      </c>
      <c r="B39">
        <v>497</v>
      </c>
      <c r="C39">
        <v>6</v>
      </c>
      <c r="D39" t="s">
        <v>2379</v>
      </c>
      <c r="E39" s="7">
        <v>10245.78</v>
      </c>
      <c r="F39" s="7">
        <v>5.24</v>
      </c>
      <c r="G39">
        <v>7</v>
      </c>
      <c r="H39" t="s">
        <v>2266</v>
      </c>
      <c r="I39" t="s">
        <v>2377</v>
      </c>
      <c r="J39">
        <v>0</v>
      </c>
      <c r="K39" s="9">
        <f t="shared" si="0"/>
        <v>44504</v>
      </c>
      <c r="L39">
        <f t="shared" si="1"/>
        <v>1024578</v>
      </c>
    </row>
    <row r="40" spans="1:12">
      <c r="A40">
        <v>541</v>
      </c>
      <c r="B40">
        <v>693</v>
      </c>
      <c r="C40">
        <v>7</v>
      </c>
      <c r="D40" t="s">
        <v>2387</v>
      </c>
      <c r="E40" s="7">
        <v>89731.63</v>
      </c>
      <c r="F40" s="7">
        <v>10.31</v>
      </c>
      <c r="G40">
        <v>166</v>
      </c>
      <c r="H40" t="s">
        <v>2411</v>
      </c>
      <c r="I40" t="s">
        <v>2377</v>
      </c>
      <c r="J40">
        <v>0</v>
      </c>
      <c r="K40" s="9">
        <f t="shared" si="0"/>
        <v>44791</v>
      </c>
      <c r="L40">
        <f t="shared" si="1"/>
        <v>8973163</v>
      </c>
    </row>
    <row r="41" spans="1:12">
      <c r="A41">
        <v>542</v>
      </c>
      <c r="B41">
        <v>769</v>
      </c>
      <c r="C41">
        <v>3</v>
      </c>
      <c r="D41" t="s">
        <v>2390</v>
      </c>
      <c r="E41" s="7">
        <v>37365.44</v>
      </c>
      <c r="F41" s="7">
        <v>11.37</v>
      </c>
      <c r="G41">
        <v>58</v>
      </c>
      <c r="H41" t="s">
        <v>845</v>
      </c>
      <c r="I41" t="s">
        <v>2377</v>
      </c>
      <c r="J41">
        <v>0</v>
      </c>
      <c r="K41" s="9">
        <f t="shared" si="0"/>
        <v>45173</v>
      </c>
      <c r="L41">
        <f t="shared" si="1"/>
        <v>3736544</v>
      </c>
    </row>
    <row r="42" spans="1:12">
      <c r="A42">
        <v>543</v>
      </c>
      <c r="B42">
        <v>262</v>
      </c>
      <c r="C42">
        <v>3</v>
      </c>
      <c r="D42" t="s">
        <v>2387</v>
      </c>
      <c r="E42" s="7">
        <v>181409.06</v>
      </c>
      <c r="F42" s="7">
        <v>9.74</v>
      </c>
      <c r="G42">
        <v>305</v>
      </c>
      <c r="H42" t="s">
        <v>2412</v>
      </c>
      <c r="I42" t="s">
        <v>2377</v>
      </c>
      <c r="J42">
        <v>0</v>
      </c>
      <c r="K42" s="9">
        <f t="shared" si="0"/>
        <v>44192</v>
      </c>
      <c r="L42">
        <f t="shared" si="1"/>
        <v>18140906</v>
      </c>
    </row>
    <row r="43" spans="1:12">
      <c r="A43">
        <v>544</v>
      </c>
      <c r="B43">
        <v>121</v>
      </c>
      <c r="C43">
        <v>1</v>
      </c>
      <c r="D43" t="s">
        <v>2390</v>
      </c>
      <c r="E43" s="7">
        <v>20276.54</v>
      </c>
      <c r="F43" s="7">
        <v>19.64</v>
      </c>
      <c r="G43">
        <v>83</v>
      </c>
      <c r="H43" t="s">
        <v>802</v>
      </c>
      <c r="I43" t="s">
        <v>2383</v>
      </c>
      <c r="J43">
        <v>0</v>
      </c>
      <c r="K43" s="9">
        <f t="shared" si="0"/>
        <v>44311</v>
      </c>
      <c r="L43">
        <f t="shared" si="1"/>
        <v>2027654</v>
      </c>
    </row>
    <row r="44" spans="1:12">
      <c r="A44">
        <v>545</v>
      </c>
      <c r="B44">
        <v>607</v>
      </c>
      <c r="C44">
        <v>5</v>
      </c>
      <c r="D44" t="s">
        <v>2390</v>
      </c>
      <c r="E44" s="7">
        <v>37297.23</v>
      </c>
      <c r="F44" s="7">
        <v>17.26</v>
      </c>
      <c r="G44">
        <v>37</v>
      </c>
      <c r="H44" t="s">
        <v>2413</v>
      </c>
      <c r="I44" t="s">
        <v>2377</v>
      </c>
      <c r="J44">
        <v>67</v>
      </c>
      <c r="K44" s="9">
        <f t="shared" si="0"/>
        <v>44525</v>
      </c>
      <c r="L44">
        <f t="shared" si="1"/>
        <v>3729723</v>
      </c>
    </row>
    <row r="45" spans="1:12">
      <c r="A45">
        <v>546</v>
      </c>
      <c r="B45">
        <v>854</v>
      </c>
      <c r="C45">
        <v>5</v>
      </c>
      <c r="D45" t="s">
        <v>2390</v>
      </c>
      <c r="E45" s="7">
        <v>11518.52</v>
      </c>
      <c r="F45" s="7">
        <v>6.97</v>
      </c>
      <c r="G45">
        <v>76</v>
      </c>
      <c r="H45" t="s">
        <v>2414</v>
      </c>
      <c r="I45" t="s">
        <v>2377</v>
      </c>
      <c r="J45">
        <v>0</v>
      </c>
      <c r="K45" s="9">
        <f t="shared" si="0"/>
        <v>45706</v>
      </c>
      <c r="L45">
        <f t="shared" si="1"/>
        <v>1151852</v>
      </c>
    </row>
    <row r="46" spans="1:12">
      <c r="A46">
        <v>547</v>
      </c>
      <c r="B46">
        <v>712</v>
      </c>
      <c r="C46">
        <v>6</v>
      </c>
      <c r="D46" t="s">
        <v>2379</v>
      </c>
      <c r="E46" s="7">
        <v>12261.15</v>
      </c>
      <c r="F46" s="7">
        <v>13.77</v>
      </c>
      <c r="G46">
        <v>21</v>
      </c>
      <c r="H46" t="s">
        <v>799</v>
      </c>
      <c r="I46" t="s">
        <v>2393</v>
      </c>
      <c r="J46">
        <v>313</v>
      </c>
      <c r="K46" s="9">
        <f t="shared" si="0"/>
        <v>45232</v>
      </c>
      <c r="L46">
        <f t="shared" si="1"/>
        <v>1226115</v>
      </c>
    </row>
    <row r="47" spans="1:12">
      <c r="A47">
        <v>548</v>
      </c>
      <c r="B47">
        <v>418</v>
      </c>
      <c r="C47">
        <v>6</v>
      </c>
      <c r="D47" t="s">
        <v>2379</v>
      </c>
      <c r="E47" s="7">
        <v>3634.41</v>
      </c>
      <c r="F47" s="7">
        <v>17.21</v>
      </c>
      <c r="G47">
        <v>15</v>
      </c>
      <c r="H47" t="s">
        <v>2415</v>
      </c>
      <c r="I47" t="s">
        <v>2383</v>
      </c>
      <c r="J47">
        <v>0</v>
      </c>
      <c r="K47" s="9">
        <f t="shared" si="0"/>
        <v>44011</v>
      </c>
      <c r="L47">
        <f t="shared" si="1"/>
        <v>363441</v>
      </c>
    </row>
    <row r="48" spans="1:12">
      <c r="A48">
        <v>549</v>
      </c>
      <c r="B48">
        <v>194</v>
      </c>
      <c r="C48">
        <v>4</v>
      </c>
      <c r="D48" t="s">
        <v>2390</v>
      </c>
      <c r="E48" s="7">
        <v>12762.83</v>
      </c>
      <c r="F48" s="7">
        <v>17.25</v>
      </c>
      <c r="G48">
        <v>41</v>
      </c>
      <c r="H48" t="s">
        <v>2252</v>
      </c>
      <c r="I48" t="s">
        <v>2377</v>
      </c>
      <c r="J48">
        <v>11</v>
      </c>
      <c r="K48" s="9">
        <f t="shared" si="0"/>
        <v>44107</v>
      </c>
      <c r="L48">
        <f t="shared" si="1"/>
        <v>1276283</v>
      </c>
    </row>
    <row r="49" spans="1:12">
      <c r="A49">
        <v>550</v>
      </c>
      <c r="B49">
        <v>319</v>
      </c>
      <c r="C49">
        <v>4</v>
      </c>
      <c r="D49" t="s">
        <v>2385</v>
      </c>
      <c r="E49" s="7">
        <v>6608.87</v>
      </c>
      <c r="F49" s="7">
        <v>6.95</v>
      </c>
      <c r="G49">
        <v>17</v>
      </c>
      <c r="H49" t="s">
        <v>1161</v>
      </c>
      <c r="I49" t="s">
        <v>2377</v>
      </c>
      <c r="J49">
        <v>0</v>
      </c>
      <c r="K49" s="9">
        <f t="shared" si="0"/>
        <v>44221</v>
      </c>
      <c r="L49">
        <f t="shared" si="1"/>
        <v>660887</v>
      </c>
    </row>
    <row r="50" spans="1:12">
      <c r="A50">
        <v>551</v>
      </c>
      <c r="B50">
        <v>766</v>
      </c>
      <c r="C50">
        <v>6</v>
      </c>
      <c r="D50" t="s">
        <v>2387</v>
      </c>
      <c r="E50" s="7">
        <v>92837.72</v>
      </c>
      <c r="F50" s="7">
        <v>20.94</v>
      </c>
      <c r="G50">
        <v>210</v>
      </c>
      <c r="H50" t="s">
        <v>1967</v>
      </c>
      <c r="I50" t="s">
        <v>2377</v>
      </c>
      <c r="J50">
        <v>0</v>
      </c>
      <c r="K50" s="9">
        <f t="shared" si="0"/>
        <v>45275</v>
      </c>
      <c r="L50">
        <f t="shared" si="1"/>
        <v>9283772</v>
      </c>
    </row>
    <row r="51" spans="1:12">
      <c r="A51">
        <v>552</v>
      </c>
      <c r="B51">
        <v>565</v>
      </c>
      <c r="C51">
        <v>1</v>
      </c>
      <c r="D51" t="s">
        <v>2390</v>
      </c>
      <c r="E51" s="7">
        <v>36617.84</v>
      </c>
      <c r="F51" s="7">
        <v>14.51</v>
      </c>
      <c r="G51">
        <v>27</v>
      </c>
      <c r="H51" t="s">
        <v>2416</v>
      </c>
      <c r="I51" t="s">
        <v>2393</v>
      </c>
      <c r="J51">
        <v>114</v>
      </c>
      <c r="K51" s="9">
        <f t="shared" si="0"/>
        <v>45823</v>
      </c>
      <c r="L51">
        <f t="shared" si="1"/>
        <v>3661784</v>
      </c>
    </row>
    <row r="52" spans="1:12">
      <c r="A52">
        <v>553</v>
      </c>
      <c r="B52">
        <v>417</v>
      </c>
      <c r="C52">
        <v>3</v>
      </c>
      <c r="D52" t="s">
        <v>2390</v>
      </c>
      <c r="E52" s="7">
        <v>26881.9</v>
      </c>
      <c r="F52" s="7">
        <v>12.49</v>
      </c>
      <c r="G52">
        <v>39</v>
      </c>
      <c r="H52" t="s">
        <v>349</v>
      </c>
      <c r="I52" t="s">
        <v>2383</v>
      </c>
      <c r="J52">
        <v>0</v>
      </c>
      <c r="K52" s="9">
        <f t="shared" si="0"/>
        <v>44249</v>
      </c>
      <c r="L52">
        <f t="shared" si="1"/>
        <v>268819</v>
      </c>
    </row>
    <row r="53" spans="1:12">
      <c r="A53">
        <v>554</v>
      </c>
      <c r="B53">
        <v>30</v>
      </c>
      <c r="C53">
        <v>5</v>
      </c>
      <c r="D53" t="s">
        <v>2379</v>
      </c>
      <c r="E53" s="7">
        <v>7263.69</v>
      </c>
      <c r="F53" s="7">
        <v>15.72</v>
      </c>
      <c r="G53">
        <v>43</v>
      </c>
      <c r="H53" t="s">
        <v>2417</v>
      </c>
      <c r="I53" t="s">
        <v>2393</v>
      </c>
      <c r="J53">
        <v>267</v>
      </c>
      <c r="K53" s="9">
        <f t="shared" si="0"/>
        <v>45622</v>
      </c>
      <c r="L53">
        <f t="shared" si="1"/>
        <v>726369</v>
      </c>
    </row>
    <row r="54" spans="1:12">
      <c r="A54">
        <v>555</v>
      </c>
      <c r="B54">
        <v>183</v>
      </c>
      <c r="C54">
        <v>1</v>
      </c>
      <c r="D54" t="s">
        <v>2376</v>
      </c>
      <c r="E54" s="7">
        <v>81588.38</v>
      </c>
      <c r="F54" s="7">
        <v>16.15</v>
      </c>
      <c r="G54">
        <v>71</v>
      </c>
      <c r="H54" t="s">
        <v>746</v>
      </c>
      <c r="I54" t="s">
        <v>2377</v>
      </c>
      <c r="J54">
        <v>71</v>
      </c>
      <c r="K54" s="9">
        <f t="shared" si="0"/>
        <v>45456</v>
      </c>
      <c r="L54">
        <f t="shared" si="1"/>
        <v>8158838</v>
      </c>
    </row>
    <row r="55" spans="1:12">
      <c r="A55">
        <v>556</v>
      </c>
      <c r="B55">
        <v>569</v>
      </c>
      <c r="C55">
        <v>3</v>
      </c>
      <c r="D55" t="s">
        <v>2387</v>
      </c>
      <c r="E55" s="7">
        <v>167764.77</v>
      </c>
      <c r="F55" s="7">
        <v>13.49</v>
      </c>
      <c r="G55">
        <v>287</v>
      </c>
      <c r="H55" t="s">
        <v>2418</v>
      </c>
      <c r="I55" t="s">
        <v>2377</v>
      </c>
      <c r="J55">
        <v>0</v>
      </c>
      <c r="K55" s="9">
        <f t="shared" si="0"/>
        <v>43963</v>
      </c>
      <c r="L55">
        <f t="shared" si="1"/>
        <v>16776477</v>
      </c>
    </row>
    <row r="56" spans="1:12">
      <c r="A56">
        <v>557</v>
      </c>
      <c r="B56">
        <v>392</v>
      </c>
      <c r="C56">
        <v>2</v>
      </c>
      <c r="D56" t="s">
        <v>2390</v>
      </c>
      <c r="E56" s="7">
        <v>28762.12</v>
      </c>
      <c r="F56" s="7">
        <v>11.86</v>
      </c>
      <c r="G56">
        <v>57</v>
      </c>
      <c r="H56" t="s">
        <v>1605</v>
      </c>
      <c r="I56" t="s">
        <v>2383</v>
      </c>
      <c r="J56">
        <v>0</v>
      </c>
      <c r="K56" s="9">
        <f t="shared" si="0"/>
        <v>45639</v>
      </c>
      <c r="L56">
        <f t="shared" si="1"/>
        <v>2876212</v>
      </c>
    </row>
    <row r="57" spans="1:12">
      <c r="A57">
        <v>558</v>
      </c>
      <c r="B57">
        <v>288</v>
      </c>
      <c r="C57">
        <v>1</v>
      </c>
      <c r="D57" t="s">
        <v>2379</v>
      </c>
      <c r="E57" s="7">
        <v>14626.42</v>
      </c>
      <c r="F57" s="7">
        <v>19.11</v>
      </c>
      <c r="G57">
        <v>6</v>
      </c>
      <c r="H57" t="s">
        <v>2419</v>
      </c>
      <c r="I57" t="s">
        <v>2377</v>
      </c>
      <c r="J57">
        <v>36</v>
      </c>
      <c r="K57" s="9">
        <f t="shared" si="0"/>
        <v>45215</v>
      </c>
      <c r="L57">
        <f t="shared" si="1"/>
        <v>1462642</v>
      </c>
    </row>
    <row r="58" spans="1:12">
      <c r="A58">
        <v>559</v>
      </c>
      <c r="B58">
        <v>894</v>
      </c>
      <c r="C58">
        <v>5</v>
      </c>
      <c r="D58" t="s">
        <v>2390</v>
      </c>
      <c r="E58" s="7">
        <v>31037.18</v>
      </c>
      <c r="F58" s="7">
        <v>9.64</v>
      </c>
      <c r="G58">
        <v>46</v>
      </c>
      <c r="H58" t="s">
        <v>2420</v>
      </c>
      <c r="I58" t="s">
        <v>2383</v>
      </c>
      <c r="J58">
        <v>0</v>
      </c>
      <c r="K58" s="9">
        <f t="shared" si="0"/>
        <v>45813</v>
      </c>
      <c r="L58">
        <f t="shared" si="1"/>
        <v>3103718</v>
      </c>
    </row>
    <row r="59" spans="1:12">
      <c r="A59">
        <v>560</v>
      </c>
      <c r="B59">
        <v>986</v>
      </c>
      <c r="C59">
        <v>1</v>
      </c>
      <c r="D59" t="s">
        <v>2379</v>
      </c>
      <c r="E59" s="7">
        <v>6252.21</v>
      </c>
      <c r="F59" s="7">
        <v>20.98</v>
      </c>
      <c r="G59">
        <v>57</v>
      </c>
      <c r="H59" t="s">
        <v>2421</v>
      </c>
      <c r="I59" t="s">
        <v>2377</v>
      </c>
      <c r="J59">
        <v>0</v>
      </c>
      <c r="K59" s="9">
        <f t="shared" si="0"/>
        <v>44382</v>
      </c>
      <c r="L59">
        <f t="shared" si="1"/>
        <v>625221</v>
      </c>
    </row>
    <row r="60" spans="1:12">
      <c r="A60">
        <v>561</v>
      </c>
      <c r="B60">
        <v>915</v>
      </c>
      <c r="C60">
        <v>3</v>
      </c>
      <c r="D60" t="s">
        <v>2379</v>
      </c>
      <c r="E60" s="7">
        <v>5711.66</v>
      </c>
      <c r="F60" s="7">
        <v>10.03</v>
      </c>
      <c r="G60">
        <v>16</v>
      </c>
      <c r="H60" t="s">
        <v>2365</v>
      </c>
      <c r="I60" t="s">
        <v>2377</v>
      </c>
      <c r="J60">
        <v>0</v>
      </c>
      <c r="K60" s="9">
        <f t="shared" si="0"/>
        <v>45579</v>
      </c>
      <c r="L60">
        <f t="shared" si="1"/>
        <v>571166</v>
      </c>
    </row>
    <row r="61" spans="1:12">
      <c r="A61">
        <v>562</v>
      </c>
      <c r="B61">
        <v>472</v>
      </c>
      <c r="C61">
        <v>7</v>
      </c>
      <c r="D61" t="s">
        <v>2390</v>
      </c>
      <c r="E61" s="7">
        <v>25845.3</v>
      </c>
      <c r="F61" s="7">
        <v>13.49</v>
      </c>
      <c r="G61">
        <v>53</v>
      </c>
      <c r="H61" t="s">
        <v>2422</v>
      </c>
      <c r="I61" t="s">
        <v>2377</v>
      </c>
      <c r="J61">
        <v>0</v>
      </c>
      <c r="K61" s="9">
        <f t="shared" si="0"/>
        <v>44523</v>
      </c>
      <c r="L61">
        <f t="shared" si="1"/>
        <v>258453</v>
      </c>
    </row>
    <row r="62" spans="1:12">
      <c r="A62">
        <v>563</v>
      </c>
      <c r="B62">
        <v>462</v>
      </c>
      <c r="C62">
        <v>5</v>
      </c>
      <c r="D62" t="s">
        <v>2379</v>
      </c>
      <c r="E62" s="7">
        <v>8070.14</v>
      </c>
      <c r="F62" s="7">
        <v>18.13</v>
      </c>
      <c r="G62">
        <v>9</v>
      </c>
      <c r="H62" t="s">
        <v>2423</v>
      </c>
      <c r="I62" t="s">
        <v>2377</v>
      </c>
      <c r="J62">
        <v>0</v>
      </c>
      <c r="K62" s="9">
        <f t="shared" si="0"/>
        <v>43938</v>
      </c>
      <c r="L62">
        <f t="shared" si="1"/>
        <v>807014</v>
      </c>
    </row>
    <row r="63" spans="1:12">
      <c r="A63">
        <v>564</v>
      </c>
      <c r="B63">
        <v>988</v>
      </c>
      <c r="C63">
        <v>2</v>
      </c>
      <c r="D63" t="s">
        <v>2379</v>
      </c>
      <c r="E63" s="7">
        <v>9402.66</v>
      </c>
      <c r="F63" s="7">
        <v>16.53</v>
      </c>
      <c r="G63">
        <v>32</v>
      </c>
      <c r="H63" t="s">
        <v>2424</v>
      </c>
      <c r="I63" t="s">
        <v>2377</v>
      </c>
      <c r="J63">
        <v>0</v>
      </c>
      <c r="K63" s="9">
        <f t="shared" si="0"/>
        <v>45798</v>
      </c>
      <c r="L63">
        <f t="shared" si="1"/>
        <v>940266</v>
      </c>
    </row>
    <row r="64" spans="1:12">
      <c r="A64">
        <v>565</v>
      </c>
      <c r="B64">
        <v>316</v>
      </c>
      <c r="C64">
        <v>1</v>
      </c>
      <c r="D64" t="s">
        <v>2390</v>
      </c>
      <c r="E64" s="7">
        <v>14194.57</v>
      </c>
      <c r="F64" s="7">
        <v>14.53</v>
      </c>
      <c r="G64">
        <v>31</v>
      </c>
      <c r="H64" t="s">
        <v>2425</v>
      </c>
      <c r="I64" t="s">
        <v>2377</v>
      </c>
      <c r="J64">
        <v>0</v>
      </c>
      <c r="K64" s="9">
        <f t="shared" si="0"/>
        <v>44977</v>
      </c>
      <c r="L64">
        <f t="shared" si="1"/>
        <v>1419457</v>
      </c>
    </row>
    <row r="65" spans="1:12">
      <c r="A65">
        <v>566</v>
      </c>
      <c r="B65">
        <v>341</v>
      </c>
      <c r="C65">
        <v>2</v>
      </c>
      <c r="D65" t="s">
        <v>2387</v>
      </c>
      <c r="E65" s="7">
        <v>80836.19</v>
      </c>
      <c r="F65" s="7">
        <v>15.5</v>
      </c>
      <c r="G65">
        <v>328</v>
      </c>
      <c r="H65" t="s">
        <v>2426</v>
      </c>
      <c r="I65" t="s">
        <v>2377</v>
      </c>
      <c r="J65">
        <v>0</v>
      </c>
      <c r="K65" s="9">
        <f t="shared" si="0"/>
        <v>43932</v>
      </c>
      <c r="L65">
        <f t="shared" si="1"/>
        <v>8083619</v>
      </c>
    </row>
    <row r="66" spans="1:12">
      <c r="A66">
        <v>567</v>
      </c>
      <c r="B66">
        <v>231</v>
      </c>
      <c r="C66">
        <v>2</v>
      </c>
      <c r="D66" t="s">
        <v>2385</v>
      </c>
      <c r="E66" s="7">
        <v>669.93</v>
      </c>
      <c r="F66" s="7">
        <v>10.58</v>
      </c>
      <c r="G66">
        <v>27</v>
      </c>
      <c r="H66" t="s">
        <v>2427</v>
      </c>
      <c r="I66" t="s">
        <v>2377</v>
      </c>
      <c r="J66">
        <v>0</v>
      </c>
      <c r="K66" s="9">
        <f t="shared" si="0"/>
        <v>44181</v>
      </c>
      <c r="L66">
        <f t="shared" si="1"/>
        <v>66993</v>
      </c>
    </row>
    <row r="67" spans="1:12">
      <c r="A67">
        <v>568</v>
      </c>
      <c r="B67">
        <v>289</v>
      </c>
      <c r="C67">
        <v>6</v>
      </c>
      <c r="D67" t="s">
        <v>2385</v>
      </c>
      <c r="E67" s="7">
        <v>6977.57</v>
      </c>
      <c r="F67" s="7">
        <v>19.47</v>
      </c>
      <c r="G67">
        <v>35</v>
      </c>
      <c r="H67" t="s">
        <v>2428</v>
      </c>
      <c r="I67" t="s">
        <v>2377</v>
      </c>
      <c r="J67">
        <v>0</v>
      </c>
      <c r="K67" s="9">
        <f t="shared" ref="K67:K130" si="2">DATEVALUE(LEFT(H67,10))</f>
        <v>44100</v>
      </c>
      <c r="L67">
        <f t="shared" ref="L67:L130" si="3">_xlfn.NUMBERVALUE(E67,".",",")</f>
        <v>697757</v>
      </c>
    </row>
    <row r="68" spans="1:12">
      <c r="A68">
        <v>569</v>
      </c>
      <c r="B68">
        <v>757</v>
      </c>
      <c r="C68">
        <v>2</v>
      </c>
      <c r="D68" t="s">
        <v>2376</v>
      </c>
      <c r="E68" s="7">
        <v>99530.35</v>
      </c>
      <c r="F68" s="7">
        <v>20.57</v>
      </c>
      <c r="G68">
        <v>18</v>
      </c>
      <c r="H68" t="s">
        <v>2429</v>
      </c>
      <c r="I68" t="s">
        <v>2377</v>
      </c>
      <c r="J68">
        <v>0</v>
      </c>
      <c r="K68" s="9">
        <f t="shared" si="2"/>
        <v>44954</v>
      </c>
      <c r="L68">
        <f t="shared" si="3"/>
        <v>9953035</v>
      </c>
    </row>
    <row r="69" spans="1:12">
      <c r="A69">
        <v>570</v>
      </c>
      <c r="B69">
        <v>637</v>
      </c>
      <c r="C69">
        <v>5</v>
      </c>
      <c r="D69" t="s">
        <v>2376</v>
      </c>
      <c r="E69" s="7">
        <v>141559.21</v>
      </c>
      <c r="F69" s="7">
        <v>6.77</v>
      </c>
      <c r="G69">
        <v>54</v>
      </c>
      <c r="H69" t="s">
        <v>2430</v>
      </c>
      <c r="I69" t="s">
        <v>2377</v>
      </c>
      <c r="J69">
        <v>0</v>
      </c>
      <c r="K69" s="9">
        <f t="shared" si="2"/>
        <v>44204</v>
      </c>
      <c r="L69">
        <f t="shared" si="3"/>
        <v>14155921</v>
      </c>
    </row>
    <row r="70" spans="1:12">
      <c r="A70">
        <v>571</v>
      </c>
      <c r="B70">
        <v>489</v>
      </c>
      <c r="C70">
        <v>5</v>
      </c>
      <c r="D70" t="s">
        <v>2379</v>
      </c>
      <c r="E70" s="7">
        <v>3910.27</v>
      </c>
      <c r="F70" s="7">
        <v>7.63</v>
      </c>
      <c r="G70">
        <v>6</v>
      </c>
      <c r="H70" t="s">
        <v>92</v>
      </c>
      <c r="I70" t="s">
        <v>2377</v>
      </c>
      <c r="J70">
        <v>0</v>
      </c>
      <c r="K70" s="9">
        <f t="shared" si="2"/>
        <v>44059</v>
      </c>
      <c r="L70">
        <f t="shared" si="3"/>
        <v>391027</v>
      </c>
    </row>
    <row r="71" spans="1:12">
      <c r="A71">
        <v>572</v>
      </c>
      <c r="B71">
        <v>247</v>
      </c>
      <c r="C71">
        <v>6</v>
      </c>
      <c r="D71" t="s">
        <v>2385</v>
      </c>
      <c r="E71" s="7">
        <v>1452.84</v>
      </c>
      <c r="F71" s="7">
        <v>16.99</v>
      </c>
      <c r="G71">
        <v>18</v>
      </c>
      <c r="H71" t="s">
        <v>2431</v>
      </c>
      <c r="I71" t="s">
        <v>2377</v>
      </c>
      <c r="J71">
        <v>67</v>
      </c>
      <c r="K71" s="9">
        <f t="shared" si="2"/>
        <v>44169</v>
      </c>
      <c r="L71">
        <f t="shared" si="3"/>
        <v>145284</v>
      </c>
    </row>
    <row r="72" spans="1:12">
      <c r="A72">
        <v>573</v>
      </c>
      <c r="B72">
        <v>818</v>
      </c>
      <c r="C72">
        <v>1</v>
      </c>
      <c r="D72" t="s">
        <v>2385</v>
      </c>
      <c r="E72" s="7">
        <v>5571.63</v>
      </c>
      <c r="F72" s="7">
        <v>7.78</v>
      </c>
      <c r="G72">
        <v>24</v>
      </c>
      <c r="H72" t="s">
        <v>2432</v>
      </c>
      <c r="I72" t="s">
        <v>2383</v>
      </c>
      <c r="J72">
        <v>0</v>
      </c>
      <c r="K72" s="9">
        <f t="shared" si="2"/>
        <v>44328</v>
      </c>
      <c r="L72">
        <f t="shared" si="3"/>
        <v>557163</v>
      </c>
    </row>
    <row r="73" spans="1:12">
      <c r="A73">
        <v>574</v>
      </c>
      <c r="B73">
        <v>591</v>
      </c>
      <c r="C73">
        <v>4</v>
      </c>
      <c r="D73" t="s">
        <v>2385</v>
      </c>
      <c r="E73" s="7">
        <v>1471.05</v>
      </c>
      <c r="F73" s="7">
        <v>11.13</v>
      </c>
      <c r="G73">
        <v>18</v>
      </c>
      <c r="H73" t="s">
        <v>2433</v>
      </c>
      <c r="I73" t="s">
        <v>2377</v>
      </c>
      <c r="J73">
        <v>0</v>
      </c>
      <c r="K73" s="9">
        <f t="shared" si="2"/>
        <v>45143</v>
      </c>
      <c r="L73">
        <f t="shared" si="3"/>
        <v>147105</v>
      </c>
    </row>
    <row r="74" spans="1:12">
      <c r="A74">
        <v>575</v>
      </c>
      <c r="B74">
        <v>555</v>
      </c>
      <c r="C74">
        <v>7</v>
      </c>
      <c r="D74" t="s">
        <v>2385</v>
      </c>
      <c r="E74" s="7">
        <v>9814.54</v>
      </c>
      <c r="F74" s="7">
        <v>9.22</v>
      </c>
      <c r="G74">
        <v>6</v>
      </c>
      <c r="H74" t="s">
        <v>2434</v>
      </c>
      <c r="I74" t="s">
        <v>2377</v>
      </c>
      <c r="J74">
        <v>56</v>
      </c>
      <c r="K74" s="9">
        <f t="shared" si="2"/>
        <v>45389</v>
      </c>
      <c r="L74">
        <f t="shared" si="3"/>
        <v>981454</v>
      </c>
    </row>
    <row r="75" spans="1:12">
      <c r="A75">
        <v>576</v>
      </c>
      <c r="B75">
        <v>713</v>
      </c>
      <c r="C75">
        <v>4</v>
      </c>
      <c r="D75" t="s">
        <v>2379</v>
      </c>
      <c r="E75" s="7">
        <v>9701.13</v>
      </c>
      <c r="F75" s="7">
        <v>17.47</v>
      </c>
      <c r="G75">
        <v>45</v>
      </c>
      <c r="H75" t="s">
        <v>2435</v>
      </c>
      <c r="I75" t="s">
        <v>2377</v>
      </c>
      <c r="J75">
        <v>0</v>
      </c>
      <c r="K75" s="9">
        <f t="shared" si="2"/>
        <v>45634</v>
      </c>
      <c r="L75">
        <f t="shared" si="3"/>
        <v>970113</v>
      </c>
    </row>
    <row r="76" spans="1:12">
      <c r="A76">
        <v>577</v>
      </c>
      <c r="B76">
        <v>864</v>
      </c>
      <c r="C76">
        <v>5</v>
      </c>
      <c r="D76" t="s">
        <v>2385</v>
      </c>
      <c r="E76" s="7">
        <v>7281.43</v>
      </c>
      <c r="F76" s="7">
        <v>12.05</v>
      </c>
      <c r="G76">
        <v>16</v>
      </c>
      <c r="H76" t="s">
        <v>1812</v>
      </c>
      <c r="I76" t="s">
        <v>2377</v>
      </c>
      <c r="J76">
        <v>0</v>
      </c>
      <c r="K76" s="9">
        <f t="shared" si="2"/>
        <v>44003</v>
      </c>
      <c r="L76">
        <f t="shared" si="3"/>
        <v>728143</v>
      </c>
    </row>
    <row r="77" spans="1:12">
      <c r="A77">
        <v>578</v>
      </c>
      <c r="B77">
        <v>311</v>
      </c>
      <c r="C77">
        <v>3</v>
      </c>
      <c r="D77" t="s">
        <v>2390</v>
      </c>
      <c r="E77" s="7">
        <v>24478.57</v>
      </c>
      <c r="F77" s="7">
        <v>8.81</v>
      </c>
      <c r="G77">
        <v>70</v>
      </c>
      <c r="H77" t="s">
        <v>2152</v>
      </c>
      <c r="I77" t="s">
        <v>2383</v>
      </c>
      <c r="J77">
        <v>0</v>
      </c>
      <c r="K77" s="9">
        <f t="shared" si="2"/>
        <v>44597</v>
      </c>
      <c r="L77">
        <f t="shared" si="3"/>
        <v>2447857</v>
      </c>
    </row>
    <row r="78" spans="1:12">
      <c r="A78">
        <v>579</v>
      </c>
      <c r="B78">
        <v>766</v>
      </c>
      <c r="C78">
        <v>6</v>
      </c>
      <c r="D78" t="s">
        <v>2387</v>
      </c>
      <c r="E78" s="7">
        <v>112550.72</v>
      </c>
      <c r="F78" s="7">
        <v>21.06</v>
      </c>
      <c r="G78">
        <v>348</v>
      </c>
      <c r="H78" t="s">
        <v>2436</v>
      </c>
      <c r="I78" t="s">
        <v>2377</v>
      </c>
      <c r="J78">
        <v>0</v>
      </c>
      <c r="K78" s="9">
        <f t="shared" si="2"/>
        <v>43937</v>
      </c>
      <c r="L78">
        <f t="shared" si="3"/>
        <v>11255072</v>
      </c>
    </row>
    <row r="79" spans="1:12">
      <c r="A79">
        <v>580</v>
      </c>
      <c r="B79">
        <v>530</v>
      </c>
      <c r="C79">
        <v>4</v>
      </c>
      <c r="D79" t="s">
        <v>2390</v>
      </c>
      <c r="E79" s="7">
        <v>12971.68</v>
      </c>
      <c r="F79" s="7">
        <v>20.26</v>
      </c>
      <c r="G79">
        <v>44</v>
      </c>
      <c r="H79" t="s">
        <v>200</v>
      </c>
      <c r="I79" t="s">
        <v>2377</v>
      </c>
      <c r="J79">
        <v>72</v>
      </c>
      <c r="K79" s="9">
        <f t="shared" si="2"/>
        <v>44124</v>
      </c>
      <c r="L79">
        <f t="shared" si="3"/>
        <v>1297168</v>
      </c>
    </row>
    <row r="80" spans="1:12">
      <c r="A80">
        <v>581</v>
      </c>
      <c r="B80">
        <v>27</v>
      </c>
      <c r="C80">
        <v>2</v>
      </c>
      <c r="D80" t="s">
        <v>2387</v>
      </c>
      <c r="E80" s="7">
        <v>156488.71</v>
      </c>
      <c r="F80" s="7">
        <v>8.5</v>
      </c>
      <c r="G80">
        <v>136</v>
      </c>
      <c r="H80" t="s">
        <v>2437</v>
      </c>
      <c r="I80" t="s">
        <v>2377</v>
      </c>
      <c r="J80">
        <v>0</v>
      </c>
      <c r="K80" s="9">
        <f t="shared" si="2"/>
        <v>45550</v>
      </c>
      <c r="L80">
        <f t="shared" si="3"/>
        <v>15648871</v>
      </c>
    </row>
    <row r="81" spans="1:12">
      <c r="A81">
        <v>582</v>
      </c>
      <c r="B81">
        <v>419</v>
      </c>
      <c r="C81">
        <v>6</v>
      </c>
      <c r="D81" t="s">
        <v>2379</v>
      </c>
      <c r="E81" s="7">
        <v>1218.62</v>
      </c>
      <c r="F81" s="7">
        <v>18.17</v>
      </c>
      <c r="G81">
        <v>6</v>
      </c>
      <c r="H81" t="s">
        <v>2438</v>
      </c>
      <c r="I81" t="s">
        <v>2377</v>
      </c>
      <c r="J81">
        <v>0</v>
      </c>
      <c r="K81" s="9">
        <f t="shared" si="2"/>
        <v>45446</v>
      </c>
      <c r="L81">
        <f t="shared" si="3"/>
        <v>121862</v>
      </c>
    </row>
    <row r="82" spans="1:12">
      <c r="A82">
        <v>583</v>
      </c>
      <c r="B82">
        <v>889</v>
      </c>
      <c r="C82">
        <v>3</v>
      </c>
      <c r="D82" t="s">
        <v>2379</v>
      </c>
      <c r="E82" s="7">
        <v>10418.17</v>
      </c>
      <c r="F82" s="7">
        <v>21.99</v>
      </c>
      <c r="G82">
        <v>48</v>
      </c>
      <c r="H82" t="s">
        <v>2439</v>
      </c>
      <c r="I82" t="s">
        <v>2377</v>
      </c>
      <c r="J82">
        <v>0</v>
      </c>
      <c r="K82" s="9">
        <f t="shared" si="2"/>
        <v>45377</v>
      </c>
      <c r="L82">
        <f t="shared" si="3"/>
        <v>1041817</v>
      </c>
    </row>
    <row r="83" spans="1:12">
      <c r="A83">
        <v>584</v>
      </c>
      <c r="B83">
        <v>80</v>
      </c>
      <c r="C83">
        <v>2</v>
      </c>
      <c r="D83" t="s">
        <v>2387</v>
      </c>
      <c r="E83" s="7">
        <v>87041.24</v>
      </c>
      <c r="F83" s="7">
        <v>10.84</v>
      </c>
      <c r="G83">
        <v>254</v>
      </c>
      <c r="H83" t="s">
        <v>2440</v>
      </c>
      <c r="I83" t="s">
        <v>2377</v>
      </c>
      <c r="J83">
        <v>0</v>
      </c>
      <c r="K83" s="9">
        <f t="shared" si="2"/>
        <v>44228</v>
      </c>
      <c r="L83">
        <f t="shared" si="3"/>
        <v>8704124</v>
      </c>
    </row>
    <row r="84" spans="1:12">
      <c r="A84">
        <v>585</v>
      </c>
      <c r="B84">
        <v>585</v>
      </c>
      <c r="C84">
        <v>5</v>
      </c>
      <c r="D84" t="s">
        <v>2390</v>
      </c>
      <c r="E84" s="7">
        <v>34748.01</v>
      </c>
      <c r="F84" s="7">
        <v>9.05</v>
      </c>
      <c r="G84">
        <v>49</v>
      </c>
      <c r="H84" t="s">
        <v>2441</v>
      </c>
      <c r="I84" t="s">
        <v>2393</v>
      </c>
      <c r="J84">
        <v>227</v>
      </c>
      <c r="K84" s="9">
        <f t="shared" si="2"/>
        <v>45692</v>
      </c>
      <c r="L84">
        <f t="shared" si="3"/>
        <v>3474801</v>
      </c>
    </row>
    <row r="85" spans="1:12">
      <c r="A85">
        <v>586</v>
      </c>
      <c r="B85">
        <v>938</v>
      </c>
      <c r="C85">
        <v>7</v>
      </c>
      <c r="D85" t="s">
        <v>2385</v>
      </c>
      <c r="E85" s="7">
        <v>9477.37</v>
      </c>
      <c r="F85" s="7">
        <v>20.4</v>
      </c>
      <c r="G85">
        <v>30</v>
      </c>
      <c r="H85" t="s">
        <v>2442</v>
      </c>
      <c r="I85" t="s">
        <v>2377</v>
      </c>
      <c r="J85">
        <v>0</v>
      </c>
      <c r="K85" s="9">
        <f t="shared" si="2"/>
        <v>45380</v>
      </c>
      <c r="L85">
        <f t="shared" si="3"/>
        <v>947737</v>
      </c>
    </row>
    <row r="86" spans="1:12">
      <c r="A86">
        <v>587</v>
      </c>
      <c r="B86">
        <v>731</v>
      </c>
      <c r="C86">
        <v>1</v>
      </c>
      <c r="D86" t="s">
        <v>2387</v>
      </c>
      <c r="E86" s="7">
        <v>152589</v>
      </c>
      <c r="F86" s="7">
        <v>5.48</v>
      </c>
      <c r="G86">
        <v>154</v>
      </c>
      <c r="H86" t="s">
        <v>1067</v>
      </c>
      <c r="I86" t="s">
        <v>2377</v>
      </c>
      <c r="J86">
        <v>18</v>
      </c>
      <c r="K86" s="9">
        <f t="shared" si="2"/>
        <v>44184</v>
      </c>
      <c r="L86">
        <f t="shared" si="3"/>
        <v>152589</v>
      </c>
    </row>
    <row r="87" spans="1:12">
      <c r="A87">
        <v>588</v>
      </c>
      <c r="B87">
        <v>957</v>
      </c>
      <c r="C87">
        <v>4</v>
      </c>
      <c r="D87" t="s">
        <v>2379</v>
      </c>
      <c r="E87" s="7">
        <v>8692.15</v>
      </c>
      <c r="F87" s="7">
        <v>13.73</v>
      </c>
      <c r="G87">
        <v>8</v>
      </c>
      <c r="H87" t="s">
        <v>298</v>
      </c>
      <c r="I87" t="s">
        <v>2377</v>
      </c>
      <c r="J87">
        <v>0</v>
      </c>
      <c r="K87" s="9">
        <f t="shared" si="2"/>
        <v>44906</v>
      </c>
      <c r="L87">
        <f t="shared" si="3"/>
        <v>869215</v>
      </c>
    </row>
    <row r="88" spans="1:12">
      <c r="A88">
        <v>589</v>
      </c>
      <c r="B88">
        <v>852</v>
      </c>
      <c r="C88">
        <v>1</v>
      </c>
      <c r="D88" t="s">
        <v>2390</v>
      </c>
      <c r="E88" s="7">
        <v>8404.49</v>
      </c>
      <c r="F88" s="7">
        <v>11.07</v>
      </c>
      <c r="G88">
        <v>67</v>
      </c>
      <c r="H88" t="s">
        <v>2443</v>
      </c>
      <c r="I88" t="s">
        <v>2383</v>
      </c>
      <c r="J88">
        <v>0</v>
      </c>
      <c r="K88" s="9">
        <f t="shared" si="2"/>
        <v>44418</v>
      </c>
      <c r="L88">
        <f t="shared" si="3"/>
        <v>840449</v>
      </c>
    </row>
    <row r="89" spans="1:12">
      <c r="A89">
        <v>590</v>
      </c>
      <c r="B89">
        <v>545</v>
      </c>
      <c r="C89">
        <v>6</v>
      </c>
      <c r="D89" t="s">
        <v>2379</v>
      </c>
      <c r="E89" s="7">
        <v>9594.92</v>
      </c>
      <c r="F89" s="7">
        <v>14.22</v>
      </c>
      <c r="G89">
        <v>54</v>
      </c>
      <c r="H89" t="s">
        <v>2444</v>
      </c>
      <c r="I89" t="s">
        <v>2377</v>
      </c>
      <c r="J89">
        <v>0</v>
      </c>
      <c r="K89" s="9">
        <f t="shared" si="2"/>
        <v>44593</v>
      </c>
      <c r="L89">
        <f t="shared" si="3"/>
        <v>959492</v>
      </c>
    </row>
    <row r="90" spans="1:12">
      <c r="A90">
        <v>591</v>
      </c>
      <c r="B90">
        <v>63</v>
      </c>
      <c r="C90">
        <v>4</v>
      </c>
      <c r="D90" t="s">
        <v>2385</v>
      </c>
      <c r="E90" s="7">
        <v>7213.02</v>
      </c>
      <c r="F90" s="7">
        <v>11.36</v>
      </c>
      <c r="G90">
        <v>17</v>
      </c>
      <c r="H90" t="s">
        <v>2445</v>
      </c>
      <c r="I90" t="s">
        <v>2377</v>
      </c>
      <c r="J90">
        <v>0</v>
      </c>
      <c r="K90" s="9">
        <f t="shared" si="2"/>
        <v>44769</v>
      </c>
      <c r="L90">
        <f t="shared" si="3"/>
        <v>721302</v>
      </c>
    </row>
    <row r="91" spans="1:12">
      <c r="A91">
        <v>592</v>
      </c>
      <c r="B91">
        <v>182</v>
      </c>
      <c r="C91">
        <v>7</v>
      </c>
      <c r="D91" t="s">
        <v>2379</v>
      </c>
      <c r="E91" s="7">
        <v>14710.22</v>
      </c>
      <c r="F91" s="7">
        <v>12.49</v>
      </c>
      <c r="G91">
        <v>21</v>
      </c>
      <c r="H91" t="s">
        <v>2446</v>
      </c>
      <c r="I91" t="s">
        <v>2377</v>
      </c>
      <c r="J91">
        <v>0</v>
      </c>
      <c r="K91" s="9">
        <f t="shared" si="2"/>
        <v>44836</v>
      </c>
      <c r="L91">
        <f t="shared" si="3"/>
        <v>1471022</v>
      </c>
    </row>
    <row r="92" spans="1:12">
      <c r="A92">
        <v>593</v>
      </c>
      <c r="B92">
        <v>821</v>
      </c>
      <c r="C92">
        <v>6</v>
      </c>
      <c r="D92" t="s">
        <v>2390</v>
      </c>
      <c r="E92" s="7">
        <v>34880.08</v>
      </c>
      <c r="F92" s="7">
        <v>7.19</v>
      </c>
      <c r="G92">
        <v>62</v>
      </c>
      <c r="H92" t="s">
        <v>2447</v>
      </c>
      <c r="I92" t="s">
        <v>2377</v>
      </c>
      <c r="J92">
        <v>0</v>
      </c>
      <c r="K92" s="9">
        <f t="shared" si="2"/>
        <v>45065</v>
      </c>
      <c r="L92">
        <f t="shared" si="3"/>
        <v>3488008</v>
      </c>
    </row>
    <row r="93" spans="1:12">
      <c r="A93">
        <v>594</v>
      </c>
      <c r="B93">
        <v>629</v>
      </c>
      <c r="C93">
        <v>2</v>
      </c>
      <c r="D93" t="s">
        <v>2390</v>
      </c>
      <c r="E93" s="7">
        <v>9608.98</v>
      </c>
      <c r="F93" s="7">
        <v>14.45</v>
      </c>
      <c r="G93">
        <v>58</v>
      </c>
      <c r="H93" t="s">
        <v>2448</v>
      </c>
      <c r="I93" t="s">
        <v>2393</v>
      </c>
      <c r="J93">
        <v>161</v>
      </c>
      <c r="K93" s="9">
        <f t="shared" si="2"/>
        <v>45099</v>
      </c>
      <c r="L93">
        <f t="shared" si="3"/>
        <v>960898</v>
      </c>
    </row>
    <row r="94" spans="1:12">
      <c r="A94">
        <v>595</v>
      </c>
      <c r="B94">
        <v>888</v>
      </c>
      <c r="C94">
        <v>7</v>
      </c>
      <c r="D94" t="s">
        <v>2390</v>
      </c>
      <c r="E94" s="7">
        <v>37488.65</v>
      </c>
      <c r="F94" s="7">
        <v>21.68</v>
      </c>
      <c r="G94">
        <v>49</v>
      </c>
      <c r="H94" t="s">
        <v>2449</v>
      </c>
      <c r="I94" t="s">
        <v>2383</v>
      </c>
      <c r="J94">
        <v>0</v>
      </c>
      <c r="K94" s="9">
        <f t="shared" si="2"/>
        <v>45793</v>
      </c>
      <c r="L94">
        <f t="shared" si="3"/>
        <v>3748865</v>
      </c>
    </row>
    <row r="95" spans="1:12">
      <c r="A95">
        <v>596</v>
      </c>
      <c r="B95">
        <v>928</v>
      </c>
      <c r="C95">
        <v>3</v>
      </c>
      <c r="D95" t="s">
        <v>2390</v>
      </c>
      <c r="E95" s="7">
        <v>21100.83</v>
      </c>
      <c r="F95" s="7">
        <v>7.94</v>
      </c>
      <c r="G95">
        <v>42</v>
      </c>
      <c r="H95" t="s">
        <v>2450</v>
      </c>
      <c r="I95" t="s">
        <v>2383</v>
      </c>
      <c r="J95">
        <v>0</v>
      </c>
      <c r="K95" s="9">
        <f t="shared" si="2"/>
        <v>45552</v>
      </c>
      <c r="L95">
        <f t="shared" si="3"/>
        <v>2110083</v>
      </c>
    </row>
    <row r="96" spans="1:12">
      <c r="A96">
        <v>597</v>
      </c>
      <c r="B96">
        <v>509</v>
      </c>
      <c r="C96">
        <v>5</v>
      </c>
      <c r="D96" t="s">
        <v>2390</v>
      </c>
      <c r="E96" s="7">
        <v>39769.54</v>
      </c>
      <c r="F96" s="7">
        <v>14.22</v>
      </c>
      <c r="G96">
        <v>51</v>
      </c>
      <c r="H96" t="s">
        <v>2451</v>
      </c>
      <c r="I96" t="s">
        <v>2393</v>
      </c>
      <c r="J96">
        <v>273</v>
      </c>
      <c r="K96" s="9">
        <f t="shared" si="2"/>
        <v>45178</v>
      </c>
      <c r="L96">
        <f t="shared" si="3"/>
        <v>3976954</v>
      </c>
    </row>
    <row r="97" spans="1:12">
      <c r="A97">
        <v>598</v>
      </c>
      <c r="B97">
        <v>85</v>
      </c>
      <c r="C97">
        <v>1</v>
      </c>
      <c r="D97" t="s">
        <v>2379</v>
      </c>
      <c r="E97" s="7">
        <v>4202.04</v>
      </c>
      <c r="F97" s="7">
        <v>21.03</v>
      </c>
      <c r="G97">
        <v>46</v>
      </c>
      <c r="H97" t="s">
        <v>2452</v>
      </c>
      <c r="I97" t="s">
        <v>2377</v>
      </c>
      <c r="J97">
        <v>0</v>
      </c>
      <c r="K97" s="9">
        <f t="shared" si="2"/>
        <v>45697</v>
      </c>
      <c r="L97">
        <f t="shared" si="3"/>
        <v>420204</v>
      </c>
    </row>
    <row r="98" spans="1:12">
      <c r="A98">
        <v>599</v>
      </c>
      <c r="B98">
        <v>42</v>
      </c>
      <c r="C98">
        <v>6</v>
      </c>
      <c r="D98" t="s">
        <v>2387</v>
      </c>
      <c r="E98" s="7">
        <v>170236.97</v>
      </c>
      <c r="F98" s="7">
        <v>17.25</v>
      </c>
      <c r="G98">
        <v>336</v>
      </c>
      <c r="H98" t="s">
        <v>1630</v>
      </c>
      <c r="I98" t="s">
        <v>2377</v>
      </c>
      <c r="J98">
        <v>0</v>
      </c>
      <c r="K98" s="9">
        <f t="shared" si="2"/>
        <v>44677</v>
      </c>
      <c r="L98">
        <f t="shared" si="3"/>
        <v>17023697</v>
      </c>
    </row>
    <row r="99" spans="1:12">
      <c r="A99">
        <v>600</v>
      </c>
      <c r="B99">
        <v>611</v>
      </c>
      <c r="C99">
        <v>6</v>
      </c>
      <c r="D99" t="s">
        <v>2387</v>
      </c>
      <c r="E99" s="7">
        <v>167673</v>
      </c>
      <c r="F99" s="7">
        <v>18.78</v>
      </c>
      <c r="G99">
        <v>154</v>
      </c>
      <c r="H99" t="s">
        <v>2453</v>
      </c>
      <c r="I99" t="s">
        <v>2377</v>
      </c>
      <c r="J99">
        <v>0</v>
      </c>
      <c r="K99" s="9">
        <f t="shared" si="2"/>
        <v>45811</v>
      </c>
      <c r="L99">
        <f t="shared" si="3"/>
        <v>167673</v>
      </c>
    </row>
    <row r="100" spans="1:12">
      <c r="A100">
        <v>601</v>
      </c>
      <c r="B100">
        <v>640</v>
      </c>
      <c r="C100">
        <v>2</v>
      </c>
      <c r="D100" t="s">
        <v>2379</v>
      </c>
      <c r="E100" s="7">
        <v>11524.84</v>
      </c>
      <c r="F100" s="7">
        <v>9.12</v>
      </c>
      <c r="G100">
        <v>38</v>
      </c>
      <c r="H100" t="s">
        <v>2454</v>
      </c>
      <c r="I100" t="s">
        <v>2377</v>
      </c>
      <c r="J100">
        <v>0</v>
      </c>
      <c r="K100" s="9">
        <f t="shared" si="2"/>
        <v>44935</v>
      </c>
      <c r="L100">
        <f t="shared" si="3"/>
        <v>1152484</v>
      </c>
    </row>
    <row r="101" spans="1:12">
      <c r="A101">
        <v>602</v>
      </c>
      <c r="B101">
        <v>951</v>
      </c>
      <c r="C101">
        <v>4</v>
      </c>
      <c r="D101" t="s">
        <v>2387</v>
      </c>
      <c r="E101" s="7">
        <v>63962.45</v>
      </c>
      <c r="F101" s="7">
        <v>11.08</v>
      </c>
      <c r="G101">
        <v>327</v>
      </c>
      <c r="H101" t="s">
        <v>2455</v>
      </c>
      <c r="I101" t="s">
        <v>2377</v>
      </c>
      <c r="J101">
        <v>0</v>
      </c>
      <c r="K101" s="9">
        <f t="shared" si="2"/>
        <v>43991</v>
      </c>
      <c r="L101">
        <f t="shared" si="3"/>
        <v>6396245</v>
      </c>
    </row>
    <row r="102" spans="1:12">
      <c r="A102">
        <v>603</v>
      </c>
      <c r="B102">
        <v>997</v>
      </c>
      <c r="C102">
        <v>4</v>
      </c>
      <c r="D102" t="s">
        <v>2387</v>
      </c>
      <c r="E102" s="7">
        <v>96533.43</v>
      </c>
      <c r="F102" s="7">
        <v>15.11</v>
      </c>
      <c r="G102">
        <v>126</v>
      </c>
      <c r="H102" t="s">
        <v>2456</v>
      </c>
      <c r="I102" t="s">
        <v>2377</v>
      </c>
      <c r="J102">
        <v>45</v>
      </c>
      <c r="K102" s="9">
        <f t="shared" si="2"/>
        <v>44505</v>
      </c>
      <c r="L102">
        <f t="shared" si="3"/>
        <v>9653343</v>
      </c>
    </row>
    <row r="103" spans="1:12">
      <c r="A103">
        <v>604</v>
      </c>
      <c r="B103">
        <v>778</v>
      </c>
      <c r="C103">
        <v>1</v>
      </c>
      <c r="D103" t="s">
        <v>2379</v>
      </c>
      <c r="E103" s="7">
        <v>5945.96</v>
      </c>
      <c r="F103" s="7">
        <v>11.87</v>
      </c>
      <c r="G103">
        <v>41</v>
      </c>
      <c r="H103" t="s">
        <v>2457</v>
      </c>
      <c r="I103" t="s">
        <v>2383</v>
      </c>
      <c r="J103">
        <v>0</v>
      </c>
      <c r="K103" s="9">
        <f t="shared" si="2"/>
        <v>44410</v>
      </c>
      <c r="L103">
        <f t="shared" si="3"/>
        <v>594596</v>
      </c>
    </row>
    <row r="104" spans="1:12">
      <c r="A104">
        <v>605</v>
      </c>
      <c r="B104">
        <v>312</v>
      </c>
      <c r="C104">
        <v>4</v>
      </c>
      <c r="D104" t="s">
        <v>2385</v>
      </c>
      <c r="E104" s="7">
        <v>3823</v>
      </c>
      <c r="F104" s="7">
        <v>13.15</v>
      </c>
      <c r="G104">
        <v>11</v>
      </c>
      <c r="H104" t="s">
        <v>2458</v>
      </c>
      <c r="I104" t="s">
        <v>2377</v>
      </c>
      <c r="J104">
        <v>0</v>
      </c>
      <c r="K104" s="9">
        <f t="shared" si="2"/>
        <v>44627</v>
      </c>
      <c r="L104">
        <f t="shared" si="3"/>
        <v>3823</v>
      </c>
    </row>
    <row r="105" spans="1:12">
      <c r="A105">
        <v>606</v>
      </c>
      <c r="B105">
        <v>186</v>
      </c>
      <c r="C105">
        <v>5</v>
      </c>
      <c r="D105" t="s">
        <v>2385</v>
      </c>
      <c r="E105" s="7">
        <v>7771.89</v>
      </c>
      <c r="F105" s="7">
        <v>13.53</v>
      </c>
      <c r="G105">
        <v>8</v>
      </c>
      <c r="H105" t="s">
        <v>682</v>
      </c>
      <c r="I105" t="s">
        <v>2377</v>
      </c>
      <c r="J105">
        <v>0</v>
      </c>
      <c r="K105" s="9">
        <f t="shared" si="2"/>
        <v>45461</v>
      </c>
      <c r="L105">
        <f t="shared" si="3"/>
        <v>777189</v>
      </c>
    </row>
    <row r="106" spans="1:12">
      <c r="A106">
        <v>607</v>
      </c>
      <c r="B106">
        <v>257</v>
      </c>
      <c r="C106">
        <v>7</v>
      </c>
      <c r="D106" t="s">
        <v>2387</v>
      </c>
      <c r="E106" s="7">
        <v>75611.91</v>
      </c>
      <c r="F106" s="7">
        <v>10.49</v>
      </c>
      <c r="G106">
        <v>217</v>
      </c>
      <c r="H106" t="s">
        <v>2182</v>
      </c>
      <c r="I106" t="s">
        <v>2383</v>
      </c>
      <c r="J106">
        <v>0</v>
      </c>
      <c r="K106" s="9">
        <f t="shared" si="2"/>
        <v>44818</v>
      </c>
      <c r="L106">
        <f t="shared" si="3"/>
        <v>7561191</v>
      </c>
    </row>
    <row r="107" spans="1:12">
      <c r="A107">
        <v>608</v>
      </c>
      <c r="B107">
        <v>143</v>
      </c>
      <c r="C107">
        <v>3</v>
      </c>
      <c r="D107" t="s">
        <v>2390</v>
      </c>
      <c r="E107" s="7">
        <v>19225.29</v>
      </c>
      <c r="F107" s="7">
        <v>20.31</v>
      </c>
      <c r="G107">
        <v>80</v>
      </c>
      <c r="H107" t="s">
        <v>2459</v>
      </c>
      <c r="I107" t="s">
        <v>2377</v>
      </c>
      <c r="J107">
        <v>0</v>
      </c>
      <c r="K107" s="9">
        <f t="shared" si="2"/>
        <v>45746</v>
      </c>
      <c r="L107">
        <f t="shared" si="3"/>
        <v>1922529</v>
      </c>
    </row>
    <row r="108" spans="1:12">
      <c r="A108">
        <v>609</v>
      </c>
      <c r="B108">
        <v>263</v>
      </c>
      <c r="C108">
        <v>6</v>
      </c>
      <c r="D108" t="s">
        <v>2387</v>
      </c>
      <c r="E108" s="7">
        <v>116430.82</v>
      </c>
      <c r="F108" s="7">
        <v>19.23</v>
      </c>
      <c r="G108">
        <v>132</v>
      </c>
      <c r="H108" t="s">
        <v>2460</v>
      </c>
      <c r="I108" t="s">
        <v>2377</v>
      </c>
      <c r="J108">
        <v>0</v>
      </c>
      <c r="K108" s="9">
        <f t="shared" si="2"/>
        <v>44788</v>
      </c>
      <c r="L108">
        <f t="shared" si="3"/>
        <v>11643082</v>
      </c>
    </row>
    <row r="109" spans="1:12">
      <c r="A109">
        <v>610</v>
      </c>
      <c r="B109">
        <v>183</v>
      </c>
      <c r="C109">
        <v>1</v>
      </c>
      <c r="D109" t="s">
        <v>2387</v>
      </c>
      <c r="E109" s="7">
        <v>61352.8</v>
      </c>
      <c r="F109" s="7">
        <v>6.63</v>
      </c>
      <c r="G109">
        <v>144</v>
      </c>
      <c r="H109" t="s">
        <v>1408</v>
      </c>
      <c r="I109" t="s">
        <v>2377</v>
      </c>
      <c r="J109">
        <v>0</v>
      </c>
      <c r="K109" s="9">
        <f t="shared" si="2"/>
        <v>44129</v>
      </c>
      <c r="L109">
        <f t="shared" si="3"/>
        <v>613528</v>
      </c>
    </row>
    <row r="110" spans="1:12">
      <c r="A110">
        <v>611</v>
      </c>
      <c r="B110">
        <v>759</v>
      </c>
      <c r="C110">
        <v>1</v>
      </c>
      <c r="D110" t="s">
        <v>2385</v>
      </c>
      <c r="E110" s="7">
        <v>7812.74</v>
      </c>
      <c r="F110" s="7">
        <v>21.67</v>
      </c>
      <c r="G110">
        <v>28</v>
      </c>
      <c r="H110" t="s">
        <v>2402</v>
      </c>
      <c r="I110" t="s">
        <v>2377</v>
      </c>
      <c r="J110">
        <v>0</v>
      </c>
      <c r="K110" s="9">
        <f t="shared" si="2"/>
        <v>45630</v>
      </c>
      <c r="L110">
        <f t="shared" si="3"/>
        <v>781274</v>
      </c>
    </row>
    <row r="111" spans="1:12">
      <c r="A111">
        <v>612</v>
      </c>
      <c r="B111">
        <v>711</v>
      </c>
      <c r="C111">
        <v>6</v>
      </c>
      <c r="D111" t="s">
        <v>2390</v>
      </c>
      <c r="E111" s="7">
        <v>17470.31</v>
      </c>
      <c r="F111" s="7">
        <v>12.37</v>
      </c>
      <c r="G111">
        <v>29</v>
      </c>
      <c r="H111" t="s">
        <v>2461</v>
      </c>
      <c r="I111" t="s">
        <v>2377</v>
      </c>
      <c r="J111">
        <v>0</v>
      </c>
      <c r="K111" s="9">
        <f t="shared" si="2"/>
        <v>45804</v>
      </c>
      <c r="L111">
        <f t="shared" si="3"/>
        <v>1747031</v>
      </c>
    </row>
    <row r="112" spans="1:12">
      <c r="A112">
        <v>613</v>
      </c>
      <c r="B112">
        <v>283</v>
      </c>
      <c r="C112">
        <v>1</v>
      </c>
      <c r="D112" t="s">
        <v>2390</v>
      </c>
      <c r="E112" s="7">
        <v>34100.07</v>
      </c>
      <c r="F112" s="7">
        <v>21.64</v>
      </c>
      <c r="G112">
        <v>78</v>
      </c>
      <c r="H112" t="s">
        <v>1095</v>
      </c>
      <c r="I112" t="s">
        <v>2393</v>
      </c>
      <c r="J112">
        <v>307</v>
      </c>
      <c r="K112" s="9">
        <f t="shared" si="2"/>
        <v>44839</v>
      </c>
      <c r="L112">
        <f t="shared" si="3"/>
        <v>3410007</v>
      </c>
    </row>
    <row r="113" spans="1:12">
      <c r="A113">
        <v>614</v>
      </c>
      <c r="B113">
        <v>270</v>
      </c>
      <c r="C113">
        <v>7</v>
      </c>
      <c r="D113" t="s">
        <v>2387</v>
      </c>
      <c r="E113" s="7">
        <v>91194.05</v>
      </c>
      <c r="F113" s="7">
        <v>13.01</v>
      </c>
      <c r="G113">
        <v>240</v>
      </c>
      <c r="H113" t="s">
        <v>1381</v>
      </c>
      <c r="I113" t="s">
        <v>2377</v>
      </c>
      <c r="J113">
        <v>0</v>
      </c>
      <c r="K113" s="9">
        <f t="shared" si="2"/>
        <v>45213</v>
      </c>
      <c r="L113">
        <f t="shared" si="3"/>
        <v>9119405</v>
      </c>
    </row>
    <row r="114" spans="1:12">
      <c r="A114">
        <v>615</v>
      </c>
      <c r="B114">
        <v>271</v>
      </c>
      <c r="C114">
        <v>3</v>
      </c>
      <c r="D114" t="s">
        <v>2387</v>
      </c>
      <c r="E114" s="7">
        <v>155689.29</v>
      </c>
      <c r="F114" s="7">
        <v>19.45</v>
      </c>
      <c r="G114">
        <v>331</v>
      </c>
      <c r="H114" t="s">
        <v>2462</v>
      </c>
      <c r="I114" t="s">
        <v>2377</v>
      </c>
      <c r="J114">
        <v>0</v>
      </c>
      <c r="K114" s="9">
        <f t="shared" si="2"/>
        <v>45069</v>
      </c>
      <c r="L114">
        <f t="shared" si="3"/>
        <v>15568929</v>
      </c>
    </row>
    <row r="115" spans="1:12">
      <c r="A115">
        <v>616</v>
      </c>
      <c r="B115">
        <v>429</v>
      </c>
      <c r="C115">
        <v>5</v>
      </c>
      <c r="D115" t="s">
        <v>2376</v>
      </c>
      <c r="E115" s="7">
        <v>37682.93</v>
      </c>
      <c r="F115" s="7">
        <v>12.82</v>
      </c>
      <c r="G115">
        <v>41</v>
      </c>
      <c r="H115" t="s">
        <v>306</v>
      </c>
      <c r="I115" t="s">
        <v>2377</v>
      </c>
      <c r="J115">
        <v>0</v>
      </c>
      <c r="K115" s="9">
        <f t="shared" si="2"/>
        <v>45376</v>
      </c>
      <c r="L115">
        <f t="shared" si="3"/>
        <v>3768293</v>
      </c>
    </row>
    <row r="116" spans="1:12">
      <c r="A116">
        <v>617</v>
      </c>
      <c r="B116">
        <v>351</v>
      </c>
      <c r="C116">
        <v>7</v>
      </c>
      <c r="D116" t="s">
        <v>2385</v>
      </c>
      <c r="E116" s="7">
        <v>683.07</v>
      </c>
      <c r="F116" s="7">
        <v>16.07</v>
      </c>
      <c r="G116">
        <v>8</v>
      </c>
      <c r="H116" t="s">
        <v>2463</v>
      </c>
      <c r="I116" t="s">
        <v>2377</v>
      </c>
      <c r="J116">
        <v>4</v>
      </c>
      <c r="K116" s="9">
        <f t="shared" si="2"/>
        <v>44091</v>
      </c>
      <c r="L116">
        <f t="shared" si="3"/>
        <v>68307</v>
      </c>
    </row>
    <row r="117" spans="1:12">
      <c r="A117">
        <v>618</v>
      </c>
      <c r="B117">
        <v>45</v>
      </c>
      <c r="C117">
        <v>2</v>
      </c>
      <c r="D117" t="s">
        <v>2390</v>
      </c>
      <c r="E117" s="7">
        <v>22466</v>
      </c>
      <c r="F117" s="7">
        <v>13.46</v>
      </c>
      <c r="G117">
        <v>59</v>
      </c>
      <c r="H117" t="s">
        <v>2464</v>
      </c>
      <c r="I117" t="s">
        <v>2393</v>
      </c>
      <c r="J117">
        <v>214</v>
      </c>
      <c r="K117" s="9">
        <f t="shared" si="2"/>
        <v>45373</v>
      </c>
      <c r="L117">
        <f t="shared" si="3"/>
        <v>22466</v>
      </c>
    </row>
    <row r="118" spans="1:12">
      <c r="A118">
        <v>619</v>
      </c>
      <c r="B118">
        <v>1</v>
      </c>
      <c r="C118">
        <v>2</v>
      </c>
      <c r="D118" t="s">
        <v>2385</v>
      </c>
      <c r="E118" s="7">
        <v>3194.41</v>
      </c>
      <c r="F118" s="7">
        <v>16.41</v>
      </c>
      <c r="G118">
        <v>24</v>
      </c>
      <c r="H118" t="s">
        <v>1121</v>
      </c>
      <c r="I118" t="s">
        <v>2383</v>
      </c>
      <c r="J118">
        <v>0</v>
      </c>
      <c r="K118" s="9">
        <f t="shared" si="2"/>
        <v>44289</v>
      </c>
      <c r="L118">
        <f t="shared" si="3"/>
        <v>319441</v>
      </c>
    </row>
    <row r="119" spans="1:12">
      <c r="A119">
        <v>620</v>
      </c>
      <c r="B119">
        <v>77</v>
      </c>
      <c r="C119">
        <v>6</v>
      </c>
      <c r="D119" t="s">
        <v>2385</v>
      </c>
      <c r="E119" s="7">
        <v>2267.35</v>
      </c>
      <c r="F119" s="7">
        <v>9.63</v>
      </c>
      <c r="G119">
        <v>19</v>
      </c>
      <c r="H119" t="s">
        <v>1082</v>
      </c>
      <c r="I119" t="s">
        <v>2377</v>
      </c>
      <c r="J119">
        <v>0</v>
      </c>
      <c r="K119" s="9">
        <f t="shared" si="2"/>
        <v>43846</v>
      </c>
      <c r="L119">
        <f t="shared" si="3"/>
        <v>226735</v>
      </c>
    </row>
    <row r="120" spans="1:12">
      <c r="A120">
        <v>621</v>
      </c>
      <c r="B120">
        <v>62</v>
      </c>
      <c r="C120">
        <v>2</v>
      </c>
      <c r="D120" t="s">
        <v>2390</v>
      </c>
      <c r="E120" s="7">
        <v>26436.52</v>
      </c>
      <c r="F120" s="7">
        <v>18.91</v>
      </c>
      <c r="G120">
        <v>31</v>
      </c>
      <c r="H120" t="s">
        <v>2465</v>
      </c>
      <c r="I120" t="s">
        <v>2393</v>
      </c>
      <c r="J120">
        <v>176</v>
      </c>
      <c r="K120" s="9">
        <f t="shared" si="2"/>
        <v>45801</v>
      </c>
      <c r="L120">
        <f t="shared" si="3"/>
        <v>2643652</v>
      </c>
    </row>
    <row r="121" spans="1:12">
      <c r="A121">
        <v>622</v>
      </c>
      <c r="B121">
        <v>165</v>
      </c>
      <c r="C121">
        <v>2</v>
      </c>
      <c r="D121" t="s">
        <v>2385</v>
      </c>
      <c r="E121" s="7">
        <v>3664.38</v>
      </c>
      <c r="F121" s="7">
        <v>6.95</v>
      </c>
      <c r="G121">
        <v>19</v>
      </c>
      <c r="H121" t="s">
        <v>2466</v>
      </c>
      <c r="I121" t="s">
        <v>2393</v>
      </c>
      <c r="J121">
        <v>332</v>
      </c>
      <c r="K121" s="9">
        <f t="shared" si="2"/>
        <v>44552</v>
      </c>
      <c r="L121">
        <f t="shared" si="3"/>
        <v>366438</v>
      </c>
    </row>
    <row r="122" spans="1:12">
      <c r="A122">
        <v>623</v>
      </c>
      <c r="B122">
        <v>740</v>
      </c>
      <c r="C122">
        <v>2</v>
      </c>
      <c r="D122" t="s">
        <v>2387</v>
      </c>
      <c r="E122" s="7">
        <v>133140.39</v>
      </c>
      <c r="F122" s="7">
        <v>12.5</v>
      </c>
      <c r="G122">
        <v>134</v>
      </c>
      <c r="H122" t="s">
        <v>2467</v>
      </c>
      <c r="I122" t="s">
        <v>2377</v>
      </c>
      <c r="J122">
        <v>0</v>
      </c>
      <c r="K122" s="9">
        <f t="shared" si="2"/>
        <v>44438</v>
      </c>
      <c r="L122">
        <f t="shared" si="3"/>
        <v>13314039</v>
      </c>
    </row>
    <row r="123" spans="1:12">
      <c r="A123">
        <v>624</v>
      </c>
      <c r="B123">
        <v>843</v>
      </c>
      <c r="C123">
        <v>2</v>
      </c>
      <c r="D123" t="s">
        <v>2390</v>
      </c>
      <c r="E123" s="7">
        <v>24437.48</v>
      </c>
      <c r="F123" s="7">
        <v>7.34</v>
      </c>
      <c r="G123">
        <v>79</v>
      </c>
      <c r="H123" t="s">
        <v>2468</v>
      </c>
      <c r="I123" t="s">
        <v>2377</v>
      </c>
      <c r="J123">
        <v>30</v>
      </c>
      <c r="K123" s="9">
        <f t="shared" si="2"/>
        <v>45374</v>
      </c>
      <c r="L123">
        <f t="shared" si="3"/>
        <v>2443748</v>
      </c>
    </row>
    <row r="124" spans="1:12">
      <c r="A124">
        <v>625</v>
      </c>
      <c r="B124">
        <v>836</v>
      </c>
      <c r="C124">
        <v>3</v>
      </c>
      <c r="D124" t="s">
        <v>2379</v>
      </c>
      <c r="E124" s="7">
        <v>6646.72</v>
      </c>
      <c r="F124" s="7">
        <v>16.86</v>
      </c>
      <c r="G124">
        <v>31</v>
      </c>
      <c r="H124" t="s">
        <v>1506</v>
      </c>
      <c r="I124" t="s">
        <v>2377</v>
      </c>
      <c r="J124">
        <v>0</v>
      </c>
      <c r="K124" s="9">
        <f t="shared" si="2"/>
        <v>44420</v>
      </c>
      <c r="L124">
        <f t="shared" si="3"/>
        <v>664672</v>
      </c>
    </row>
    <row r="125" spans="1:12">
      <c r="A125">
        <v>626</v>
      </c>
      <c r="B125">
        <v>300</v>
      </c>
      <c r="C125">
        <v>3</v>
      </c>
      <c r="D125" t="s">
        <v>2376</v>
      </c>
      <c r="E125" s="7">
        <v>112985.79</v>
      </c>
      <c r="F125" s="7">
        <v>8.1</v>
      </c>
      <c r="G125">
        <v>15</v>
      </c>
      <c r="H125" t="s">
        <v>1370</v>
      </c>
      <c r="I125" t="s">
        <v>2383</v>
      </c>
      <c r="J125">
        <v>0</v>
      </c>
      <c r="K125" s="9">
        <f t="shared" si="2"/>
        <v>45017</v>
      </c>
      <c r="L125">
        <f t="shared" si="3"/>
        <v>11298579</v>
      </c>
    </row>
    <row r="126" spans="1:12">
      <c r="A126">
        <v>627</v>
      </c>
      <c r="B126">
        <v>55</v>
      </c>
      <c r="C126">
        <v>1</v>
      </c>
      <c r="D126" t="s">
        <v>2376</v>
      </c>
      <c r="E126" s="7">
        <v>84930.96</v>
      </c>
      <c r="F126" s="7">
        <v>10.28</v>
      </c>
      <c r="G126">
        <v>89</v>
      </c>
      <c r="H126" t="s">
        <v>2469</v>
      </c>
      <c r="I126" t="s">
        <v>2377</v>
      </c>
      <c r="J126">
        <v>0</v>
      </c>
      <c r="K126" s="9">
        <f t="shared" si="2"/>
        <v>44696</v>
      </c>
      <c r="L126">
        <f t="shared" si="3"/>
        <v>8493096</v>
      </c>
    </row>
    <row r="127" spans="1:12">
      <c r="A127">
        <v>1</v>
      </c>
      <c r="B127">
        <v>819</v>
      </c>
      <c r="C127">
        <v>2</v>
      </c>
      <c r="D127" t="s">
        <v>2387</v>
      </c>
      <c r="E127" s="7">
        <v>81166.55</v>
      </c>
      <c r="F127" s="7">
        <v>14.11</v>
      </c>
      <c r="G127">
        <v>240</v>
      </c>
      <c r="H127" t="s">
        <v>2470</v>
      </c>
      <c r="I127" t="s">
        <v>2377</v>
      </c>
      <c r="J127">
        <v>0</v>
      </c>
      <c r="K127" s="9">
        <f t="shared" si="2"/>
        <v>45049</v>
      </c>
      <c r="L127">
        <f t="shared" si="3"/>
        <v>8116655</v>
      </c>
    </row>
    <row r="128" spans="1:12">
      <c r="A128">
        <v>2</v>
      </c>
      <c r="B128">
        <v>498</v>
      </c>
      <c r="C128">
        <v>2</v>
      </c>
      <c r="D128" t="s">
        <v>2390</v>
      </c>
      <c r="E128" s="7">
        <v>32467.9</v>
      </c>
      <c r="F128" s="7">
        <v>9.23</v>
      </c>
      <c r="G128">
        <v>76</v>
      </c>
      <c r="H128" t="s">
        <v>2471</v>
      </c>
      <c r="I128" t="s">
        <v>2377</v>
      </c>
      <c r="J128">
        <v>0</v>
      </c>
      <c r="K128" s="9">
        <f t="shared" si="2"/>
        <v>44832</v>
      </c>
      <c r="L128">
        <f t="shared" si="3"/>
        <v>324679</v>
      </c>
    </row>
    <row r="129" spans="1:12">
      <c r="A129">
        <v>3</v>
      </c>
      <c r="B129">
        <v>697</v>
      </c>
      <c r="C129">
        <v>5</v>
      </c>
      <c r="D129" t="s">
        <v>2390</v>
      </c>
      <c r="E129" s="7">
        <v>27642.84</v>
      </c>
      <c r="F129" s="7">
        <v>21.98</v>
      </c>
      <c r="G129">
        <v>60</v>
      </c>
      <c r="H129" t="s">
        <v>2472</v>
      </c>
      <c r="I129" t="s">
        <v>2377</v>
      </c>
      <c r="J129">
        <v>0</v>
      </c>
      <c r="K129" s="9">
        <f t="shared" si="2"/>
        <v>45255</v>
      </c>
      <c r="L129">
        <f t="shared" si="3"/>
        <v>2764284</v>
      </c>
    </row>
    <row r="130" spans="1:12">
      <c r="A130">
        <v>4</v>
      </c>
      <c r="B130">
        <v>954</v>
      </c>
      <c r="C130">
        <v>5</v>
      </c>
      <c r="D130" t="s">
        <v>2390</v>
      </c>
      <c r="E130" s="7">
        <v>10902.81</v>
      </c>
      <c r="F130" s="7">
        <v>6.09</v>
      </c>
      <c r="G130">
        <v>57</v>
      </c>
      <c r="H130" t="s">
        <v>1016</v>
      </c>
      <c r="I130" t="s">
        <v>2377</v>
      </c>
      <c r="J130">
        <v>0</v>
      </c>
      <c r="K130" s="9">
        <f t="shared" si="2"/>
        <v>44942</v>
      </c>
      <c r="L130">
        <f t="shared" si="3"/>
        <v>1090281</v>
      </c>
    </row>
    <row r="131" spans="1:12">
      <c r="A131">
        <v>5</v>
      </c>
      <c r="B131">
        <v>78</v>
      </c>
      <c r="C131">
        <v>4</v>
      </c>
      <c r="D131" t="s">
        <v>2379</v>
      </c>
      <c r="E131" s="7">
        <v>4203.21</v>
      </c>
      <c r="F131" s="7">
        <v>11.07</v>
      </c>
      <c r="G131">
        <v>12</v>
      </c>
      <c r="H131" t="s">
        <v>2473</v>
      </c>
      <c r="I131" t="s">
        <v>2393</v>
      </c>
      <c r="J131">
        <v>288</v>
      </c>
      <c r="K131" s="9">
        <f t="shared" ref="K131:K194" si="4">DATEVALUE(LEFT(H131,10))</f>
        <v>44884</v>
      </c>
      <c r="L131">
        <f t="shared" ref="L131:L194" si="5">_xlfn.NUMBERVALUE(E131,".",",")</f>
        <v>420321</v>
      </c>
    </row>
    <row r="132" spans="1:12">
      <c r="A132">
        <v>6</v>
      </c>
      <c r="B132">
        <v>95</v>
      </c>
      <c r="C132">
        <v>3</v>
      </c>
      <c r="D132" t="s">
        <v>2385</v>
      </c>
      <c r="E132" s="7">
        <v>5555.26</v>
      </c>
      <c r="F132" s="7">
        <v>14.02</v>
      </c>
      <c r="G132">
        <v>31</v>
      </c>
      <c r="H132" t="s">
        <v>2474</v>
      </c>
      <c r="I132" t="s">
        <v>2383</v>
      </c>
      <c r="J132">
        <v>0</v>
      </c>
      <c r="K132" s="9">
        <f t="shared" si="4"/>
        <v>44764</v>
      </c>
      <c r="L132">
        <f t="shared" si="5"/>
        <v>555526</v>
      </c>
    </row>
    <row r="133" spans="1:12">
      <c r="A133">
        <v>7</v>
      </c>
      <c r="B133">
        <v>346</v>
      </c>
      <c r="C133">
        <v>1</v>
      </c>
      <c r="D133" t="s">
        <v>2376</v>
      </c>
      <c r="E133" s="7">
        <v>148924.06</v>
      </c>
      <c r="F133" s="7">
        <v>17.25</v>
      </c>
      <c r="G133">
        <v>91</v>
      </c>
      <c r="H133" t="s">
        <v>2475</v>
      </c>
      <c r="I133" t="s">
        <v>2383</v>
      </c>
      <c r="J133">
        <v>0</v>
      </c>
      <c r="K133" s="9">
        <f t="shared" si="4"/>
        <v>44275</v>
      </c>
      <c r="L133">
        <f t="shared" si="5"/>
        <v>14892406</v>
      </c>
    </row>
    <row r="134" spans="1:12">
      <c r="A134">
        <v>8</v>
      </c>
      <c r="B134">
        <v>995</v>
      </c>
      <c r="C134">
        <v>4</v>
      </c>
      <c r="D134" t="s">
        <v>2376</v>
      </c>
      <c r="E134" s="7">
        <v>61112.79</v>
      </c>
      <c r="F134" s="7">
        <v>5.97</v>
      </c>
      <c r="G134">
        <v>44</v>
      </c>
      <c r="H134" t="s">
        <v>2476</v>
      </c>
      <c r="I134" t="s">
        <v>2377</v>
      </c>
      <c r="J134">
        <v>0</v>
      </c>
      <c r="K134" s="9">
        <f t="shared" si="4"/>
        <v>45035</v>
      </c>
      <c r="L134">
        <f t="shared" si="5"/>
        <v>6111279</v>
      </c>
    </row>
    <row r="135" spans="1:12">
      <c r="A135">
        <v>9</v>
      </c>
      <c r="B135">
        <v>235</v>
      </c>
      <c r="C135">
        <v>2</v>
      </c>
      <c r="D135" t="s">
        <v>2379</v>
      </c>
      <c r="E135" s="7">
        <v>13785.27</v>
      </c>
      <c r="F135" s="7">
        <v>21.96</v>
      </c>
      <c r="G135">
        <v>59</v>
      </c>
      <c r="H135" t="s">
        <v>2477</v>
      </c>
      <c r="I135" t="s">
        <v>2377</v>
      </c>
      <c r="J135">
        <v>59</v>
      </c>
      <c r="K135" s="9">
        <f t="shared" si="4"/>
        <v>45047</v>
      </c>
      <c r="L135">
        <f t="shared" si="5"/>
        <v>1378527</v>
      </c>
    </row>
    <row r="136" spans="1:12">
      <c r="A136">
        <v>10</v>
      </c>
      <c r="B136">
        <v>792</v>
      </c>
      <c r="C136">
        <v>5</v>
      </c>
      <c r="D136" t="s">
        <v>2390</v>
      </c>
      <c r="E136" s="7">
        <v>12671.08</v>
      </c>
      <c r="F136" s="10">
        <v>14</v>
      </c>
      <c r="G136">
        <v>51</v>
      </c>
      <c r="H136" t="s">
        <v>2427</v>
      </c>
      <c r="I136" t="s">
        <v>2383</v>
      </c>
      <c r="J136">
        <v>0</v>
      </c>
      <c r="K136" s="9">
        <f t="shared" si="4"/>
        <v>44181</v>
      </c>
      <c r="L136">
        <f t="shared" si="5"/>
        <v>1267108</v>
      </c>
    </row>
    <row r="137" spans="1:12">
      <c r="A137">
        <v>11</v>
      </c>
      <c r="B137">
        <v>113</v>
      </c>
      <c r="C137">
        <v>3</v>
      </c>
      <c r="D137" t="s">
        <v>2379</v>
      </c>
      <c r="E137" s="7">
        <v>3833.53</v>
      </c>
      <c r="F137" s="7">
        <v>9.7</v>
      </c>
      <c r="G137">
        <v>50</v>
      </c>
      <c r="H137" t="s">
        <v>1341</v>
      </c>
      <c r="I137" t="s">
        <v>2377</v>
      </c>
      <c r="J137">
        <v>12</v>
      </c>
      <c r="K137" s="9">
        <f t="shared" si="4"/>
        <v>44404</v>
      </c>
      <c r="L137">
        <f t="shared" si="5"/>
        <v>383353</v>
      </c>
    </row>
    <row r="138" spans="1:12">
      <c r="A138">
        <v>12</v>
      </c>
      <c r="B138">
        <v>394</v>
      </c>
      <c r="C138">
        <v>3</v>
      </c>
      <c r="D138" t="s">
        <v>2385</v>
      </c>
      <c r="E138" s="7">
        <v>3215.77</v>
      </c>
      <c r="F138" s="7">
        <v>13.79</v>
      </c>
      <c r="G138">
        <v>27</v>
      </c>
      <c r="H138" t="s">
        <v>1605</v>
      </c>
      <c r="I138" t="s">
        <v>2377</v>
      </c>
      <c r="J138">
        <v>0</v>
      </c>
      <c r="K138" s="9">
        <f t="shared" si="4"/>
        <v>45639</v>
      </c>
      <c r="L138">
        <f t="shared" si="5"/>
        <v>321577</v>
      </c>
    </row>
    <row r="139" spans="1:12">
      <c r="A139">
        <v>13</v>
      </c>
      <c r="B139">
        <v>8</v>
      </c>
      <c r="C139">
        <v>3</v>
      </c>
      <c r="D139" t="s">
        <v>2385</v>
      </c>
      <c r="E139" s="7">
        <v>5534.7</v>
      </c>
      <c r="F139" s="7">
        <v>14.42</v>
      </c>
      <c r="G139">
        <v>19</v>
      </c>
      <c r="H139" t="s">
        <v>2182</v>
      </c>
      <c r="I139" t="s">
        <v>2377</v>
      </c>
      <c r="J139">
        <v>81</v>
      </c>
      <c r="K139" s="9">
        <f t="shared" si="4"/>
        <v>44818</v>
      </c>
      <c r="L139">
        <f t="shared" si="5"/>
        <v>55347</v>
      </c>
    </row>
    <row r="140" spans="1:12">
      <c r="A140">
        <v>14</v>
      </c>
      <c r="B140">
        <v>138</v>
      </c>
      <c r="C140">
        <v>2</v>
      </c>
      <c r="D140" t="s">
        <v>2387</v>
      </c>
      <c r="E140" s="7">
        <v>87582.7</v>
      </c>
      <c r="F140" s="7">
        <v>14.19</v>
      </c>
      <c r="G140">
        <v>215</v>
      </c>
      <c r="H140" t="s">
        <v>975</v>
      </c>
      <c r="I140" t="s">
        <v>2377</v>
      </c>
      <c r="J140">
        <v>0</v>
      </c>
      <c r="K140" s="9">
        <f t="shared" si="4"/>
        <v>44047</v>
      </c>
      <c r="L140">
        <f t="shared" si="5"/>
        <v>875827</v>
      </c>
    </row>
    <row r="141" spans="1:12">
      <c r="A141">
        <v>15</v>
      </c>
      <c r="B141">
        <v>127</v>
      </c>
      <c r="C141">
        <v>2</v>
      </c>
      <c r="D141" t="s">
        <v>2390</v>
      </c>
      <c r="E141" s="7">
        <v>36343.64</v>
      </c>
      <c r="F141" s="7">
        <v>13.59</v>
      </c>
      <c r="G141">
        <v>50</v>
      </c>
      <c r="H141" t="s">
        <v>2478</v>
      </c>
      <c r="I141" t="s">
        <v>2393</v>
      </c>
      <c r="J141">
        <v>311</v>
      </c>
      <c r="K141" s="9">
        <f t="shared" si="4"/>
        <v>44555</v>
      </c>
      <c r="L141">
        <f t="shared" si="5"/>
        <v>3634364</v>
      </c>
    </row>
    <row r="142" spans="1:12">
      <c r="A142">
        <v>16</v>
      </c>
      <c r="B142">
        <v>280</v>
      </c>
      <c r="C142">
        <v>6</v>
      </c>
      <c r="D142" t="s">
        <v>2376</v>
      </c>
      <c r="E142" s="7">
        <v>36013.33</v>
      </c>
      <c r="F142" s="7">
        <v>8.08</v>
      </c>
      <c r="G142">
        <v>111</v>
      </c>
      <c r="H142" t="s">
        <v>2479</v>
      </c>
      <c r="I142" t="s">
        <v>2383</v>
      </c>
      <c r="J142">
        <v>0</v>
      </c>
      <c r="K142" s="9">
        <f t="shared" si="4"/>
        <v>45773</v>
      </c>
      <c r="L142">
        <f t="shared" si="5"/>
        <v>3601333</v>
      </c>
    </row>
    <row r="143" spans="1:12">
      <c r="A143">
        <v>17</v>
      </c>
      <c r="B143">
        <v>196</v>
      </c>
      <c r="C143">
        <v>1</v>
      </c>
      <c r="D143" t="s">
        <v>2379</v>
      </c>
      <c r="E143" s="7">
        <v>13902.99</v>
      </c>
      <c r="F143" s="7">
        <v>16.34</v>
      </c>
      <c r="G143">
        <v>10</v>
      </c>
      <c r="H143" t="s">
        <v>2480</v>
      </c>
      <c r="I143" t="s">
        <v>2377</v>
      </c>
      <c r="J143">
        <v>0</v>
      </c>
      <c r="K143" s="9">
        <f t="shared" si="4"/>
        <v>44422</v>
      </c>
      <c r="L143">
        <f t="shared" si="5"/>
        <v>1390299</v>
      </c>
    </row>
    <row r="144" spans="1:12">
      <c r="A144">
        <v>18</v>
      </c>
      <c r="B144">
        <v>341</v>
      </c>
      <c r="C144">
        <v>2</v>
      </c>
      <c r="D144" t="s">
        <v>2387</v>
      </c>
      <c r="E144" s="7">
        <v>129031.63</v>
      </c>
      <c r="F144" s="7">
        <v>18.88</v>
      </c>
      <c r="G144">
        <v>283</v>
      </c>
      <c r="H144" t="s">
        <v>2187</v>
      </c>
      <c r="I144" t="s">
        <v>2377</v>
      </c>
      <c r="J144">
        <v>0</v>
      </c>
      <c r="K144" s="9">
        <f t="shared" si="4"/>
        <v>44307</v>
      </c>
      <c r="L144">
        <f t="shared" si="5"/>
        <v>12903163</v>
      </c>
    </row>
    <row r="145" spans="1:12">
      <c r="A145">
        <v>19</v>
      </c>
      <c r="B145">
        <v>19</v>
      </c>
      <c r="C145">
        <v>2</v>
      </c>
      <c r="D145" t="s">
        <v>2379</v>
      </c>
      <c r="E145" s="7">
        <v>9553.11</v>
      </c>
      <c r="F145" s="7">
        <v>11.9</v>
      </c>
      <c r="G145">
        <v>57</v>
      </c>
      <c r="H145" t="s">
        <v>372</v>
      </c>
      <c r="I145" t="s">
        <v>2377</v>
      </c>
      <c r="J145">
        <v>0</v>
      </c>
      <c r="K145" s="9">
        <f t="shared" si="4"/>
        <v>44865</v>
      </c>
      <c r="L145">
        <f t="shared" si="5"/>
        <v>955311</v>
      </c>
    </row>
    <row r="146" spans="1:12">
      <c r="A146">
        <v>20</v>
      </c>
      <c r="B146">
        <v>271</v>
      </c>
      <c r="C146">
        <v>3</v>
      </c>
      <c r="D146" t="s">
        <v>2390</v>
      </c>
      <c r="E146" s="7">
        <v>26718.5</v>
      </c>
      <c r="F146" s="7">
        <v>16.44</v>
      </c>
      <c r="G146">
        <v>52</v>
      </c>
      <c r="H146" t="s">
        <v>2481</v>
      </c>
      <c r="I146" t="s">
        <v>2393</v>
      </c>
      <c r="J146">
        <v>120</v>
      </c>
      <c r="K146" s="9">
        <f t="shared" si="4"/>
        <v>44722</v>
      </c>
      <c r="L146">
        <f t="shared" si="5"/>
        <v>267185</v>
      </c>
    </row>
    <row r="147" spans="1:12">
      <c r="A147">
        <v>21</v>
      </c>
      <c r="B147">
        <v>814</v>
      </c>
      <c r="C147">
        <v>7</v>
      </c>
      <c r="D147" t="s">
        <v>2387</v>
      </c>
      <c r="E147" s="7">
        <v>100172.69</v>
      </c>
      <c r="F147" s="7">
        <v>19.2</v>
      </c>
      <c r="G147">
        <v>135</v>
      </c>
      <c r="H147" t="s">
        <v>1865</v>
      </c>
      <c r="I147" t="s">
        <v>2377</v>
      </c>
      <c r="J147">
        <v>0</v>
      </c>
      <c r="K147" s="9">
        <f t="shared" si="4"/>
        <v>44549</v>
      </c>
      <c r="L147">
        <f t="shared" si="5"/>
        <v>10017269</v>
      </c>
    </row>
    <row r="148" spans="1:12">
      <c r="A148">
        <v>22</v>
      </c>
      <c r="B148">
        <v>152</v>
      </c>
      <c r="C148">
        <v>4</v>
      </c>
      <c r="D148" t="s">
        <v>2385</v>
      </c>
      <c r="E148" s="7">
        <v>5894.65</v>
      </c>
      <c r="F148" s="7">
        <v>17.62</v>
      </c>
      <c r="G148">
        <v>13</v>
      </c>
      <c r="H148" t="s">
        <v>2482</v>
      </c>
      <c r="I148" t="s">
        <v>2383</v>
      </c>
      <c r="J148">
        <v>0</v>
      </c>
      <c r="K148" s="9">
        <f t="shared" si="4"/>
        <v>45687</v>
      </c>
      <c r="L148">
        <f t="shared" si="5"/>
        <v>589465</v>
      </c>
    </row>
    <row r="149" spans="1:12">
      <c r="A149">
        <v>23</v>
      </c>
      <c r="B149">
        <v>825</v>
      </c>
      <c r="C149">
        <v>3</v>
      </c>
      <c r="D149" t="s">
        <v>2385</v>
      </c>
      <c r="E149" s="7">
        <v>3672.71</v>
      </c>
      <c r="F149" s="7">
        <v>10.61</v>
      </c>
      <c r="G149">
        <v>8</v>
      </c>
      <c r="H149" t="s">
        <v>2483</v>
      </c>
      <c r="I149" t="s">
        <v>2377</v>
      </c>
      <c r="J149">
        <v>0</v>
      </c>
      <c r="K149" s="9">
        <f t="shared" si="4"/>
        <v>45228</v>
      </c>
      <c r="L149">
        <f t="shared" si="5"/>
        <v>367271</v>
      </c>
    </row>
    <row r="150" spans="1:12">
      <c r="A150">
        <v>24</v>
      </c>
      <c r="B150">
        <v>466</v>
      </c>
      <c r="C150">
        <v>2</v>
      </c>
      <c r="D150" t="s">
        <v>2385</v>
      </c>
      <c r="E150" s="7">
        <v>5312.65</v>
      </c>
      <c r="F150" s="7">
        <v>10.78</v>
      </c>
      <c r="G150">
        <v>22</v>
      </c>
      <c r="H150" t="s">
        <v>2484</v>
      </c>
      <c r="I150" t="s">
        <v>2377</v>
      </c>
      <c r="J150">
        <v>0</v>
      </c>
      <c r="K150" s="9">
        <f t="shared" si="4"/>
        <v>45314</v>
      </c>
      <c r="L150">
        <f t="shared" si="5"/>
        <v>531265</v>
      </c>
    </row>
    <row r="151" spans="1:12">
      <c r="A151">
        <v>25</v>
      </c>
      <c r="B151">
        <v>154</v>
      </c>
      <c r="C151">
        <v>1</v>
      </c>
      <c r="D151" t="s">
        <v>2387</v>
      </c>
      <c r="E151" s="7">
        <v>179204.32</v>
      </c>
      <c r="F151" s="7">
        <v>16.08</v>
      </c>
      <c r="G151">
        <v>298</v>
      </c>
      <c r="H151" t="s">
        <v>2485</v>
      </c>
      <c r="I151" t="s">
        <v>2377</v>
      </c>
      <c r="J151">
        <v>0</v>
      </c>
      <c r="K151" s="9">
        <f t="shared" si="4"/>
        <v>45025</v>
      </c>
      <c r="L151">
        <f t="shared" si="5"/>
        <v>17920432</v>
      </c>
    </row>
    <row r="152" spans="1:12">
      <c r="A152">
        <v>26</v>
      </c>
      <c r="B152">
        <v>170</v>
      </c>
      <c r="C152">
        <v>4</v>
      </c>
      <c r="D152" t="s">
        <v>2379</v>
      </c>
      <c r="E152" s="7">
        <v>3503.12</v>
      </c>
      <c r="F152" s="7">
        <v>7.53</v>
      </c>
      <c r="G152">
        <v>17</v>
      </c>
      <c r="H152" t="s">
        <v>1568</v>
      </c>
      <c r="I152" t="s">
        <v>2377</v>
      </c>
      <c r="J152">
        <v>0</v>
      </c>
      <c r="K152" s="9">
        <f t="shared" si="4"/>
        <v>44714</v>
      </c>
      <c r="L152">
        <f t="shared" si="5"/>
        <v>350312</v>
      </c>
    </row>
    <row r="153" spans="1:12">
      <c r="A153">
        <v>27</v>
      </c>
      <c r="B153">
        <v>170</v>
      </c>
      <c r="C153">
        <v>4</v>
      </c>
      <c r="D153" t="s">
        <v>2379</v>
      </c>
      <c r="E153" s="7">
        <v>10270.21</v>
      </c>
      <c r="F153" s="7">
        <v>11.28</v>
      </c>
      <c r="G153">
        <v>49</v>
      </c>
      <c r="H153" t="s">
        <v>2486</v>
      </c>
      <c r="I153" t="s">
        <v>2377</v>
      </c>
      <c r="J153">
        <v>0</v>
      </c>
      <c r="K153" s="9">
        <f t="shared" si="4"/>
        <v>45193</v>
      </c>
      <c r="L153">
        <f t="shared" si="5"/>
        <v>1027021</v>
      </c>
    </row>
    <row r="154" spans="1:12">
      <c r="A154">
        <v>28</v>
      </c>
      <c r="B154">
        <v>743</v>
      </c>
      <c r="C154">
        <v>1</v>
      </c>
      <c r="D154" t="s">
        <v>2379</v>
      </c>
      <c r="E154" s="7">
        <v>13555.59</v>
      </c>
      <c r="F154" s="7">
        <v>14.75</v>
      </c>
      <c r="G154">
        <v>27</v>
      </c>
      <c r="H154" t="s">
        <v>2487</v>
      </c>
      <c r="I154" t="s">
        <v>2383</v>
      </c>
      <c r="J154">
        <v>0</v>
      </c>
      <c r="K154" s="9">
        <f t="shared" si="4"/>
        <v>44922</v>
      </c>
      <c r="L154">
        <f t="shared" si="5"/>
        <v>1355559</v>
      </c>
    </row>
    <row r="155" spans="1:12">
      <c r="A155">
        <v>29</v>
      </c>
      <c r="B155">
        <v>13</v>
      </c>
      <c r="C155">
        <v>3</v>
      </c>
      <c r="D155" t="s">
        <v>2390</v>
      </c>
      <c r="E155" s="7">
        <v>31092.32</v>
      </c>
      <c r="F155" s="7">
        <v>20.39</v>
      </c>
      <c r="G155">
        <v>42</v>
      </c>
      <c r="H155" t="s">
        <v>2488</v>
      </c>
      <c r="I155" t="s">
        <v>2377</v>
      </c>
      <c r="J155">
        <v>0</v>
      </c>
      <c r="K155" s="9">
        <f t="shared" si="4"/>
        <v>44508</v>
      </c>
      <c r="L155">
        <f t="shared" si="5"/>
        <v>3109232</v>
      </c>
    </row>
    <row r="156" spans="1:12">
      <c r="A156">
        <v>30</v>
      </c>
      <c r="B156">
        <v>994</v>
      </c>
      <c r="C156">
        <v>3</v>
      </c>
      <c r="D156" t="s">
        <v>2390</v>
      </c>
      <c r="E156" s="7">
        <v>24408.44</v>
      </c>
      <c r="F156" s="7">
        <v>13.14</v>
      </c>
      <c r="G156">
        <v>41</v>
      </c>
      <c r="H156" t="s">
        <v>2062</v>
      </c>
      <c r="I156" t="s">
        <v>2377</v>
      </c>
      <c r="J156">
        <v>0</v>
      </c>
      <c r="K156" s="9">
        <f t="shared" si="4"/>
        <v>44104</v>
      </c>
      <c r="L156">
        <f t="shared" si="5"/>
        <v>2440844</v>
      </c>
    </row>
    <row r="157" spans="1:12">
      <c r="A157">
        <v>31</v>
      </c>
      <c r="B157">
        <v>635</v>
      </c>
      <c r="C157">
        <v>5</v>
      </c>
      <c r="D157" t="s">
        <v>2379</v>
      </c>
      <c r="E157" s="7">
        <v>3362.54</v>
      </c>
      <c r="F157" s="7">
        <v>17.05</v>
      </c>
      <c r="G157">
        <v>26</v>
      </c>
      <c r="H157" t="s">
        <v>2489</v>
      </c>
      <c r="I157" t="s">
        <v>2383</v>
      </c>
      <c r="J157">
        <v>0</v>
      </c>
      <c r="K157" s="9">
        <f t="shared" si="4"/>
        <v>44669</v>
      </c>
      <c r="L157">
        <f t="shared" si="5"/>
        <v>336254</v>
      </c>
    </row>
    <row r="158" spans="1:12">
      <c r="A158">
        <v>32</v>
      </c>
      <c r="B158">
        <v>271</v>
      </c>
      <c r="C158">
        <v>3</v>
      </c>
      <c r="D158" t="s">
        <v>2385</v>
      </c>
      <c r="E158" s="7">
        <v>7801.22</v>
      </c>
      <c r="F158" s="7">
        <v>7.52</v>
      </c>
      <c r="G158">
        <v>28</v>
      </c>
      <c r="H158" t="s">
        <v>2490</v>
      </c>
      <c r="I158" t="s">
        <v>2377</v>
      </c>
      <c r="J158">
        <v>0</v>
      </c>
      <c r="K158" s="9">
        <f t="shared" si="4"/>
        <v>44283</v>
      </c>
      <c r="L158">
        <f t="shared" si="5"/>
        <v>780122</v>
      </c>
    </row>
    <row r="159" spans="1:12">
      <c r="A159">
        <v>33</v>
      </c>
      <c r="B159">
        <v>784</v>
      </c>
      <c r="C159">
        <v>3</v>
      </c>
      <c r="D159" t="s">
        <v>2379</v>
      </c>
      <c r="E159" s="7">
        <v>3816.43</v>
      </c>
      <c r="F159" s="7">
        <v>6.91</v>
      </c>
      <c r="G159">
        <v>32</v>
      </c>
      <c r="H159" t="s">
        <v>2491</v>
      </c>
      <c r="I159" t="s">
        <v>2393</v>
      </c>
      <c r="J159">
        <v>309</v>
      </c>
      <c r="K159" s="9">
        <f t="shared" si="4"/>
        <v>44806</v>
      </c>
      <c r="L159">
        <f t="shared" si="5"/>
        <v>381643</v>
      </c>
    </row>
    <row r="160" spans="1:12">
      <c r="A160">
        <v>34</v>
      </c>
      <c r="B160">
        <v>632</v>
      </c>
      <c r="C160">
        <v>3</v>
      </c>
      <c r="D160" t="s">
        <v>2379</v>
      </c>
      <c r="E160" s="7">
        <v>2396.29</v>
      </c>
      <c r="F160" s="7">
        <v>9.89</v>
      </c>
      <c r="G160">
        <v>57</v>
      </c>
      <c r="H160" t="s">
        <v>1624</v>
      </c>
      <c r="I160" t="s">
        <v>2377</v>
      </c>
      <c r="J160">
        <v>0</v>
      </c>
      <c r="K160" s="9">
        <f t="shared" si="4"/>
        <v>44845</v>
      </c>
      <c r="L160">
        <f t="shared" si="5"/>
        <v>239629</v>
      </c>
    </row>
    <row r="161" spans="1:12">
      <c r="A161">
        <v>35</v>
      </c>
      <c r="B161">
        <v>212</v>
      </c>
      <c r="C161">
        <v>2</v>
      </c>
      <c r="D161" t="s">
        <v>2390</v>
      </c>
      <c r="E161" s="7">
        <v>33406.3</v>
      </c>
      <c r="F161" s="7">
        <v>6.9</v>
      </c>
      <c r="G161">
        <v>40</v>
      </c>
      <c r="H161" t="s">
        <v>2492</v>
      </c>
      <c r="I161" t="s">
        <v>2377</v>
      </c>
      <c r="J161">
        <v>0</v>
      </c>
      <c r="K161" s="9">
        <f t="shared" si="4"/>
        <v>45821</v>
      </c>
      <c r="L161">
        <f t="shared" si="5"/>
        <v>334063</v>
      </c>
    </row>
    <row r="162" spans="1:12">
      <c r="A162">
        <v>36</v>
      </c>
      <c r="B162">
        <v>909</v>
      </c>
      <c r="C162">
        <v>5</v>
      </c>
      <c r="D162" t="s">
        <v>2387</v>
      </c>
      <c r="E162" s="7">
        <v>121973.78</v>
      </c>
      <c r="F162" s="7">
        <v>7.22</v>
      </c>
      <c r="G162">
        <v>230</v>
      </c>
      <c r="H162" t="s">
        <v>2493</v>
      </c>
      <c r="I162" t="s">
        <v>2383</v>
      </c>
      <c r="J162">
        <v>0</v>
      </c>
      <c r="K162" s="9">
        <f t="shared" si="4"/>
        <v>44785</v>
      </c>
      <c r="L162">
        <f t="shared" si="5"/>
        <v>12197378</v>
      </c>
    </row>
    <row r="163" spans="1:12">
      <c r="A163">
        <v>37</v>
      </c>
      <c r="B163">
        <v>435</v>
      </c>
      <c r="C163">
        <v>5</v>
      </c>
      <c r="D163" t="s">
        <v>2379</v>
      </c>
      <c r="E163" s="7">
        <v>9109.79</v>
      </c>
      <c r="F163" s="7">
        <v>11.75</v>
      </c>
      <c r="G163">
        <v>6</v>
      </c>
      <c r="H163" t="s">
        <v>2494</v>
      </c>
      <c r="I163" t="s">
        <v>2377</v>
      </c>
      <c r="J163">
        <v>0</v>
      </c>
      <c r="K163" s="9">
        <f t="shared" si="4"/>
        <v>45767</v>
      </c>
      <c r="L163">
        <f t="shared" si="5"/>
        <v>910979</v>
      </c>
    </row>
    <row r="164" spans="1:12">
      <c r="A164">
        <v>38</v>
      </c>
      <c r="B164">
        <v>882</v>
      </c>
      <c r="C164">
        <v>6</v>
      </c>
      <c r="D164" t="s">
        <v>2387</v>
      </c>
      <c r="E164" s="7">
        <v>142347.25</v>
      </c>
      <c r="F164" s="7">
        <v>16.2</v>
      </c>
      <c r="G164">
        <v>147</v>
      </c>
      <c r="H164" t="s">
        <v>1111</v>
      </c>
      <c r="I164" t="s">
        <v>2377</v>
      </c>
      <c r="J164">
        <v>0</v>
      </c>
      <c r="K164" s="9">
        <f t="shared" si="4"/>
        <v>44261</v>
      </c>
      <c r="L164">
        <f t="shared" si="5"/>
        <v>14234725</v>
      </c>
    </row>
    <row r="165" spans="1:12">
      <c r="A165">
        <v>39</v>
      </c>
      <c r="B165">
        <v>482</v>
      </c>
      <c r="C165">
        <v>6</v>
      </c>
      <c r="D165" t="s">
        <v>2387</v>
      </c>
      <c r="E165" s="7">
        <v>134374.47</v>
      </c>
      <c r="F165" s="7">
        <v>9.43</v>
      </c>
      <c r="G165">
        <v>126</v>
      </c>
      <c r="H165" t="s">
        <v>2495</v>
      </c>
      <c r="I165" t="s">
        <v>2377</v>
      </c>
      <c r="J165">
        <v>0</v>
      </c>
      <c r="K165" s="9">
        <f t="shared" si="4"/>
        <v>44266</v>
      </c>
      <c r="L165">
        <f t="shared" si="5"/>
        <v>13437447</v>
      </c>
    </row>
    <row r="166" spans="1:12">
      <c r="A166">
        <v>40</v>
      </c>
      <c r="B166">
        <v>693</v>
      </c>
      <c r="C166">
        <v>7</v>
      </c>
      <c r="D166" t="s">
        <v>2379</v>
      </c>
      <c r="E166" s="7">
        <v>10533.98</v>
      </c>
      <c r="F166" s="7">
        <v>9.13</v>
      </c>
      <c r="G166">
        <v>57</v>
      </c>
      <c r="H166" t="s">
        <v>2496</v>
      </c>
      <c r="I166" t="s">
        <v>2383</v>
      </c>
      <c r="J166">
        <v>0</v>
      </c>
      <c r="K166" s="9">
        <f t="shared" si="4"/>
        <v>45761</v>
      </c>
      <c r="L166">
        <f t="shared" si="5"/>
        <v>1053398</v>
      </c>
    </row>
    <row r="167" spans="1:12">
      <c r="A167">
        <v>41</v>
      </c>
      <c r="B167">
        <v>234</v>
      </c>
      <c r="C167">
        <v>5</v>
      </c>
      <c r="D167" t="s">
        <v>2387</v>
      </c>
      <c r="E167" s="7">
        <v>68969.22</v>
      </c>
      <c r="F167" s="7">
        <v>10.84</v>
      </c>
      <c r="G167">
        <v>145</v>
      </c>
      <c r="H167" t="s">
        <v>2497</v>
      </c>
      <c r="I167" t="s">
        <v>2377</v>
      </c>
      <c r="J167">
        <v>0</v>
      </c>
      <c r="K167" s="9">
        <f t="shared" si="4"/>
        <v>44337</v>
      </c>
      <c r="L167">
        <f t="shared" si="5"/>
        <v>6896922</v>
      </c>
    </row>
    <row r="168" spans="1:12">
      <c r="A168">
        <v>42</v>
      </c>
      <c r="B168">
        <v>680</v>
      </c>
      <c r="C168">
        <v>1</v>
      </c>
      <c r="D168" t="s">
        <v>2390</v>
      </c>
      <c r="E168" s="7">
        <v>35972.39</v>
      </c>
      <c r="F168" s="7">
        <v>20.75</v>
      </c>
      <c r="G168">
        <v>78</v>
      </c>
      <c r="H168" t="s">
        <v>2498</v>
      </c>
      <c r="I168" t="s">
        <v>2377</v>
      </c>
      <c r="J168">
        <v>0</v>
      </c>
      <c r="K168" s="9">
        <f t="shared" si="4"/>
        <v>44486</v>
      </c>
      <c r="L168">
        <f t="shared" si="5"/>
        <v>3597239</v>
      </c>
    </row>
    <row r="169" spans="1:12">
      <c r="A169">
        <v>43</v>
      </c>
      <c r="B169">
        <v>466</v>
      </c>
      <c r="C169">
        <v>2</v>
      </c>
      <c r="D169" t="s">
        <v>2387</v>
      </c>
      <c r="E169" s="7">
        <v>143817.41</v>
      </c>
      <c r="F169" s="7">
        <v>17.27</v>
      </c>
      <c r="G169">
        <v>241</v>
      </c>
      <c r="H169" t="s">
        <v>2499</v>
      </c>
      <c r="I169" t="s">
        <v>2383</v>
      </c>
      <c r="J169">
        <v>0</v>
      </c>
      <c r="K169" s="9">
        <f t="shared" si="4"/>
        <v>44528</v>
      </c>
      <c r="L169">
        <f t="shared" si="5"/>
        <v>14381741</v>
      </c>
    </row>
    <row r="170" spans="1:12">
      <c r="A170">
        <v>44</v>
      </c>
      <c r="B170">
        <v>84</v>
      </c>
      <c r="C170">
        <v>3</v>
      </c>
      <c r="D170" t="s">
        <v>2387</v>
      </c>
      <c r="E170" s="7">
        <v>197762.12</v>
      </c>
      <c r="F170" s="7">
        <v>21.29</v>
      </c>
      <c r="G170">
        <v>182</v>
      </c>
      <c r="H170" t="s">
        <v>1807</v>
      </c>
      <c r="I170" t="s">
        <v>2393</v>
      </c>
      <c r="J170">
        <v>319</v>
      </c>
      <c r="K170" s="9">
        <f t="shared" si="4"/>
        <v>45115</v>
      </c>
      <c r="L170">
        <f t="shared" si="5"/>
        <v>19776212</v>
      </c>
    </row>
    <row r="171" spans="1:12">
      <c r="A171">
        <v>45</v>
      </c>
      <c r="B171">
        <v>414</v>
      </c>
      <c r="C171">
        <v>5</v>
      </c>
      <c r="D171" t="s">
        <v>2385</v>
      </c>
      <c r="E171" s="7">
        <v>3428.82</v>
      </c>
      <c r="F171" s="7">
        <v>12.81</v>
      </c>
      <c r="G171">
        <v>27</v>
      </c>
      <c r="H171" t="s">
        <v>2500</v>
      </c>
      <c r="I171" t="s">
        <v>2383</v>
      </c>
      <c r="J171">
        <v>0</v>
      </c>
      <c r="K171" s="9">
        <f t="shared" si="4"/>
        <v>45660</v>
      </c>
      <c r="L171">
        <f t="shared" si="5"/>
        <v>342882</v>
      </c>
    </row>
    <row r="172" spans="1:12">
      <c r="A172">
        <v>46</v>
      </c>
      <c r="B172">
        <v>720</v>
      </c>
      <c r="C172">
        <v>1</v>
      </c>
      <c r="D172" t="s">
        <v>2390</v>
      </c>
      <c r="E172" s="7">
        <v>36010.77</v>
      </c>
      <c r="F172" s="7">
        <v>13.02</v>
      </c>
      <c r="G172">
        <v>25</v>
      </c>
      <c r="H172" t="s">
        <v>2501</v>
      </c>
      <c r="I172" t="s">
        <v>2377</v>
      </c>
      <c r="J172">
        <v>0</v>
      </c>
      <c r="K172" s="9">
        <f t="shared" si="4"/>
        <v>45743</v>
      </c>
      <c r="L172">
        <f t="shared" si="5"/>
        <v>3601077</v>
      </c>
    </row>
    <row r="173" spans="1:12">
      <c r="A173">
        <v>47</v>
      </c>
      <c r="B173">
        <v>227</v>
      </c>
      <c r="C173">
        <v>3</v>
      </c>
      <c r="D173" t="s">
        <v>2376</v>
      </c>
      <c r="E173" s="7">
        <v>118224.88</v>
      </c>
      <c r="F173" s="7">
        <v>8.18</v>
      </c>
      <c r="G173">
        <v>28</v>
      </c>
      <c r="H173" t="s">
        <v>588</v>
      </c>
      <c r="I173" t="s">
        <v>2377</v>
      </c>
      <c r="J173">
        <v>0</v>
      </c>
      <c r="K173" s="9">
        <f t="shared" si="4"/>
        <v>45186</v>
      </c>
      <c r="L173">
        <f t="shared" si="5"/>
        <v>11822488</v>
      </c>
    </row>
    <row r="174" spans="1:12">
      <c r="A174">
        <v>48</v>
      </c>
      <c r="B174">
        <v>836</v>
      </c>
      <c r="C174">
        <v>3</v>
      </c>
      <c r="D174" t="s">
        <v>2390</v>
      </c>
      <c r="E174" s="7">
        <v>10388.88</v>
      </c>
      <c r="F174" s="7">
        <v>6.06</v>
      </c>
      <c r="G174">
        <v>47</v>
      </c>
      <c r="H174" t="s">
        <v>2502</v>
      </c>
      <c r="I174" t="s">
        <v>2377</v>
      </c>
      <c r="J174">
        <v>0</v>
      </c>
      <c r="K174" s="9">
        <f t="shared" si="4"/>
        <v>45805</v>
      </c>
      <c r="L174">
        <f t="shared" si="5"/>
        <v>1038888</v>
      </c>
    </row>
    <row r="175" spans="1:12">
      <c r="A175">
        <v>49</v>
      </c>
      <c r="B175">
        <v>655</v>
      </c>
      <c r="C175">
        <v>3</v>
      </c>
      <c r="D175" t="s">
        <v>2379</v>
      </c>
      <c r="E175" s="7">
        <v>10823.36</v>
      </c>
      <c r="F175" s="7">
        <v>11.27</v>
      </c>
      <c r="G175">
        <v>38</v>
      </c>
      <c r="H175" t="s">
        <v>2503</v>
      </c>
      <c r="I175" t="s">
        <v>2377</v>
      </c>
      <c r="J175">
        <v>0</v>
      </c>
      <c r="K175" s="9">
        <f t="shared" si="4"/>
        <v>45512</v>
      </c>
      <c r="L175">
        <f t="shared" si="5"/>
        <v>1082336</v>
      </c>
    </row>
    <row r="176" spans="1:12">
      <c r="A176">
        <v>50</v>
      </c>
      <c r="B176">
        <v>24</v>
      </c>
      <c r="C176">
        <v>3</v>
      </c>
      <c r="D176" t="s">
        <v>2390</v>
      </c>
      <c r="E176" s="7">
        <v>10959.33</v>
      </c>
      <c r="F176" s="7">
        <v>12.79</v>
      </c>
      <c r="G176">
        <v>29</v>
      </c>
      <c r="H176" t="s">
        <v>2504</v>
      </c>
      <c r="I176" t="s">
        <v>2377</v>
      </c>
      <c r="J176">
        <v>73</v>
      </c>
      <c r="K176" s="9">
        <f t="shared" si="4"/>
        <v>44450</v>
      </c>
      <c r="L176">
        <f t="shared" si="5"/>
        <v>1095933</v>
      </c>
    </row>
    <row r="177" spans="1:12">
      <c r="A177">
        <v>51</v>
      </c>
      <c r="B177">
        <v>883</v>
      </c>
      <c r="C177">
        <v>2</v>
      </c>
      <c r="D177" t="s">
        <v>2387</v>
      </c>
      <c r="E177" s="7">
        <v>117072.83</v>
      </c>
      <c r="F177" s="7">
        <v>8.91</v>
      </c>
      <c r="G177">
        <v>271</v>
      </c>
      <c r="H177" t="s">
        <v>2505</v>
      </c>
      <c r="I177" t="s">
        <v>2377</v>
      </c>
      <c r="J177">
        <v>0</v>
      </c>
      <c r="K177" s="9">
        <f t="shared" si="4"/>
        <v>45395</v>
      </c>
      <c r="L177">
        <f t="shared" si="5"/>
        <v>11707283</v>
      </c>
    </row>
    <row r="178" spans="1:12">
      <c r="A178">
        <v>52</v>
      </c>
      <c r="B178">
        <v>46</v>
      </c>
      <c r="C178">
        <v>5</v>
      </c>
      <c r="D178" t="s">
        <v>2379</v>
      </c>
      <c r="E178" s="7">
        <v>11956.17</v>
      </c>
      <c r="F178" s="7">
        <v>6.53</v>
      </c>
      <c r="G178">
        <v>29</v>
      </c>
      <c r="H178" t="s">
        <v>188</v>
      </c>
      <c r="I178" t="s">
        <v>2377</v>
      </c>
      <c r="J178">
        <v>0</v>
      </c>
      <c r="K178" s="9">
        <f t="shared" si="4"/>
        <v>44287</v>
      </c>
      <c r="L178">
        <f t="shared" si="5"/>
        <v>1195617</v>
      </c>
    </row>
    <row r="179" spans="1:12">
      <c r="A179">
        <v>53</v>
      </c>
      <c r="B179">
        <v>578</v>
      </c>
      <c r="C179">
        <v>4</v>
      </c>
      <c r="D179" t="s">
        <v>2379</v>
      </c>
      <c r="E179" s="7">
        <v>12767.17</v>
      </c>
      <c r="F179" s="7">
        <v>17.18</v>
      </c>
      <c r="G179">
        <v>48</v>
      </c>
      <c r="H179" t="s">
        <v>13</v>
      </c>
      <c r="I179" t="s">
        <v>2377</v>
      </c>
      <c r="J179">
        <v>75</v>
      </c>
      <c r="K179" s="9">
        <f t="shared" si="4"/>
        <v>45586</v>
      </c>
      <c r="L179">
        <f t="shared" si="5"/>
        <v>1276717</v>
      </c>
    </row>
    <row r="180" spans="1:12">
      <c r="A180">
        <v>54</v>
      </c>
      <c r="B180">
        <v>250</v>
      </c>
      <c r="C180">
        <v>2</v>
      </c>
      <c r="D180" t="s">
        <v>2379</v>
      </c>
      <c r="E180" s="7">
        <v>14770.82</v>
      </c>
      <c r="F180" s="7">
        <v>21.52</v>
      </c>
      <c r="G180">
        <v>39</v>
      </c>
      <c r="H180" t="s">
        <v>155</v>
      </c>
      <c r="I180" t="s">
        <v>2377</v>
      </c>
      <c r="J180">
        <v>0</v>
      </c>
      <c r="K180" s="9">
        <f t="shared" si="4"/>
        <v>45165</v>
      </c>
      <c r="L180">
        <f t="shared" si="5"/>
        <v>1477082</v>
      </c>
    </row>
    <row r="181" spans="1:12">
      <c r="A181">
        <v>55</v>
      </c>
      <c r="B181">
        <v>834</v>
      </c>
      <c r="C181">
        <v>2</v>
      </c>
      <c r="D181" t="s">
        <v>2379</v>
      </c>
      <c r="E181" s="7">
        <v>3988.56</v>
      </c>
      <c r="F181" s="7">
        <v>6.62</v>
      </c>
      <c r="G181">
        <v>57</v>
      </c>
      <c r="H181" t="s">
        <v>2506</v>
      </c>
      <c r="I181" t="s">
        <v>2377</v>
      </c>
      <c r="J181">
        <v>0</v>
      </c>
      <c r="K181" s="9">
        <f t="shared" si="4"/>
        <v>44690</v>
      </c>
      <c r="L181">
        <f t="shared" si="5"/>
        <v>398856</v>
      </c>
    </row>
    <row r="182" spans="1:12">
      <c r="A182">
        <v>56</v>
      </c>
      <c r="B182">
        <v>377</v>
      </c>
      <c r="C182">
        <v>4</v>
      </c>
      <c r="D182" t="s">
        <v>2376</v>
      </c>
      <c r="E182" s="7">
        <v>140575.17</v>
      </c>
      <c r="F182" s="7">
        <v>14.56</v>
      </c>
      <c r="G182">
        <v>50</v>
      </c>
      <c r="H182" t="s">
        <v>2507</v>
      </c>
      <c r="I182" t="s">
        <v>2393</v>
      </c>
      <c r="J182">
        <v>286</v>
      </c>
      <c r="K182" s="9">
        <f t="shared" si="4"/>
        <v>45611</v>
      </c>
      <c r="L182">
        <f t="shared" si="5"/>
        <v>14057517</v>
      </c>
    </row>
    <row r="183" spans="1:12">
      <c r="A183">
        <v>57</v>
      </c>
      <c r="B183">
        <v>938</v>
      </c>
      <c r="C183">
        <v>7</v>
      </c>
      <c r="D183" t="s">
        <v>2390</v>
      </c>
      <c r="E183" s="7">
        <v>8791.01</v>
      </c>
      <c r="F183" s="7">
        <v>11.26</v>
      </c>
      <c r="G183">
        <v>78</v>
      </c>
      <c r="H183" t="s">
        <v>2508</v>
      </c>
      <c r="I183" t="s">
        <v>2383</v>
      </c>
      <c r="J183">
        <v>0</v>
      </c>
      <c r="K183" s="9">
        <f t="shared" si="4"/>
        <v>45668</v>
      </c>
      <c r="L183">
        <f t="shared" si="5"/>
        <v>879101</v>
      </c>
    </row>
    <row r="184" spans="1:12">
      <c r="A184">
        <v>58</v>
      </c>
      <c r="B184">
        <v>388</v>
      </c>
      <c r="C184">
        <v>2</v>
      </c>
      <c r="D184" t="s">
        <v>2387</v>
      </c>
      <c r="E184" s="7">
        <v>142529.34</v>
      </c>
      <c r="F184" s="7">
        <v>17.77</v>
      </c>
      <c r="G184">
        <v>324</v>
      </c>
      <c r="H184" t="s">
        <v>2456</v>
      </c>
      <c r="I184" t="s">
        <v>2377</v>
      </c>
      <c r="J184">
        <v>0</v>
      </c>
      <c r="K184" s="9">
        <f t="shared" si="4"/>
        <v>44505</v>
      </c>
      <c r="L184">
        <f t="shared" si="5"/>
        <v>14252934</v>
      </c>
    </row>
    <row r="185" spans="1:12">
      <c r="A185">
        <v>59</v>
      </c>
      <c r="B185">
        <v>529</v>
      </c>
      <c r="C185">
        <v>5</v>
      </c>
      <c r="D185" t="s">
        <v>2379</v>
      </c>
      <c r="E185" s="7">
        <v>10185.67</v>
      </c>
      <c r="F185" s="7">
        <v>10.49</v>
      </c>
      <c r="G185">
        <v>8</v>
      </c>
      <c r="H185" t="s">
        <v>984</v>
      </c>
      <c r="I185" t="s">
        <v>2377</v>
      </c>
      <c r="J185">
        <v>0</v>
      </c>
      <c r="K185" s="9">
        <f t="shared" si="4"/>
        <v>45441</v>
      </c>
      <c r="L185">
        <f t="shared" si="5"/>
        <v>1018567</v>
      </c>
    </row>
    <row r="186" spans="1:12">
      <c r="A186">
        <v>60</v>
      </c>
      <c r="B186">
        <v>1000</v>
      </c>
      <c r="C186">
        <v>4</v>
      </c>
      <c r="D186" t="s">
        <v>2379</v>
      </c>
      <c r="E186" s="7">
        <v>11048.12</v>
      </c>
      <c r="F186" s="7">
        <v>12.42</v>
      </c>
      <c r="G186">
        <v>9</v>
      </c>
      <c r="H186" t="s">
        <v>2509</v>
      </c>
      <c r="I186" t="s">
        <v>2377</v>
      </c>
      <c r="J186">
        <v>0</v>
      </c>
      <c r="K186" s="9">
        <f t="shared" si="4"/>
        <v>44105</v>
      </c>
      <c r="L186">
        <f t="shared" si="5"/>
        <v>1104812</v>
      </c>
    </row>
    <row r="187" spans="1:12">
      <c r="A187">
        <v>61</v>
      </c>
      <c r="B187">
        <v>188</v>
      </c>
      <c r="C187">
        <v>4</v>
      </c>
      <c r="D187" t="s">
        <v>2385</v>
      </c>
      <c r="E187" s="7">
        <v>579.32</v>
      </c>
      <c r="F187" s="7">
        <v>10.78</v>
      </c>
      <c r="G187">
        <v>21</v>
      </c>
      <c r="H187" t="s">
        <v>2510</v>
      </c>
      <c r="I187" t="s">
        <v>2393</v>
      </c>
      <c r="J187">
        <v>254</v>
      </c>
      <c r="K187" s="9">
        <f t="shared" si="4"/>
        <v>44995</v>
      </c>
      <c r="L187">
        <f t="shared" si="5"/>
        <v>57932</v>
      </c>
    </row>
    <row r="188" spans="1:12">
      <c r="A188">
        <v>62</v>
      </c>
      <c r="B188">
        <v>927</v>
      </c>
      <c r="C188">
        <v>6</v>
      </c>
      <c r="D188" t="s">
        <v>2390</v>
      </c>
      <c r="E188" s="7">
        <v>10142.32</v>
      </c>
      <c r="F188" s="7">
        <v>12.33</v>
      </c>
      <c r="G188">
        <v>66</v>
      </c>
      <c r="H188" t="s">
        <v>2511</v>
      </c>
      <c r="I188" t="s">
        <v>2393</v>
      </c>
      <c r="J188">
        <v>344</v>
      </c>
      <c r="K188" s="9">
        <f t="shared" si="4"/>
        <v>44721</v>
      </c>
      <c r="L188">
        <f t="shared" si="5"/>
        <v>1014232</v>
      </c>
    </row>
    <row r="189" spans="1:12">
      <c r="A189">
        <v>63</v>
      </c>
      <c r="B189">
        <v>856</v>
      </c>
      <c r="C189">
        <v>2</v>
      </c>
      <c r="D189" t="s">
        <v>2379</v>
      </c>
      <c r="E189" s="7">
        <v>14659.3</v>
      </c>
      <c r="F189" s="7">
        <v>11.19</v>
      </c>
      <c r="G189">
        <v>42</v>
      </c>
      <c r="H189" t="s">
        <v>2512</v>
      </c>
      <c r="I189" t="s">
        <v>2383</v>
      </c>
      <c r="J189">
        <v>0</v>
      </c>
      <c r="K189" s="9">
        <f t="shared" si="4"/>
        <v>44730</v>
      </c>
      <c r="L189">
        <f t="shared" si="5"/>
        <v>146593</v>
      </c>
    </row>
    <row r="190" spans="1:12">
      <c r="A190">
        <v>64</v>
      </c>
      <c r="B190">
        <v>716</v>
      </c>
      <c r="C190">
        <v>2</v>
      </c>
      <c r="D190" t="s">
        <v>2379</v>
      </c>
      <c r="E190" s="7">
        <v>14529.83</v>
      </c>
      <c r="F190" s="7">
        <v>10.85</v>
      </c>
      <c r="G190">
        <v>11</v>
      </c>
      <c r="H190" t="s">
        <v>1624</v>
      </c>
      <c r="I190" t="s">
        <v>2393</v>
      </c>
      <c r="J190">
        <v>170</v>
      </c>
      <c r="K190" s="9">
        <f t="shared" si="4"/>
        <v>44845</v>
      </c>
      <c r="L190">
        <f t="shared" si="5"/>
        <v>1452983</v>
      </c>
    </row>
    <row r="191" spans="1:12">
      <c r="A191">
        <v>65</v>
      </c>
      <c r="B191">
        <v>576</v>
      </c>
      <c r="C191">
        <v>5</v>
      </c>
      <c r="D191" t="s">
        <v>2385</v>
      </c>
      <c r="E191" s="7">
        <v>6439.51</v>
      </c>
      <c r="F191" s="7">
        <v>6.55</v>
      </c>
      <c r="G191">
        <v>17</v>
      </c>
      <c r="H191" t="s">
        <v>2513</v>
      </c>
      <c r="I191" t="s">
        <v>2393</v>
      </c>
      <c r="J191">
        <v>325</v>
      </c>
      <c r="K191" s="9">
        <f t="shared" si="4"/>
        <v>45670</v>
      </c>
      <c r="L191">
        <f t="shared" si="5"/>
        <v>643951</v>
      </c>
    </row>
    <row r="192" spans="1:12">
      <c r="A192">
        <v>66</v>
      </c>
      <c r="B192">
        <v>456</v>
      </c>
      <c r="C192">
        <v>3</v>
      </c>
      <c r="D192" t="s">
        <v>2376</v>
      </c>
      <c r="E192" s="7">
        <v>113998.69</v>
      </c>
      <c r="F192" s="7">
        <v>17.82</v>
      </c>
      <c r="G192">
        <v>93</v>
      </c>
      <c r="H192" t="s">
        <v>2514</v>
      </c>
      <c r="I192" t="s">
        <v>2377</v>
      </c>
      <c r="J192">
        <v>0</v>
      </c>
      <c r="K192" s="9">
        <f t="shared" si="4"/>
        <v>44324</v>
      </c>
      <c r="L192">
        <f t="shared" si="5"/>
        <v>11399869</v>
      </c>
    </row>
    <row r="193" spans="1:12">
      <c r="A193">
        <v>67</v>
      </c>
      <c r="B193">
        <v>856</v>
      </c>
      <c r="C193">
        <v>2</v>
      </c>
      <c r="D193" t="s">
        <v>2387</v>
      </c>
      <c r="E193" s="7">
        <v>154008.08</v>
      </c>
      <c r="F193" s="7">
        <v>18.62</v>
      </c>
      <c r="G193">
        <v>300</v>
      </c>
      <c r="H193" t="s">
        <v>2515</v>
      </c>
      <c r="I193" t="s">
        <v>2383</v>
      </c>
      <c r="J193">
        <v>0</v>
      </c>
      <c r="K193" s="9">
        <f t="shared" si="4"/>
        <v>45004</v>
      </c>
      <c r="L193">
        <f t="shared" si="5"/>
        <v>15400808</v>
      </c>
    </row>
    <row r="194" spans="1:12">
      <c r="A194">
        <v>68</v>
      </c>
      <c r="B194">
        <v>280</v>
      </c>
      <c r="C194">
        <v>6</v>
      </c>
      <c r="D194" t="s">
        <v>2376</v>
      </c>
      <c r="E194" s="7">
        <v>131860.43</v>
      </c>
      <c r="F194" s="7">
        <v>19.88</v>
      </c>
      <c r="G194">
        <v>23</v>
      </c>
      <c r="H194" t="s">
        <v>2516</v>
      </c>
      <c r="I194" t="s">
        <v>2377</v>
      </c>
      <c r="J194">
        <v>0</v>
      </c>
      <c r="K194" s="9">
        <f t="shared" si="4"/>
        <v>45527</v>
      </c>
      <c r="L194">
        <f t="shared" si="5"/>
        <v>13186043</v>
      </c>
    </row>
    <row r="195" spans="1:12">
      <c r="A195">
        <v>69</v>
      </c>
      <c r="B195">
        <v>175</v>
      </c>
      <c r="C195">
        <v>2</v>
      </c>
      <c r="D195" t="s">
        <v>2385</v>
      </c>
      <c r="E195" s="7">
        <v>9409.18</v>
      </c>
      <c r="F195" s="7">
        <v>18.61</v>
      </c>
      <c r="G195">
        <v>19</v>
      </c>
      <c r="H195" t="s">
        <v>2499</v>
      </c>
      <c r="I195" t="s">
        <v>2377</v>
      </c>
      <c r="J195">
        <v>0</v>
      </c>
      <c r="K195" s="9">
        <f t="shared" ref="K195:K258" si="6">DATEVALUE(LEFT(H195,10))</f>
        <v>44528</v>
      </c>
      <c r="L195">
        <f t="shared" ref="L195:L258" si="7">_xlfn.NUMBERVALUE(E195,".",",")</f>
        <v>940918</v>
      </c>
    </row>
    <row r="196" spans="1:12">
      <c r="A196">
        <v>70</v>
      </c>
      <c r="B196">
        <v>381</v>
      </c>
      <c r="C196">
        <v>5</v>
      </c>
      <c r="D196" t="s">
        <v>2379</v>
      </c>
      <c r="E196" s="7">
        <v>3665.93</v>
      </c>
      <c r="F196" s="7">
        <v>12.38</v>
      </c>
      <c r="G196">
        <v>45</v>
      </c>
      <c r="H196" t="s">
        <v>2517</v>
      </c>
      <c r="I196" t="s">
        <v>2393</v>
      </c>
      <c r="J196">
        <v>307</v>
      </c>
      <c r="K196" s="9">
        <f t="shared" si="6"/>
        <v>45056</v>
      </c>
      <c r="L196">
        <f t="shared" si="7"/>
        <v>366593</v>
      </c>
    </row>
    <row r="197" spans="1:12">
      <c r="A197">
        <v>71</v>
      </c>
      <c r="B197">
        <v>571</v>
      </c>
      <c r="C197">
        <v>2</v>
      </c>
      <c r="D197" t="s">
        <v>2376</v>
      </c>
      <c r="E197" s="7">
        <v>105774.5</v>
      </c>
      <c r="F197" s="7">
        <v>7.47</v>
      </c>
      <c r="G197">
        <v>103</v>
      </c>
      <c r="H197" t="s">
        <v>2415</v>
      </c>
      <c r="I197" t="s">
        <v>2383</v>
      </c>
      <c r="J197">
        <v>0</v>
      </c>
      <c r="K197" s="9">
        <f t="shared" si="6"/>
        <v>44011</v>
      </c>
      <c r="L197">
        <f t="shared" si="7"/>
        <v>1057745</v>
      </c>
    </row>
    <row r="198" spans="1:12">
      <c r="A198">
        <v>72</v>
      </c>
      <c r="B198">
        <v>574</v>
      </c>
      <c r="C198">
        <v>7</v>
      </c>
      <c r="D198" t="s">
        <v>2390</v>
      </c>
      <c r="E198" s="7">
        <v>35104.63</v>
      </c>
      <c r="F198" s="7">
        <v>9.42</v>
      </c>
      <c r="G198">
        <v>67</v>
      </c>
      <c r="H198" t="s">
        <v>2518</v>
      </c>
      <c r="I198" t="s">
        <v>2377</v>
      </c>
      <c r="J198">
        <v>0</v>
      </c>
      <c r="K198" s="9">
        <f t="shared" si="6"/>
        <v>45710</v>
      </c>
      <c r="L198">
        <f t="shared" si="7"/>
        <v>3510463</v>
      </c>
    </row>
    <row r="199" spans="1:12">
      <c r="A199">
        <v>73</v>
      </c>
      <c r="B199">
        <v>33</v>
      </c>
      <c r="C199">
        <v>4</v>
      </c>
      <c r="D199" t="s">
        <v>2390</v>
      </c>
      <c r="E199" s="7">
        <v>31319.17</v>
      </c>
      <c r="F199" s="7">
        <v>14.49</v>
      </c>
      <c r="G199">
        <v>34</v>
      </c>
      <c r="H199" t="s">
        <v>2519</v>
      </c>
      <c r="I199" t="s">
        <v>2377</v>
      </c>
      <c r="J199">
        <v>0</v>
      </c>
      <c r="K199" s="9">
        <f t="shared" si="6"/>
        <v>44034</v>
      </c>
      <c r="L199">
        <f t="shared" si="7"/>
        <v>3131917</v>
      </c>
    </row>
    <row r="200" spans="1:12">
      <c r="A200">
        <v>74</v>
      </c>
      <c r="B200">
        <v>281</v>
      </c>
      <c r="C200">
        <v>7</v>
      </c>
      <c r="D200" t="s">
        <v>2379</v>
      </c>
      <c r="E200" s="7">
        <v>5333.42</v>
      </c>
      <c r="F200" s="7">
        <v>8.2</v>
      </c>
      <c r="G200">
        <v>29</v>
      </c>
      <c r="H200" t="s">
        <v>2520</v>
      </c>
      <c r="I200" t="s">
        <v>2377</v>
      </c>
      <c r="J200">
        <v>0</v>
      </c>
      <c r="K200" s="9">
        <f t="shared" si="6"/>
        <v>44656</v>
      </c>
      <c r="L200">
        <f t="shared" si="7"/>
        <v>533342</v>
      </c>
    </row>
    <row r="201" spans="1:12">
      <c r="A201">
        <v>75</v>
      </c>
      <c r="B201">
        <v>850</v>
      </c>
      <c r="C201">
        <v>3</v>
      </c>
      <c r="D201" t="s">
        <v>2379</v>
      </c>
      <c r="E201" s="7">
        <v>8283.76</v>
      </c>
      <c r="F201" s="7">
        <v>5.35</v>
      </c>
      <c r="G201">
        <v>57</v>
      </c>
      <c r="H201" t="s">
        <v>2521</v>
      </c>
      <c r="I201" t="s">
        <v>2377</v>
      </c>
      <c r="J201">
        <v>0</v>
      </c>
      <c r="K201" s="9">
        <f t="shared" si="6"/>
        <v>45708</v>
      </c>
      <c r="L201">
        <f t="shared" si="7"/>
        <v>828376</v>
      </c>
    </row>
    <row r="202" spans="1:12">
      <c r="A202">
        <v>76</v>
      </c>
      <c r="B202">
        <v>528</v>
      </c>
      <c r="C202">
        <v>4</v>
      </c>
      <c r="D202" t="s">
        <v>2376</v>
      </c>
      <c r="E202" s="7">
        <v>107039.9</v>
      </c>
      <c r="F202" s="7">
        <v>17.52</v>
      </c>
      <c r="G202">
        <v>88</v>
      </c>
      <c r="H202" t="s">
        <v>2522</v>
      </c>
      <c r="I202" t="s">
        <v>2377</v>
      </c>
      <c r="J202">
        <v>0</v>
      </c>
      <c r="K202" s="9">
        <f t="shared" si="6"/>
        <v>45363</v>
      </c>
      <c r="L202">
        <f t="shared" si="7"/>
        <v>1070399</v>
      </c>
    </row>
    <row r="203" spans="1:12">
      <c r="A203">
        <v>77</v>
      </c>
      <c r="B203">
        <v>750</v>
      </c>
      <c r="C203">
        <v>2</v>
      </c>
      <c r="D203" t="s">
        <v>2390</v>
      </c>
      <c r="E203" s="7">
        <v>19684.69</v>
      </c>
      <c r="F203" s="7">
        <v>14.11</v>
      </c>
      <c r="G203">
        <v>41</v>
      </c>
      <c r="H203" t="s">
        <v>696</v>
      </c>
      <c r="I203" t="s">
        <v>2377</v>
      </c>
      <c r="J203">
        <v>7</v>
      </c>
      <c r="K203" s="9">
        <f t="shared" si="6"/>
        <v>44408</v>
      </c>
      <c r="L203">
        <f t="shared" si="7"/>
        <v>1968469</v>
      </c>
    </row>
    <row r="204" spans="1:12">
      <c r="A204">
        <v>78</v>
      </c>
      <c r="B204">
        <v>19</v>
      </c>
      <c r="C204">
        <v>2</v>
      </c>
      <c r="D204" t="s">
        <v>2387</v>
      </c>
      <c r="E204" s="7">
        <v>55970.53</v>
      </c>
      <c r="F204" s="7">
        <v>15.85</v>
      </c>
      <c r="G204">
        <v>253</v>
      </c>
      <c r="H204" t="s">
        <v>2523</v>
      </c>
      <c r="I204" t="s">
        <v>2377</v>
      </c>
      <c r="J204">
        <v>0</v>
      </c>
      <c r="K204" s="9">
        <f t="shared" si="6"/>
        <v>44838</v>
      </c>
      <c r="L204">
        <f t="shared" si="7"/>
        <v>5597053</v>
      </c>
    </row>
    <row r="205" spans="1:12">
      <c r="A205">
        <v>79</v>
      </c>
      <c r="B205">
        <v>368</v>
      </c>
      <c r="C205">
        <v>1</v>
      </c>
      <c r="D205" t="s">
        <v>2379</v>
      </c>
      <c r="E205" s="7">
        <v>4932.31</v>
      </c>
      <c r="F205" s="7">
        <v>17.43</v>
      </c>
      <c r="G205">
        <v>53</v>
      </c>
      <c r="H205" t="s">
        <v>2524</v>
      </c>
      <c r="I205" t="s">
        <v>2377</v>
      </c>
      <c r="J205">
        <v>36</v>
      </c>
      <c r="K205" s="9">
        <f t="shared" si="6"/>
        <v>44016</v>
      </c>
      <c r="L205">
        <f t="shared" si="7"/>
        <v>493231</v>
      </c>
    </row>
    <row r="206" spans="1:12">
      <c r="A206">
        <v>80</v>
      </c>
      <c r="B206">
        <v>887</v>
      </c>
      <c r="C206">
        <v>7</v>
      </c>
      <c r="D206" t="s">
        <v>2390</v>
      </c>
      <c r="E206" s="7">
        <v>35675.43</v>
      </c>
      <c r="F206" s="7">
        <v>7.95</v>
      </c>
      <c r="G206">
        <v>45</v>
      </c>
      <c r="H206" t="s">
        <v>2525</v>
      </c>
      <c r="I206" t="s">
        <v>2383</v>
      </c>
      <c r="J206">
        <v>0</v>
      </c>
      <c r="K206" s="9">
        <f t="shared" si="6"/>
        <v>43889</v>
      </c>
      <c r="L206">
        <f t="shared" si="7"/>
        <v>3567543</v>
      </c>
    </row>
    <row r="207" spans="1:12">
      <c r="A207">
        <v>81</v>
      </c>
      <c r="B207">
        <v>675</v>
      </c>
      <c r="C207">
        <v>5</v>
      </c>
      <c r="D207" t="s">
        <v>2376</v>
      </c>
      <c r="E207" s="7">
        <v>114097.28</v>
      </c>
      <c r="F207" s="7">
        <v>19.29</v>
      </c>
      <c r="G207">
        <v>87</v>
      </c>
      <c r="H207" t="s">
        <v>2526</v>
      </c>
      <c r="I207" t="s">
        <v>2393</v>
      </c>
      <c r="J207">
        <v>228</v>
      </c>
      <c r="K207" s="9">
        <f t="shared" si="6"/>
        <v>45352</v>
      </c>
      <c r="L207">
        <f t="shared" si="7"/>
        <v>11409728</v>
      </c>
    </row>
    <row r="208" spans="1:12">
      <c r="A208">
        <v>82</v>
      </c>
      <c r="B208">
        <v>607</v>
      </c>
      <c r="C208">
        <v>5</v>
      </c>
      <c r="D208" t="s">
        <v>2385</v>
      </c>
      <c r="E208" s="7">
        <v>5981.93</v>
      </c>
      <c r="F208" s="7">
        <v>18.89</v>
      </c>
      <c r="G208">
        <v>23</v>
      </c>
      <c r="H208" t="s">
        <v>2527</v>
      </c>
      <c r="I208" t="s">
        <v>2377</v>
      </c>
      <c r="J208">
        <v>32</v>
      </c>
      <c r="K208" s="9">
        <f t="shared" si="6"/>
        <v>44357</v>
      </c>
      <c r="L208">
        <f t="shared" si="7"/>
        <v>598193</v>
      </c>
    </row>
    <row r="209" spans="1:12">
      <c r="A209">
        <v>83</v>
      </c>
      <c r="B209">
        <v>993</v>
      </c>
      <c r="C209">
        <v>6</v>
      </c>
      <c r="D209" t="s">
        <v>2379</v>
      </c>
      <c r="E209" s="7">
        <v>7926.31</v>
      </c>
      <c r="F209" s="7">
        <v>11.89</v>
      </c>
      <c r="G209">
        <v>47</v>
      </c>
      <c r="H209" t="s">
        <v>1116</v>
      </c>
      <c r="I209" t="s">
        <v>2383</v>
      </c>
      <c r="J209">
        <v>0</v>
      </c>
      <c r="K209" s="9">
        <f t="shared" si="6"/>
        <v>45592</v>
      </c>
      <c r="L209">
        <f t="shared" si="7"/>
        <v>792631</v>
      </c>
    </row>
    <row r="210" spans="1:12">
      <c r="A210">
        <v>84</v>
      </c>
      <c r="B210">
        <v>252</v>
      </c>
      <c r="C210">
        <v>5</v>
      </c>
      <c r="D210" t="s">
        <v>2379</v>
      </c>
      <c r="E210" s="7">
        <v>6609.61</v>
      </c>
      <c r="F210" s="7">
        <v>12.92</v>
      </c>
      <c r="G210">
        <v>41</v>
      </c>
      <c r="H210" t="s">
        <v>2528</v>
      </c>
      <c r="I210" t="s">
        <v>2393</v>
      </c>
      <c r="J210">
        <v>280</v>
      </c>
      <c r="K210" s="9">
        <f t="shared" si="6"/>
        <v>44032</v>
      </c>
      <c r="L210">
        <f t="shared" si="7"/>
        <v>660961</v>
      </c>
    </row>
    <row r="211" spans="1:12">
      <c r="A211">
        <v>85</v>
      </c>
      <c r="B211">
        <v>805</v>
      </c>
      <c r="C211">
        <v>5</v>
      </c>
      <c r="D211" t="s">
        <v>2376</v>
      </c>
      <c r="E211" s="7">
        <v>53157.89</v>
      </c>
      <c r="F211" s="7">
        <v>9.41</v>
      </c>
      <c r="G211">
        <v>63</v>
      </c>
      <c r="H211" t="s">
        <v>2207</v>
      </c>
      <c r="I211" t="s">
        <v>2377</v>
      </c>
      <c r="J211">
        <v>0</v>
      </c>
      <c r="K211" s="9">
        <f t="shared" si="6"/>
        <v>44522</v>
      </c>
      <c r="L211">
        <f t="shared" si="7"/>
        <v>5315789</v>
      </c>
    </row>
    <row r="212" spans="1:12">
      <c r="A212">
        <v>86</v>
      </c>
      <c r="B212">
        <v>689</v>
      </c>
      <c r="C212">
        <v>4</v>
      </c>
      <c r="D212" t="s">
        <v>2385</v>
      </c>
      <c r="E212" s="7">
        <v>4722.03</v>
      </c>
      <c r="F212" s="7">
        <v>11.03</v>
      </c>
      <c r="G212">
        <v>22</v>
      </c>
      <c r="H212" t="s">
        <v>2529</v>
      </c>
      <c r="I212" t="s">
        <v>2377</v>
      </c>
      <c r="J212">
        <v>0</v>
      </c>
      <c r="K212" s="9">
        <f t="shared" si="6"/>
        <v>45690</v>
      </c>
      <c r="L212">
        <f t="shared" si="7"/>
        <v>472203</v>
      </c>
    </row>
    <row r="213" spans="1:12">
      <c r="A213">
        <v>87</v>
      </c>
      <c r="B213">
        <v>880</v>
      </c>
      <c r="C213">
        <v>3</v>
      </c>
      <c r="D213" t="s">
        <v>2385</v>
      </c>
      <c r="E213" s="7">
        <v>3916.14</v>
      </c>
      <c r="F213" s="7">
        <v>14.85</v>
      </c>
      <c r="G213">
        <v>10</v>
      </c>
      <c r="H213" t="s">
        <v>2121</v>
      </c>
      <c r="I213" t="s">
        <v>2377</v>
      </c>
      <c r="J213">
        <v>0</v>
      </c>
      <c r="K213" s="9">
        <f t="shared" si="6"/>
        <v>45651</v>
      </c>
      <c r="L213">
        <f t="shared" si="7"/>
        <v>391614</v>
      </c>
    </row>
    <row r="214" spans="1:12">
      <c r="A214">
        <v>88</v>
      </c>
      <c r="B214">
        <v>304</v>
      </c>
      <c r="C214">
        <v>1</v>
      </c>
      <c r="D214" t="s">
        <v>2387</v>
      </c>
      <c r="E214" s="7">
        <v>102199.06</v>
      </c>
      <c r="F214" s="7">
        <v>19.59</v>
      </c>
      <c r="G214">
        <v>193</v>
      </c>
      <c r="H214" t="s">
        <v>2255</v>
      </c>
      <c r="I214" t="s">
        <v>2377</v>
      </c>
      <c r="J214">
        <v>0</v>
      </c>
      <c r="K214" s="9">
        <f t="shared" si="6"/>
        <v>45575</v>
      </c>
      <c r="L214">
        <f t="shared" si="7"/>
        <v>10219906</v>
      </c>
    </row>
    <row r="215" spans="1:12">
      <c r="A215">
        <v>89</v>
      </c>
      <c r="B215">
        <v>762</v>
      </c>
      <c r="C215">
        <v>5</v>
      </c>
      <c r="D215" t="s">
        <v>2376</v>
      </c>
      <c r="E215" s="7">
        <v>26787.07</v>
      </c>
      <c r="F215" s="7">
        <v>15.31</v>
      </c>
      <c r="G215">
        <v>20</v>
      </c>
      <c r="H215" t="s">
        <v>2472</v>
      </c>
      <c r="I215" t="s">
        <v>2377</v>
      </c>
      <c r="J215">
        <v>75</v>
      </c>
      <c r="K215" s="9">
        <f t="shared" si="6"/>
        <v>45255</v>
      </c>
      <c r="L215">
        <f t="shared" si="7"/>
        <v>2678707</v>
      </c>
    </row>
    <row r="216" spans="1:12">
      <c r="A216">
        <v>90</v>
      </c>
      <c r="B216">
        <v>52</v>
      </c>
      <c r="C216">
        <v>4</v>
      </c>
      <c r="D216" t="s">
        <v>2387</v>
      </c>
      <c r="E216" s="7">
        <v>69733.69</v>
      </c>
      <c r="F216" s="7">
        <v>7.26</v>
      </c>
      <c r="G216">
        <v>199</v>
      </c>
      <c r="H216" t="s">
        <v>2288</v>
      </c>
      <c r="I216" t="s">
        <v>2377</v>
      </c>
      <c r="J216">
        <v>0</v>
      </c>
      <c r="K216" s="9">
        <f t="shared" si="6"/>
        <v>44896</v>
      </c>
      <c r="L216">
        <f t="shared" si="7"/>
        <v>6973369</v>
      </c>
    </row>
    <row r="217" spans="1:12">
      <c r="A217">
        <v>91</v>
      </c>
      <c r="B217">
        <v>761</v>
      </c>
      <c r="C217">
        <v>5</v>
      </c>
      <c r="D217" t="s">
        <v>2376</v>
      </c>
      <c r="E217" s="7">
        <v>25875.72</v>
      </c>
      <c r="F217" s="7">
        <v>15.14</v>
      </c>
      <c r="G217">
        <v>12</v>
      </c>
      <c r="H217" t="s">
        <v>1225</v>
      </c>
      <c r="I217" t="s">
        <v>2377</v>
      </c>
      <c r="J217">
        <v>0</v>
      </c>
      <c r="K217" s="9">
        <f t="shared" si="6"/>
        <v>45074</v>
      </c>
      <c r="L217">
        <f t="shared" si="7"/>
        <v>2587572</v>
      </c>
    </row>
    <row r="218" spans="1:12">
      <c r="A218">
        <v>92</v>
      </c>
      <c r="B218">
        <v>604</v>
      </c>
      <c r="C218">
        <v>3</v>
      </c>
      <c r="D218" t="s">
        <v>2376</v>
      </c>
      <c r="E218" s="7">
        <v>35314.08</v>
      </c>
      <c r="F218" s="7">
        <v>14.19</v>
      </c>
      <c r="G218">
        <v>35</v>
      </c>
      <c r="H218" t="s">
        <v>2530</v>
      </c>
      <c r="I218" t="s">
        <v>2377</v>
      </c>
      <c r="J218">
        <v>0</v>
      </c>
      <c r="K218" s="9">
        <f t="shared" si="6"/>
        <v>44604</v>
      </c>
      <c r="L218">
        <f t="shared" si="7"/>
        <v>3531408</v>
      </c>
    </row>
    <row r="219" spans="1:12">
      <c r="A219">
        <v>93</v>
      </c>
      <c r="B219">
        <v>497</v>
      </c>
      <c r="C219">
        <v>6</v>
      </c>
      <c r="D219" t="s">
        <v>2379</v>
      </c>
      <c r="E219" s="7">
        <v>14455.59</v>
      </c>
      <c r="F219" s="7">
        <v>11.06</v>
      </c>
      <c r="G219">
        <v>40</v>
      </c>
      <c r="H219" t="s">
        <v>2531</v>
      </c>
      <c r="I219" t="s">
        <v>2383</v>
      </c>
      <c r="J219">
        <v>0</v>
      </c>
      <c r="K219" s="9">
        <f t="shared" si="6"/>
        <v>45448</v>
      </c>
      <c r="L219">
        <f t="shared" si="7"/>
        <v>1445559</v>
      </c>
    </row>
    <row r="220" spans="1:12">
      <c r="A220">
        <v>94</v>
      </c>
      <c r="B220">
        <v>954</v>
      </c>
      <c r="C220">
        <v>5</v>
      </c>
      <c r="D220" t="s">
        <v>2390</v>
      </c>
      <c r="E220" s="7">
        <v>16655.1</v>
      </c>
      <c r="F220" s="7">
        <v>5.67</v>
      </c>
      <c r="G220">
        <v>78</v>
      </c>
      <c r="H220" t="s">
        <v>2532</v>
      </c>
      <c r="I220" t="s">
        <v>2377</v>
      </c>
      <c r="J220">
        <v>0</v>
      </c>
      <c r="K220" s="9">
        <f t="shared" si="6"/>
        <v>44191</v>
      </c>
      <c r="L220">
        <f t="shared" si="7"/>
        <v>166551</v>
      </c>
    </row>
    <row r="221" spans="1:12">
      <c r="A221">
        <v>95</v>
      </c>
      <c r="B221">
        <v>885</v>
      </c>
      <c r="C221">
        <v>3</v>
      </c>
      <c r="D221" t="s">
        <v>2387</v>
      </c>
      <c r="E221" s="7">
        <v>102733.64</v>
      </c>
      <c r="F221" s="7">
        <v>12.92</v>
      </c>
      <c r="G221">
        <v>327</v>
      </c>
      <c r="H221" t="s">
        <v>2533</v>
      </c>
      <c r="I221" t="s">
        <v>2377</v>
      </c>
      <c r="J221">
        <v>0</v>
      </c>
      <c r="K221" s="9">
        <f t="shared" si="6"/>
        <v>45470</v>
      </c>
      <c r="L221">
        <f t="shared" si="7"/>
        <v>10273364</v>
      </c>
    </row>
    <row r="222" spans="1:12">
      <c r="A222">
        <v>96</v>
      </c>
      <c r="B222">
        <v>436</v>
      </c>
      <c r="C222">
        <v>2</v>
      </c>
      <c r="D222" t="s">
        <v>2376</v>
      </c>
      <c r="E222" s="7">
        <v>45299.68</v>
      </c>
      <c r="F222" s="7">
        <v>9.25</v>
      </c>
      <c r="G222">
        <v>100</v>
      </c>
      <c r="H222" t="s">
        <v>539</v>
      </c>
      <c r="I222" t="s">
        <v>2377</v>
      </c>
      <c r="J222">
        <v>0</v>
      </c>
      <c r="K222" s="9">
        <f t="shared" si="6"/>
        <v>44807</v>
      </c>
      <c r="L222">
        <f t="shared" si="7"/>
        <v>4529968</v>
      </c>
    </row>
    <row r="223" spans="1:12">
      <c r="A223">
        <v>97</v>
      </c>
      <c r="B223">
        <v>549</v>
      </c>
      <c r="C223">
        <v>4</v>
      </c>
      <c r="D223" t="s">
        <v>2379</v>
      </c>
      <c r="E223" s="7">
        <v>2297.4</v>
      </c>
      <c r="F223" s="7">
        <v>13.32</v>
      </c>
      <c r="G223">
        <v>58</v>
      </c>
      <c r="H223" t="s">
        <v>2534</v>
      </c>
      <c r="I223" t="s">
        <v>2383</v>
      </c>
      <c r="J223">
        <v>0</v>
      </c>
      <c r="K223" s="9">
        <f t="shared" si="6"/>
        <v>44506</v>
      </c>
      <c r="L223">
        <f t="shared" si="7"/>
        <v>22974</v>
      </c>
    </row>
    <row r="224" spans="1:12">
      <c r="A224">
        <v>98</v>
      </c>
      <c r="B224">
        <v>442</v>
      </c>
      <c r="C224">
        <v>3</v>
      </c>
      <c r="D224" t="s">
        <v>2387</v>
      </c>
      <c r="E224" s="7">
        <v>58804.08</v>
      </c>
      <c r="F224" s="7">
        <v>5.8</v>
      </c>
      <c r="G224">
        <v>349</v>
      </c>
      <c r="H224" t="s">
        <v>2434</v>
      </c>
      <c r="I224" t="s">
        <v>2377</v>
      </c>
      <c r="J224">
        <v>0</v>
      </c>
      <c r="K224" s="9">
        <f t="shared" si="6"/>
        <v>45389</v>
      </c>
      <c r="L224">
        <f t="shared" si="7"/>
        <v>5880408</v>
      </c>
    </row>
    <row r="225" spans="1:12">
      <c r="A225">
        <v>99</v>
      </c>
      <c r="B225">
        <v>773</v>
      </c>
      <c r="C225">
        <v>7</v>
      </c>
      <c r="D225" t="s">
        <v>2376</v>
      </c>
      <c r="E225" s="7">
        <v>37777.63</v>
      </c>
      <c r="F225" s="7">
        <v>16.55</v>
      </c>
      <c r="G225">
        <v>118</v>
      </c>
      <c r="H225" t="s">
        <v>2535</v>
      </c>
      <c r="I225" t="s">
        <v>2393</v>
      </c>
      <c r="J225">
        <v>117</v>
      </c>
      <c r="K225" s="9">
        <f t="shared" si="6"/>
        <v>44548</v>
      </c>
      <c r="L225">
        <f t="shared" si="7"/>
        <v>3777763</v>
      </c>
    </row>
    <row r="226" spans="1:12">
      <c r="A226">
        <v>100</v>
      </c>
      <c r="B226">
        <v>126</v>
      </c>
      <c r="C226">
        <v>6</v>
      </c>
      <c r="D226" t="s">
        <v>2390</v>
      </c>
      <c r="E226" s="7">
        <v>34239.05</v>
      </c>
      <c r="F226" s="7">
        <v>20.06</v>
      </c>
      <c r="G226">
        <v>70</v>
      </c>
      <c r="H226" t="s">
        <v>2536</v>
      </c>
      <c r="I226" t="s">
        <v>2377</v>
      </c>
      <c r="J226">
        <v>0</v>
      </c>
      <c r="K226" s="9">
        <f t="shared" si="6"/>
        <v>45523</v>
      </c>
      <c r="L226">
        <f t="shared" si="7"/>
        <v>3423905</v>
      </c>
    </row>
    <row r="227" spans="1:12">
      <c r="A227">
        <v>101</v>
      </c>
      <c r="B227">
        <v>503</v>
      </c>
      <c r="C227">
        <v>5</v>
      </c>
      <c r="D227" t="s">
        <v>2387</v>
      </c>
      <c r="E227" s="7">
        <v>104471.53</v>
      </c>
      <c r="F227" s="7">
        <v>13.99</v>
      </c>
      <c r="G227">
        <v>331</v>
      </c>
      <c r="H227" t="s">
        <v>1668</v>
      </c>
      <c r="I227" t="s">
        <v>2393</v>
      </c>
      <c r="J227">
        <v>154</v>
      </c>
      <c r="K227" s="9">
        <f t="shared" si="6"/>
        <v>44867</v>
      </c>
      <c r="L227">
        <f t="shared" si="7"/>
        <v>10447153</v>
      </c>
    </row>
    <row r="228" spans="1:12">
      <c r="A228">
        <v>102</v>
      </c>
      <c r="B228">
        <v>48</v>
      </c>
      <c r="C228">
        <v>5</v>
      </c>
      <c r="D228" t="s">
        <v>2387</v>
      </c>
      <c r="E228" s="7">
        <v>96205.98</v>
      </c>
      <c r="F228" s="7">
        <v>9.11</v>
      </c>
      <c r="G228">
        <v>338</v>
      </c>
      <c r="H228" t="s">
        <v>590</v>
      </c>
      <c r="I228" t="s">
        <v>2377</v>
      </c>
      <c r="J228">
        <v>0</v>
      </c>
      <c r="K228" s="9">
        <f t="shared" si="6"/>
        <v>44821</v>
      </c>
      <c r="L228">
        <f t="shared" si="7"/>
        <v>9620598</v>
      </c>
    </row>
    <row r="229" spans="1:12">
      <c r="A229">
        <v>103</v>
      </c>
      <c r="B229">
        <v>175</v>
      </c>
      <c r="C229">
        <v>2</v>
      </c>
      <c r="D229" t="s">
        <v>2385</v>
      </c>
      <c r="E229" s="7">
        <v>2189.23</v>
      </c>
      <c r="F229" s="7">
        <v>15.32</v>
      </c>
      <c r="G229">
        <v>21</v>
      </c>
      <c r="H229" t="s">
        <v>243</v>
      </c>
      <c r="I229" t="s">
        <v>2377</v>
      </c>
      <c r="J229">
        <v>0</v>
      </c>
      <c r="K229" s="9">
        <f t="shared" si="6"/>
        <v>44614</v>
      </c>
      <c r="L229">
        <f t="shared" si="7"/>
        <v>218923</v>
      </c>
    </row>
    <row r="230" spans="1:12">
      <c r="A230">
        <v>104</v>
      </c>
      <c r="B230">
        <v>883</v>
      </c>
      <c r="C230">
        <v>2</v>
      </c>
      <c r="D230" t="s">
        <v>2379</v>
      </c>
      <c r="E230" s="7">
        <v>13239.84</v>
      </c>
      <c r="F230" s="7">
        <v>10.65</v>
      </c>
      <c r="G230">
        <v>52</v>
      </c>
      <c r="H230" t="s">
        <v>1807</v>
      </c>
      <c r="I230" t="s">
        <v>2377</v>
      </c>
      <c r="J230">
        <v>0</v>
      </c>
      <c r="K230" s="9">
        <f t="shared" si="6"/>
        <v>45115</v>
      </c>
      <c r="L230">
        <f t="shared" si="7"/>
        <v>1323984</v>
      </c>
    </row>
    <row r="231" spans="1:12">
      <c r="A231">
        <v>105</v>
      </c>
      <c r="B231">
        <v>235</v>
      </c>
      <c r="C231">
        <v>2</v>
      </c>
      <c r="D231" t="s">
        <v>2390</v>
      </c>
      <c r="E231" s="7">
        <v>34742.13</v>
      </c>
      <c r="F231" s="7">
        <v>9.97</v>
      </c>
      <c r="G231">
        <v>58</v>
      </c>
      <c r="H231" t="s">
        <v>1592</v>
      </c>
      <c r="I231" t="s">
        <v>2377</v>
      </c>
      <c r="J231">
        <v>0</v>
      </c>
      <c r="K231" s="9">
        <f t="shared" si="6"/>
        <v>45026</v>
      </c>
      <c r="L231">
        <f t="shared" si="7"/>
        <v>3474213</v>
      </c>
    </row>
    <row r="232" spans="1:12">
      <c r="A232">
        <v>106</v>
      </c>
      <c r="B232">
        <v>935</v>
      </c>
      <c r="C232">
        <v>1</v>
      </c>
      <c r="D232" t="s">
        <v>2390</v>
      </c>
      <c r="E232" s="7">
        <v>36652.31</v>
      </c>
      <c r="F232" s="7">
        <v>19.46</v>
      </c>
      <c r="G232">
        <v>79</v>
      </c>
      <c r="H232" t="s">
        <v>2537</v>
      </c>
      <c r="I232" t="s">
        <v>2377</v>
      </c>
      <c r="J232">
        <v>0</v>
      </c>
      <c r="K232" s="9">
        <f t="shared" si="6"/>
        <v>44478</v>
      </c>
      <c r="L232">
        <f t="shared" si="7"/>
        <v>3665231</v>
      </c>
    </row>
    <row r="233" spans="1:12">
      <c r="A233">
        <v>107</v>
      </c>
      <c r="B233">
        <v>309</v>
      </c>
      <c r="C233">
        <v>3</v>
      </c>
      <c r="D233" t="s">
        <v>2385</v>
      </c>
      <c r="E233" s="7">
        <v>3175.68</v>
      </c>
      <c r="F233" s="7">
        <v>8.97</v>
      </c>
      <c r="G233">
        <v>20</v>
      </c>
      <c r="H233" t="s">
        <v>1605</v>
      </c>
      <c r="I233" t="s">
        <v>2393</v>
      </c>
      <c r="J233">
        <v>195</v>
      </c>
      <c r="K233" s="9">
        <f t="shared" si="6"/>
        <v>45639</v>
      </c>
      <c r="L233">
        <f t="shared" si="7"/>
        <v>317568</v>
      </c>
    </row>
    <row r="234" spans="1:12">
      <c r="A234">
        <v>108</v>
      </c>
      <c r="B234">
        <v>561</v>
      </c>
      <c r="C234">
        <v>1</v>
      </c>
      <c r="D234" t="s">
        <v>2390</v>
      </c>
      <c r="E234" s="7">
        <v>31459.97</v>
      </c>
      <c r="F234" s="7">
        <v>7.65</v>
      </c>
      <c r="G234">
        <v>75</v>
      </c>
      <c r="H234" t="s">
        <v>1440</v>
      </c>
      <c r="I234" t="s">
        <v>2377</v>
      </c>
      <c r="J234">
        <v>0</v>
      </c>
      <c r="K234" s="9">
        <f t="shared" si="6"/>
        <v>43931</v>
      </c>
      <c r="L234">
        <f t="shared" si="7"/>
        <v>3145997</v>
      </c>
    </row>
    <row r="235" spans="1:12">
      <c r="A235">
        <v>109</v>
      </c>
      <c r="B235">
        <v>617</v>
      </c>
      <c r="C235">
        <v>4</v>
      </c>
      <c r="D235" t="s">
        <v>2387</v>
      </c>
      <c r="E235" s="7">
        <v>123212.38</v>
      </c>
      <c r="F235" s="7">
        <v>6.51</v>
      </c>
      <c r="G235">
        <v>248</v>
      </c>
      <c r="H235" t="s">
        <v>569</v>
      </c>
      <c r="I235" t="s">
        <v>2377</v>
      </c>
      <c r="J235">
        <v>37</v>
      </c>
      <c r="K235" s="9">
        <f t="shared" si="6"/>
        <v>44936</v>
      </c>
      <c r="L235">
        <f t="shared" si="7"/>
        <v>12321238</v>
      </c>
    </row>
    <row r="236" spans="1:12">
      <c r="A236">
        <v>110</v>
      </c>
      <c r="B236">
        <v>74</v>
      </c>
      <c r="C236">
        <v>4</v>
      </c>
      <c r="D236" t="s">
        <v>2390</v>
      </c>
      <c r="E236" s="7">
        <v>22661.6</v>
      </c>
      <c r="F236" s="7">
        <v>7.04</v>
      </c>
      <c r="G236">
        <v>66</v>
      </c>
      <c r="H236" t="s">
        <v>2538</v>
      </c>
      <c r="I236" t="s">
        <v>2377</v>
      </c>
      <c r="J236">
        <v>0</v>
      </c>
      <c r="K236" s="9">
        <f t="shared" si="6"/>
        <v>45769</v>
      </c>
      <c r="L236">
        <f t="shared" si="7"/>
        <v>226616</v>
      </c>
    </row>
    <row r="237" spans="1:12">
      <c r="A237">
        <v>111</v>
      </c>
      <c r="B237">
        <v>156</v>
      </c>
      <c r="C237">
        <v>6</v>
      </c>
      <c r="D237" t="s">
        <v>2390</v>
      </c>
      <c r="E237" s="7">
        <v>26116.38</v>
      </c>
      <c r="F237" s="7">
        <v>6.16</v>
      </c>
      <c r="G237">
        <v>56</v>
      </c>
      <c r="H237" t="s">
        <v>2134</v>
      </c>
      <c r="I237" t="s">
        <v>2383</v>
      </c>
      <c r="J237">
        <v>0</v>
      </c>
      <c r="K237" s="9">
        <f t="shared" si="6"/>
        <v>44491</v>
      </c>
      <c r="L237">
        <f t="shared" si="7"/>
        <v>2611638</v>
      </c>
    </row>
    <row r="238" spans="1:12">
      <c r="A238">
        <v>112</v>
      </c>
      <c r="B238">
        <v>660</v>
      </c>
      <c r="C238">
        <v>7</v>
      </c>
      <c r="D238" t="s">
        <v>2379</v>
      </c>
      <c r="E238" s="7">
        <v>7126.61</v>
      </c>
      <c r="F238" s="7">
        <v>15.98</v>
      </c>
      <c r="G238">
        <v>30</v>
      </c>
      <c r="H238" t="s">
        <v>428</v>
      </c>
      <c r="I238" t="s">
        <v>2377</v>
      </c>
      <c r="J238">
        <v>0</v>
      </c>
      <c r="K238" s="9">
        <f t="shared" si="6"/>
        <v>44451</v>
      </c>
      <c r="L238">
        <f t="shared" si="7"/>
        <v>712661</v>
      </c>
    </row>
    <row r="239" spans="1:12">
      <c r="A239">
        <v>113</v>
      </c>
      <c r="B239">
        <v>589</v>
      </c>
      <c r="C239">
        <v>1</v>
      </c>
      <c r="D239" t="s">
        <v>2390</v>
      </c>
      <c r="E239" s="7">
        <v>22591.65</v>
      </c>
      <c r="F239" s="7">
        <v>19.85</v>
      </c>
      <c r="G239">
        <v>80</v>
      </c>
      <c r="H239" t="s">
        <v>34</v>
      </c>
      <c r="I239" t="s">
        <v>2377</v>
      </c>
      <c r="J239">
        <v>0</v>
      </c>
      <c r="K239" s="9">
        <f t="shared" si="6"/>
        <v>45369</v>
      </c>
      <c r="L239">
        <f t="shared" si="7"/>
        <v>2259165</v>
      </c>
    </row>
    <row r="240" spans="1:12">
      <c r="A240">
        <v>114</v>
      </c>
      <c r="B240">
        <v>71</v>
      </c>
      <c r="C240">
        <v>3</v>
      </c>
      <c r="D240" t="s">
        <v>2376</v>
      </c>
      <c r="E240" s="7">
        <v>143693.34</v>
      </c>
      <c r="F240" s="7">
        <v>5.36</v>
      </c>
      <c r="G240">
        <v>114</v>
      </c>
      <c r="H240" t="s">
        <v>2539</v>
      </c>
      <c r="I240" t="s">
        <v>2377</v>
      </c>
      <c r="J240">
        <v>35</v>
      </c>
      <c r="K240" s="9">
        <f t="shared" si="6"/>
        <v>45641</v>
      </c>
      <c r="L240">
        <f t="shared" si="7"/>
        <v>14369334</v>
      </c>
    </row>
    <row r="241" spans="1:12">
      <c r="A241">
        <v>115</v>
      </c>
      <c r="B241">
        <v>81</v>
      </c>
      <c r="C241">
        <v>4</v>
      </c>
      <c r="D241" t="s">
        <v>2390</v>
      </c>
      <c r="E241" s="7">
        <v>30299.47</v>
      </c>
      <c r="F241" s="7">
        <v>13.6</v>
      </c>
      <c r="G241">
        <v>31</v>
      </c>
      <c r="H241" t="s">
        <v>1449</v>
      </c>
      <c r="I241" t="s">
        <v>2377</v>
      </c>
      <c r="J241">
        <v>0</v>
      </c>
      <c r="K241" s="9">
        <f t="shared" si="6"/>
        <v>43986</v>
      </c>
      <c r="L241">
        <f t="shared" si="7"/>
        <v>3029947</v>
      </c>
    </row>
    <row r="242" spans="1:12">
      <c r="A242">
        <v>116</v>
      </c>
      <c r="B242">
        <v>926</v>
      </c>
      <c r="C242">
        <v>1</v>
      </c>
      <c r="D242" t="s">
        <v>2385</v>
      </c>
      <c r="E242" s="7">
        <v>7479.1</v>
      </c>
      <c r="F242" s="7">
        <v>10.9</v>
      </c>
      <c r="G242">
        <v>31</v>
      </c>
      <c r="H242" t="s">
        <v>2540</v>
      </c>
      <c r="I242" t="s">
        <v>2377</v>
      </c>
      <c r="J242">
        <v>0</v>
      </c>
      <c r="K242" s="9">
        <f t="shared" si="6"/>
        <v>45155</v>
      </c>
      <c r="L242">
        <f t="shared" si="7"/>
        <v>74791</v>
      </c>
    </row>
    <row r="243" spans="1:12">
      <c r="A243">
        <v>117</v>
      </c>
      <c r="B243">
        <v>878</v>
      </c>
      <c r="C243">
        <v>7</v>
      </c>
      <c r="D243" t="s">
        <v>2390</v>
      </c>
      <c r="E243" s="7">
        <v>26761.9</v>
      </c>
      <c r="F243" s="7">
        <v>11.35</v>
      </c>
      <c r="G243">
        <v>77</v>
      </c>
      <c r="H243" t="s">
        <v>2541</v>
      </c>
      <c r="I243" t="s">
        <v>2377</v>
      </c>
      <c r="J243">
        <v>0</v>
      </c>
      <c r="K243" s="9">
        <f t="shared" si="6"/>
        <v>45673</v>
      </c>
      <c r="L243">
        <f t="shared" si="7"/>
        <v>267619</v>
      </c>
    </row>
    <row r="244" spans="1:12">
      <c r="A244">
        <v>118</v>
      </c>
      <c r="B244">
        <v>299</v>
      </c>
      <c r="C244">
        <v>7</v>
      </c>
      <c r="D244" t="s">
        <v>2379</v>
      </c>
      <c r="E244" s="7">
        <v>8866.13</v>
      </c>
      <c r="F244" s="7">
        <v>20.38</v>
      </c>
      <c r="G244">
        <v>58</v>
      </c>
      <c r="H244" t="s">
        <v>1671</v>
      </c>
      <c r="I244" t="s">
        <v>2377</v>
      </c>
      <c r="J244">
        <v>0</v>
      </c>
      <c r="K244" s="9">
        <f t="shared" si="6"/>
        <v>45519</v>
      </c>
      <c r="L244">
        <f t="shared" si="7"/>
        <v>886613</v>
      </c>
    </row>
    <row r="245" spans="1:12">
      <c r="A245">
        <v>119</v>
      </c>
      <c r="B245">
        <v>866</v>
      </c>
      <c r="C245">
        <v>5</v>
      </c>
      <c r="D245" t="s">
        <v>2387</v>
      </c>
      <c r="E245" s="7">
        <v>164653.92</v>
      </c>
      <c r="F245" s="7">
        <v>8.08</v>
      </c>
      <c r="G245">
        <v>315</v>
      </c>
      <c r="H245" t="s">
        <v>2542</v>
      </c>
      <c r="I245" t="s">
        <v>2377</v>
      </c>
      <c r="J245">
        <v>0</v>
      </c>
      <c r="K245" s="9">
        <f t="shared" si="6"/>
        <v>45491</v>
      </c>
      <c r="L245">
        <f t="shared" si="7"/>
        <v>16465392</v>
      </c>
    </row>
    <row r="246" spans="1:12">
      <c r="A246">
        <v>120</v>
      </c>
      <c r="B246">
        <v>440</v>
      </c>
      <c r="C246">
        <v>4</v>
      </c>
      <c r="D246" t="s">
        <v>2379</v>
      </c>
      <c r="E246" s="7">
        <v>11265.89</v>
      </c>
      <c r="F246" s="7">
        <v>6.15</v>
      </c>
      <c r="G246">
        <v>12</v>
      </c>
      <c r="H246" t="s">
        <v>1237</v>
      </c>
      <c r="I246" t="s">
        <v>2377</v>
      </c>
      <c r="J246">
        <v>0</v>
      </c>
      <c r="K246" s="9">
        <f t="shared" si="6"/>
        <v>45305</v>
      </c>
      <c r="L246">
        <f t="shared" si="7"/>
        <v>1126589</v>
      </c>
    </row>
    <row r="247" spans="1:12">
      <c r="A247">
        <v>121</v>
      </c>
      <c r="B247">
        <v>350</v>
      </c>
      <c r="C247">
        <v>5</v>
      </c>
      <c r="D247" t="s">
        <v>2379</v>
      </c>
      <c r="E247" s="7">
        <v>13708.09</v>
      </c>
      <c r="F247" s="7">
        <v>13.39</v>
      </c>
      <c r="G247">
        <v>20</v>
      </c>
      <c r="H247" t="s">
        <v>2543</v>
      </c>
      <c r="I247" t="s">
        <v>2377</v>
      </c>
      <c r="J247">
        <v>0</v>
      </c>
      <c r="K247" s="9">
        <f t="shared" si="6"/>
        <v>45043</v>
      </c>
      <c r="L247">
        <f t="shared" si="7"/>
        <v>1370809</v>
      </c>
    </row>
    <row r="248" spans="1:12">
      <c r="A248">
        <v>122</v>
      </c>
      <c r="B248">
        <v>941</v>
      </c>
      <c r="C248">
        <v>7</v>
      </c>
      <c r="D248" t="s">
        <v>2390</v>
      </c>
      <c r="E248" s="7">
        <v>10852.24</v>
      </c>
      <c r="F248" s="7">
        <v>20.62</v>
      </c>
      <c r="G248">
        <v>48</v>
      </c>
      <c r="H248" t="s">
        <v>2231</v>
      </c>
      <c r="I248" t="s">
        <v>2377</v>
      </c>
      <c r="J248">
        <v>0</v>
      </c>
      <c r="K248" s="9">
        <f t="shared" si="6"/>
        <v>44490</v>
      </c>
      <c r="L248">
        <f t="shared" si="7"/>
        <v>1085224</v>
      </c>
    </row>
    <row r="249" spans="1:12">
      <c r="A249">
        <v>123</v>
      </c>
      <c r="B249">
        <v>129</v>
      </c>
      <c r="C249">
        <v>4</v>
      </c>
      <c r="D249" t="s">
        <v>2379</v>
      </c>
      <c r="E249" s="7">
        <v>10456.29</v>
      </c>
      <c r="F249" s="7">
        <v>13.27</v>
      </c>
      <c r="G249">
        <v>34</v>
      </c>
      <c r="H249" t="s">
        <v>2504</v>
      </c>
      <c r="I249" t="s">
        <v>2383</v>
      </c>
      <c r="J249">
        <v>0</v>
      </c>
      <c r="K249" s="9">
        <f t="shared" si="6"/>
        <v>44450</v>
      </c>
      <c r="L249">
        <f t="shared" si="7"/>
        <v>1045629</v>
      </c>
    </row>
    <row r="250" spans="1:12">
      <c r="A250">
        <v>124</v>
      </c>
      <c r="B250">
        <v>317</v>
      </c>
      <c r="C250">
        <v>1</v>
      </c>
      <c r="D250" t="s">
        <v>2387</v>
      </c>
      <c r="E250" s="7">
        <v>97938.13</v>
      </c>
      <c r="F250" s="7">
        <v>12.51</v>
      </c>
      <c r="G250">
        <v>120</v>
      </c>
      <c r="H250" t="s">
        <v>2544</v>
      </c>
      <c r="I250" t="s">
        <v>2377</v>
      </c>
      <c r="J250">
        <v>0</v>
      </c>
      <c r="K250" s="9">
        <f t="shared" si="6"/>
        <v>45140</v>
      </c>
      <c r="L250">
        <f t="shared" si="7"/>
        <v>9793813</v>
      </c>
    </row>
    <row r="251" spans="1:12">
      <c r="A251">
        <v>125</v>
      </c>
      <c r="B251">
        <v>649</v>
      </c>
      <c r="C251">
        <v>6</v>
      </c>
      <c r="D251" t="s">
        <v>2387</v>
      </c>
      <c r="E251" s="7">
        <v>120438.05</v>
      </c>
      <c r="F251" s="7">
        <v>11.78</v>
      </c>
      <c r="G251">
        <v>179</v>
      </c>
      <c r="H251" t="s">
        <v>2163</v>
      </c>
      <c r="I251" t="s">
        <v>2377</v>
      </c>
      <c r="J251">
        <v>71</v>
      </c>
      <c r="K251" s="9">
        <f t="shared" si="6"/>
        <v>44724</v>
      </c>
      <c r="L251">
        <f t="shared" si="7"/>
        <v>12043805</v>
      </c>
    </row>
    <row r="252" spans="1:12">
      <c r="A252">
        <v>126</v>
      </c>
      <c r="B252">
        <v>405</v>
      </c>
      <c r="C252">
        <v>4</v>
      </c>
      <c r="D252" t="s">
        <v>2385</v>
      </c>
      <c r="E252" s="7">
        <v>2652.11</v>
      </c>
      <c r="F252" s="7">
        <v>7.64</v>
      </c>
      <c r="G252">
        <v>8</v>
      </c>
      <c r="H252" t="s">
        <v>2545</v>
      </c>
      <c r="I252" t="s">
        <v>2377</v>
      </c>
      <c r="J252">
        <v>0</v>
      </c>
      <c r="K252" s="9">
        <f t="shared" si="6"/>
        <v>45161</v>
      </c>
      <c r="L252">
        <f t="shared" si="7"/>
        <v>265211</v>
      </c>
    </row>
    <row r="253" spans="1:12">
      <c r="A253">
        <v>127</v>
      </c>
      <c r="B253">
        <v>174</v>
      </c>
      <c r="C253">
        <v>5</v>
      </c>
      <c r="D253" t="s">
        <v>2390</v>
      </c>
      <c r="E253" s="7">
        <v>28534.03</v>
      </c>
      <c r="F253" s="7">
        <v>5.73</v>
      </c>
      <c r="G253">
        <v>57</v>
      </c>
      <c r="H253" t="s">
        <v>1506</v>
      </c>
      <c r="I253" t="s">
        <v>2383</v>
      </c>
      <c r="J253">
        <v>0</v>
      </c>
      <c r="K253" s="9">
        <f t="shared" si="6"/>
        <v>44420</v>
      </c>
      <c r="L253">
        <f t="shared" si="7"/>
        <v>2853403</v>
      </c>
    </row>
    <row r="254" spans="1:12">
      <c r="A254">
        <v>128</v>
      </c>
      <c r="B254">
        <v>422</v>
      </c>
      <c r="C254">
        <v>1</v>
      </c>
      <c r="D254" t="s">
        <v>2385</v>
      </c>
      <c r="E254" s="7">
        <v>9125.07</v>
      </c>
      <c r="F254" s="7">
        <v>7.49</v>
      </c>
      <c r="G254">
        <v>27</v>
      </c>
      <c r="H254" t="s">
        <v>1381</v>
      </c>
      <c r="I254" t="s">
        <v>2377</v>
      </c>
      <c r="J254">
        <v>87</v>
      </c>
      <c r="K254" s="9">
        <f t="shared" si="6"/>
        <v>45213</v>
      </c>
      <c r="L254">
        <f t="shared" si="7"/>
        <v>912507</v>
      </c>
    </row>
    <row r="255" spans="1:12">
      <c r="A255">
        <v>129</v>
      </c>
      <c r="B255">
        <v>729</v>
      </c>
      <c r="C255">
        <v>2</v>
      </c>
      <c r="D255" t="s">
        <v>2390</v>
      </c>
      <c r="E255" s="7">
        <v>33914.13</v>
      </c>
      <c r="F255" s="7">
        <v>15.77</v>
      </c>
      <c r="G255">
        <v>45</v>
      </c>
      <c r="H255" t="s">
        <v>2546</v>
      </c>
      <c r="I255" t="s">
        <v>2377</v>
      </c>
      <c r="J255">
        <v>0</v>
      </c>
      <c r="K255" s="9">
        <f t="shared" si="6"/>
        <v>44613</v>
      </c>
      <c r="L255">
        <f t="shared" si="7"/>
        <v>3391413</v>
      </c>
    </row>
    <row r="256" spans="1:12">
      <c r="A256">
        <v>130</v>
      </c>
      <c r="B256">
        <v>353</v>
      </c>
      <c r="C256">
        <v>2</v>
      </c>
      <c r="D256" t="s">
        <v>2385</v>
      </c>
      <c r="E256" s="7">
        <v>6463.4</v>
      </c>
      <c r="F256" s="7">
        <v>21.51</v>
      </c>
      <c r="G256">
        <v>25</v>
      </c>
      <c r="H256" t="s">
        <v>2547</v>
      </c>
      <c r="I256" t="s">
        <v>2383</v>
      </c>
      <c r="J256">
        <v>0</v>
      </c>
      <c r="K256" s="9">
        <f t="shared" si="6"/>
        <v>45569</v>
      </c>
      <c r="L256">
        <f t="shared" si="7"/>
        <v>64634</v>
      </c>
    </row>
    <row r="257" spans="1:12">
      <c r="A257">
        <v>131</v>
      </c>
      <c r="B257">
        <v>246</v>
      </c>
      <c r="C257">
        <v>7</v>
      </c>
      <c r="D257" t="s">
        <v>2376</v>
      </c>
      <c r="E257" s="7">
        <v>103443.08</v>
      </c>
      <c r="F257" s="7">
        <v>16.83</v>
      </c>
      <c r="G257">
        <v>119</v>
      </c>
      <c r="H257" t="s">
        <v>409</v>
      </c>
      <c r="I257" t="s">
        <v>2377</v>
      </c>
      <c r="J257">
        <v>80</v>
      </c>
      <c r="K257" s="9">
        <f t="shared" si="6"/>
        <v>44590</v>
      </c>
      <c r="L257">
        <f t="shared" si="7"/>
        <v>10344308</v>
      </c>
    </row>
    <row r="258" spans="1:12">
      <c r="A258">
        <v>132</v>
      </c>
      <c r="B258">
        <v>378</v>
      </c>
      <c r="C258">
        <v>3</v>
      </c>
      <c r="D258" t="s">
        <v>2385</v>
      </c>
      <c r="E258" s="7">
        <v>5677.34</v>
      </c>
      <c r="F258" s="7">
        <v>21.96</v>
      </c>
      <c r="G258">
        <v>10</v>
      </c>
      <c r="H258" t="s">
        <v>2548</v>
      </c>
      <c r="I258" t="s">
        <v>2383</v>
      </c>
      <c r="J258">
        <v>0</v>
      </c>
      <c r="K258" s="9">
        <f t="shared" si="6"/>
        <v>43942</v>
      </c>
      <c r="L258">
        <f t="shared" si="7"/>
        <v>567734</v>
      </c>
    </row>
    <row r="259" spans="1:12">
      <c r="A259">
        <v>133</v>
      </c>
      <c r="B259">
        <v>133</v>
      </c>
      <c r="C259">
        <v>7</v>
      </c>
      <c r="D259" t="s">
        <v>2387</v>
      </c>
      <c r="E259" s="7">
        <v>55453.13</v>
      </c>
      <c r="F259" s="7">
        <v>18.42</v>
      </c>
      <c r="G259">
        <v>231</v>
      </c>
      <c r="H259" t="s">
        <v>2549</v>
      </c>
      <c r="I259" t="s">
        <v>2377</v>
      </c>
      <c r="J259">
        <v>47</v>
      </c>
      <c r="K259" s="9">
        <f t="shared" ref="K259:K322" si="8">DATEVALUE(LEFT(H259,10))</f>
        <v>43936</v>
      </c>
      <c r="L259">
        <f t="shared" ref="L259:L322" si="9">_xlfn.NUMBERVALUE(E259,".",",")</f>
        <v>5545313</v>
      </c>
    </row>
    <row r="260" spans="1:12">
      <c r="A260">
        <v>134</v>
      </c>
      <c r="B260">
        <v>311</v>
      </c>
      <c r="C260">
        <v>3</v>
      </c>
      <c r="D260" t="s">
        <v>2390</v>
      </c>
      <c r="E260" s="7">
        <v>14279.49</v>
      </c>
      <c r="F260" s="7">
        <v>7.71</v>
      </c>
      <c r="G260">
        <v>24</v>
      </c>
      <c r="H260" t="s">
        <v>2550</v>
      </c>
      <c r="I260" t="s">
        <v>2377</v>
      </c>
      <c r="J260">
        <v>0</v>
      </c>
      <c r="K260" s="9">
        <f t="shared" si="8"/>
        <v>45400</v>
      </c>
      <c r="L260">
        <f t="shared" si="9"/>
        <v>1427949</v>
      </c>
    </row>
    <row r="261" spans="1:12">
      <c r="A261">
        <v>135</v>
      </c>
      <c r="B261">
        <v>550</v>
      </c>
      <c r="C261">
        <v>1</v>
      </c>
      <c r="D261" t="s">
        <v>2376</v>
      </c>
      <c r="E261" s="7">
        <v>129447.74</v>
      </c>
      <c r="F261" s="7">
        <v>5.51</v>
      </c>
      <c r="G261">
        <v>19</v>
      </c>
      <c r="H261" t="s">
        <v>2551</v>
      </c>
      <c r="I261" t="s">
        <v>2383</v>
      </c>
      <c r="J261">
        <v>0</v>
      </c>
      <c r="K261" s="9">
        <f t="shared" si="8"/>
        <v>44026</v>
      </c>
      <c r="L261">
        <f t="shared" si="9"/>
        <v>12944774</v>
      </c>
    </row>
    <row r="262" spans="1:12">
      <c r="A262">
        <v>136</v>
      </c>
      <c r="B262">
        <v>106</v>
      </c>
      <c r="C262">
        <v>5</v>
      </c>
      <c r="D262" t="s">
        <v>2390</v>
      </c>
      <c r="E262" s="7">
        <v>19353.58</v>
      </c>
      <c r="F262" s="7">
        <v>15.73</v>
      </c>
      <c r="G262">
        <v>53</v>
      </c>
      <c r="H262" t="s">
        <v>2401</v>
      </c>
      <c r="I262" t="s">
        <v>2377</v>
      </c>
      <c r="J262">
        <v>0</v>
      </c>
      <c r="K262" s="9">
        <f t="shared" si="8"/>
        <v>44725</v>
      </c>
      <c r="L262">
        <f t="shared" si="9"/>
        <v>1935358</v>
      </c>
    </row>
    <row r="263" spans="1:12">
      <c r="A263">
        <v>137</v>
      </c>
      <c r="B263">
        <v>542</v>
      </c>
      <c r="C263">
        <v>5</v>
      </c>
      <c r="D263" t="s">
        <v>2385</v>
      </c>
      <c r="E263" s="7">
        <v>1366.97</v>
      </c>
      <c r="F263" s="7">
        <v>5.41</v>
      </c>
      <c r="G263">
        <v>18</v>
      </c>
      <c r="H263" t="s">
        <v>2346</v>
      </c>
      <c r="I263" t="s">
        <v>2393</v>
      </c>
      <c r="J263">
        <v>302</v>
      </c>
      <c r="K263" s="9">
        <f t="shared" si="8"/>
        <v>44962</v>
      </c>
      <c r="L263">
        <f t="shared" si="9"/>
        <v>136697</v>
      </c>
    </row>
    <row r="264" spans="1:12">
      <c r="A264">
        <v>138</v>
      </c>
      <c r="B264">
        <v>40</v>
      </c>
      <c r="C264">
        <v>4</v>
      </c>
      <c r="D264" t="s">
        <v>2385</v>
      </c>
      <c r="E264" s="7">
        <v>2323.93</v>
      </c>
      <c r="F264" s="7">
        <v>14.15</v>
      </c>
      <c r="G264">
        <v>27</v>
      </c>
      <c r="H264" t="s">
        <v>2552</v>
      </c>
      <c r="I264" t="s">
        <v>2383</v>
      </c>
      <c r="J264">
        <v>0</v>
      </c>
      <c r="K264" s="9">
        <f t="shared" si="8"/>
        <v>44069</v>
      </c>
      <c r="L264">
        <f t="shared" si="9"/>
        <v>232393</v>
      </c>
    </row>
    <row r="265" spans="1:12">
      <c r="A265">
        <v>139</v>
      </c>
      <c r="B265">
        <v>479</v>
      </c>
      <c r="C265">
        <v>2</v>
      </c>
      <c r="D265" t="s">
        <v>2385</v>
      </c>
      <c r="E265" s="7">
        <v>6929.92</v>
      </c>
      <c r="F265" s="7">
        <v>8.43</v>
      </c>
      <c r="G265">
        <v>17</v>
      </c>
      <c r="H265" t="s">
        <v>1763</v>
      </c>
      <c r="I265" t="s">
        <v>2377</v>
      </c>
      <c r="J265">
        <v>0</v>
      </c>
      <c r="K265" s="9">
        <f t="shared" si="8"/>
        <v>43885</v>
      </c>
      <c r="L265">
        <f t="shared" si="9"/>
        <v>692992</v>
      </c>
    </row>
    <row r="266" spans="1:12">
      <c r="A266">
        <v>140</v>
      </c>
      <c r="B266">
        <v>239</v>
      </c>
      <c r="C266">
        <v>7</v>
      </c>
      <c r="D266" t="s">
        <v>2379</v>
      </c>
      <c r="E266" s="7">
        <v>6476.15</v>
      </c>
      <c r="F266" s="7">
        <v>12.15</v>
      </c>
      <c r="G266">
        <v>57</v>
      </c>
      <c r="H266" t="s">
        <v>1211</v>
      </c>
      <c r="I266" t="s">
        <v>2377</v>
      </c>
      <c r="J266">
        <v>0</v>
      </c>
      <c r="K266" s="9">
        <f t="shared" si="8"/>
        <v>44831</v>
      </c>
      <c r="L266">
        <f t="shared" si="9"/>
        <v>647615</v>
      </c>
    </row>
    <row r="267" spans="1:12">
      <c r="A267">
        <v>141</v>
      </c>
      <c r="B267">
        <v>68</v>
      </c>
      <c r="C267">
        <v>4</v>
      </c>
      <c r="D267" t="s">
        <v>2390</v>
      </c>
      <c r="E267" s="7">
        <v>19541.6</v>
      </c>
      <c r="F267" s="7">
        <v>5.65</v>
      </c>
      <c r="G267">
        <v>61</v>
      </c>
      <c r="H267" t="s">
        <v>2553</v>
      </c>
      <c r="I267" t="s">
        <v>2383</v>
      </c>
      <c r="J267">
        <v>0</v>
      </c>
      <c r="K267" s="9">
        <f t="shared" si="8"/>
        <v>45283</v>
      </c>
      <c r="L267">
        <f t="shared" si="9"/>
        <v>195416</v>
      </c>
    </row>
    <row r="268" spans="1:12">
      <c r="A268">
        <v>142</v>
      </c>
      <c r="B268">
        <v>440</v>
      </c>
      <c r="C268">
        <v>4</v>
      </c>
      <c r="D268" t="s">
        <v>2379</v>
      </c>
      <c r="E268" s="7">
        <v>7454.79</v>
      </c>
      <c r="F268" s="7">
        <v>14.38</v>
      </c>
      <c r="G268">
        <v>54</v>
      </c>
      <c r="H268" t="s">
        <v>2554</v>
      </c>
      <c r="I268" t="s">
        <v>2377</v>
      </c>
      <c r="J268">
        <v>0</v>
      </c>
      <c r="K268" s="9">
        <f t="shared" si="8"/>
        <v>45046</v>
      </c>
      <c r="L268">
        <f t="shared" si="9"/>
        <v>745479</v>
      </c>
    </row>
    <row r="269" spans="1:12">
      <c r="A269">
        <v>143</v>
      </c>
      <c r="B269">
        <v>364</v>
      </c>
      <c r="C269">
        <v>2</v>
      </c>
      <c r="D269" t="s">
        <v>2387</v>
      </c>
      <c r="E269" s="7">
        <v>196397.64</v>
      </c>
      <c r="F269" s="7">
        <v>16.89</v>
      </c>
      <c r="G269">
        <v>298</v>
      </c>
      <c r="H269" t="s">
        <v>2555</v>
      </c>
      <c r="I269" t="s">
        <v>2377</v>
      </c>
      <c r="J269">
        <v>80</v>
      </c>
      <c r="K269" s="9">
        <f t="shared" si="8"/>
        <v>45152</v>
      </c>
      <c r="L269">
        <f t="shared" si="9"/>
        <v>19639764</v>
      </c>
    </row>
    <row r="270" spans="1:12">
      <c r="A270">
        <v>144</v>
      </c>
      <c r="B270">
        <v>30</v>
      </c>
      <c r="C270">
        <v>5</v>
      </c>
      <c r="D270" t="s">
        <v>2390</v>
      </c>
      <c r="E270" s="7">
        <v>9690.28</v>
      </c>
      <c r="F270" s="7">
        <v>13.88</v>
      </c>
      <c r="G270">
        <v>75</v>
      </c>
      <c r="H270" t="s">
        <v>2556</v>
      </c>
      <c r="I270" t="s">
        <v>2383</v>
      </c>
      <c r="J270">
        <v>0</v>
      </c>
      <c r="K270" s="9">
        <f t="shared" si="8"/>
        <v>45137</v>
      </c>
      <c r="L270">
        <f t="shared" si="9"/>
        <v>969028</v>
      </c>
    </row>
    <row r="271" spans="1:12">
      <c r="A271">
        <v>145</v>
      </c>
      <c r="B271">
        <v>840</v>
      </c>
      <c r="C271">
        <v>3</v>
      </c>
      <c r="D271" t="s">
        <v>2390</v>
      </c>
      <c r="E271" s="7">
        <v>16702.7</v>
      </c>
      <c r="F271" s="7">
        <v>17.73</v>
      </c>
      <c r="G271">
        <v>73</v>
      </c>
      <c r="H271" t="s">
        <v>2557</v>
      </c>
      <c r="I271" t="s">
        <v>2383</v>
      </c>
      <c r="J271">
        <v>0</v>
      </c>
      <c r="K271" s="9">
        <f t="shared" si="8"/>
        <v>44355</v>
      </c>
      <c r="L271">
        <f t="shared" si="9"/>
        <v>167027</v>
      </c>
    </row>
    <row r="272" spans="1:12">
      <c r="A272">
        <v>146</v>
      </c>
      <c r="B272">
        <v>178</v>
      </c>
      <c r="C272">
        <v>2</v>
      </c>
      <c r="D272" t="s">
        <v>2387</v>
      </c>
      <c r="E272" s="7">
        <v>108247.52</v>
      </c>
      <c r="F272" s="7">
        <v>20.96</v>
      </c>
      <c r="G272">
        <v>259</v>
      </c>
      <c r="H272" t="s">
        <v>1900</v>
      </c>
      <c r="I272" t="s">
        <v>2377</v>
      </c>
      <c r="J272">
        <v>0</v>
      </c>
      <c r="K272" s="9">
        <f t="shared" si="8"/>
        <v>45451</v>
      </c>
      <c r="L272">
        <f t="shared" si="9"/>
        <v>10824752</v>
      </c>
    </row>
    <row r="273" spans="1:12">
      <c r="A273">
        <v>147</v>
      </c>
      <c r="B273">
        <v>40</v>
      </c>
      <c r="C273">
        <v>4</v>
      </c>
      <c r="D273" t="s">
        <v>2390</v>
      </c>
      <c r="E273" s="7">
        <v>22850.58</v>
      </c>
      <c r="F273" s="7">
        <v>16.24</v>
      </c>
      <c r="G273">
        <v>31</v>
      </c>
      <c r="H273" t="s">
        <v>1105</v>
      </c>
      <c r="I273" t="s">
        <v>2377</v>
      </c>
      <c r="J273">
        <v>0</v>
      </c>
      <c r="K273" s="9">
        <f t="shared" si="8"/>
        <v>43989</v>
      </c>
      <c r="L273">
        <f t="shared" si="9"/>
        <v>2285058</v>
      </c>
    </row>
    <row r="274" spans="1:12">
      <c r="A274">
        <v>148</v>
      </c>
      <c r="B274">
        <v>670</v>
      </c>
      <c r="C274">
        <v>5</v>
      </c>
      <c r="D274" t="s">
        <v>2387</v>
      </c>
      <c r="E274" s="7">
        <v>136782.6</v>
      </c>
      <c r="F274" s="7">
        <v>13.14</v>
      </c>
      <c r="G274">
        <v>219</v>
      </c>
      <c r="H274" t="s">
        <v>2558</v>
      </c>
      <c r="I274" t="s">
        <v>2377</v>
      </c>
      <c r="J274">
        <v>0</v>
      </c>
      <c r="K274" s="9">
        <f t="shared" si="8"/>
        <v>44956</v>
      </c>
      <c r="L274">
        <f t="shared" si="9"/>
        <v>1367826</v>
      </c>
    </row>
    <row r="275" spans="1:12">
      <c r="A275">
        <v>149</v>
      </c>
      <c r="B275">
        <v>279</v>
      </c>
      <c r="C275">
        <v>5</v>
      </c>
      <c r="D275" t="s">
        <v>2385</v>
      </c>
      <c r="E275" s="7">
        <v>7463.65</v>
      </c>
      <c r="F275" s="7">
        <v>10.11</v>
      </c>
      <c r="G275">
        <v>27</v>
      </c>
      <c r="H275" t="s">
        <v>2559</v>
      </c>
      <c r="I275" t="s">
        <v>2377</v>
      </c>
      <c r="J275">
        <v>41</v>
      </c>
      <c r="K275" s="9">
        <f t="shared" si="8"/>
        <v>45571</v>
      </c>
      <c r="L275">
        <f t="shared" si="9"/>
        <v>746365</v>
      </c>
    </row>
    <row r="276" spans="1:12">
      <c r="A276">
        <v>150</v>
      </c>
      <c r="B276">
        <v>422</v>
      </c>
      <c r="C276">
        <v>1</v>
      </c>
      <c r="D276" t="s">
        <v>2379</v>
      </c>
      <c r="E276" s="7">
        <v>10528</v>
      </c>
      <c r="F276" s="7">
        <v>19.18</v>
      </c>
      <c r="G276">
        <v>33</v>
      </c>
      <c r="H276" t="s">
        <v>2560</v>
      </c>
      <c r="I276" t="s">
        <v>2377</v>
      </c>
      <c r="J276">
        <v>0</v>
      </c>
      <c r="K276" s="9">
        <f t="shared" si="8"/>
        <v>45007</v>
      </c>
      <c r="L276">
        <f t="shared" si="9"/>
        <v>10528</v>
      </c>
    </row>
    <row r="277" spans="1:12">
      <c r="A277">
        <v>151</v>
      </c>
      <c r="B277">
        <v>494</v>
      </c>
      <c r="C277">
        <v>4</v>
      </c>
      <c r="D277" t="s">
        <v>2379</v>
      </c>
      <c r="E277" s="7">
        <v>10995.06</v>
      </c>
      <c r="F277" s="7">
        <v>15.52</v>
      </c>
      <c r="G277">
        <v>56</v>
      </c>
      <c r="H277" t="s">
        <v>2561</v>
      </c>
      <c r="I277" t="s">
        <v>2377</v>
      </c>
      <c r="J277">
        <v>0</v>
      </c>
      <c r="K277" s="9">
        <f t="shared" si="8"/>
        <v>45443</v>
      </c>
      <c r="L277">
        <f t="shared" si="9"/>
        <v>1099506</v>
      </c>
    </row>
    <row r="278" spans="1:12">
      <c r="A278">
        <v>152</v>
      </c>
      <c r="B278">
        <v>867</v>
      </c>
      <c r="C278">
        <v>4</v>
      </c>
      <c r="D278" t="s">
        <v>2379</v>
      </c>
      <c r="E278" s="7">
        <v>5178.78</v>
      </c>
      <c r="F278" s="7">
        <v>15.8</v>
      </c>
      <c r="G278">
        <v>22</v>
      </c>
      <c r="H278" t="s">
        <v>2562</v>
      </c>
      <c r="I278" t="s">
        <v>2377</v>
      </c>
      <c r="J278">
        <v>11</v>
      </c>
      <c r="K278" s="9">
        <f t="shared" si="8"/>
        <v>44638</v>
      </c>
      <c r="L278">
        <f t="shared" si="9"/>
        <v>517878</v>
      </c>
    </row>
    <row r="279" spans="1:12">
      <c r="A279">
        <v>153</v>
      </c>
      <c r="B279">
        <v>307</v>
      </c>
      <c r="C279">
        <v>1</v>
      </c>
      <c r="D279" t="s">
        <v>2390</v>
      </c>
      <c r="E279" s="7">
        <v>29570.84</v>
      </c>
      <c r="F279" s="7">
        <v>5.01</v>
      </c>
      <c r="G279">
        <v>36</v>
      </c>
      <c r="H279" t="s">
        <v>2563</v>
      </c>
      <c r="I279" t="s">
        <v>2377</v>
      </c>
      <c r="J279">
        <v>72</v>
      </c>
      <c r="K279" s="9">
        <f t="shared" si="8"/>
        <v>44837</v>
      </c>
      <c r="L279">
        <f t="shared" si="9"/>
        <v>2957084</v>
      </c>
    </row>
    <row r="280" spans="1:12">
      <c r="A280">
        <v>154</v>
      </c>
      <c r="B280">
        <v>168</v>
      </c>
      <c r="C280">
        <v>5</v>
      </c>
      <c r="D280" t="s">
        <v>2385</v>
      </c>
      <c r="E280" s="7">
        <v>6983.94</v>
      </c>
      <c r="F280" s="7">
        <v>19.35</v>
      </c>
      <c r="G280">
        <v>13</v>
      </c>
      <c r="H280" t="s">
        <v>2564</v>
      </c>
      <c r="I280" t="s">
        <v>2377</v>
      </c>
      <c r="J280">
        <v>37</v>
      </c>
      <c r="K280" s="9">
        <f t="shared" si="8"/>
        <v>45016</v>
      </c>
      <c r="L280">
        <f t="shared" si="9"/>
        <v>698394</v>
      </c>
    </row>
    <row r="281" spans="1:12">
      <c r="A281">
        <v>155</v>
      </c>
      <c r="B281">
        <v>180</v>
      </c>
      <c r="C281">
        <v>5</v>
      </c>
      <c r="D281" t="s">
        <v>2387</v>
      </c>
      <c r="E281" s="7">
        <v>190504.92</v>
      </c>
      <c r="F281" s="7">
        <v>18.17</v>
      </c>
      <c r="G281">
        <v>171</v>
      </c>
      <c r="H281" t="s">
        <v>2565</v>
      </c>
      <c r="I281" t="s">
        <v>2377</v>
      </c>
      <c r="J281">
        <v>0</v>
      </c>
      <c r="K281" s="9">
        <f t="shared" si="8"/>
        <v>44671</v>
      </c>
      <c r="L281">
        <f t="shared" si="9"/>
        <v>19050492</v>
      </c>
    </row>
    <row r="282" spans="1:12">
      <c r="A282">
        <v>156</v>
      </c>
      <c r="B282">
        <v>503</v>
      </c>
      <c r="C282">
        <v>5</v>
      </c>
      <c r="D282" t="s">
        <v>2390</v>
      </c>
      <c r="E282" s="7">
        <v>22999.83</v>
      </c>
      <c r="F282" s="7">
        <v>14.23</v>
      </c>
      <c r="G282">
        <v>52</v>
      </c>
      <c r="H282" t="s">
        <v>2566</v>
      </c>
      <c r="I282" t="s">
        <v>2393</v>
      </c>
      <c r="J282">
        <v>139</v>
      </c>
      <c r="K282" s="9">
        <f t="shared" si="8"/>
        <v>45566</v>
      </c>
      <c r="L282">
        <f t="shared" si="9"/>
        <v>2299983</v>
      </c>
    </row>
    <row r="283" spans="1:12">
      <c r="A283">
        <v>157</v>
      </c>
      <c r="B283">
        <v>45</v>
      </c>
      <c r="C283">
        <v>2</v>
      </c>
      <c r="D283" t="s">
        <v>2379</v>
      </c>
      <c r="E283" s="7">
        <v>9493.43</v>
      </c>
      <c r="F283" s="7">
        <v>13.77</v>
      </c>
      <c r="G283">
        <v>52</v>
      </c>
      <c r="H283" t="s">
        <v>2567</v>
      </c>
      <c r="I283" t="s">
        <v>2383</v>
      </c>
      <c r="J283">
        <v>0</v>
      </c>
      <c r="K283" s="9">
        <f t="shared" si="8"/>
        <v>44384</v>
      </c>
      <c r="L283">
        <f t="shared" si="9"/>
        <v>949343</v>
      </c>
    </row>
    <row r="284" spans="1:12">
      <c r="A284">
        <v>158</v>
      </c>
      <c r="B284">
        <v>844</v>
      </c>
      <c r="C284">
        <v>1</v>
      </c>
      <c r="D284" t="s">
        <v>2390</v>
      </c>
      <c r="E284" s="7">
        <v>9968.27</v>
      </c>
      <c r="F284" s="7">
        <v>13.95</v>
      </c>
      <c r="G284">
        <v>39</v>
      </c>
      <c r="H284" t="s">
        <v>2568</v>
      </c>
      <c r="I284" t="s">
        <v>2383</v>
      </c>
      <c r="J284">
        <v>0</v>
      </c>
      <c r="K284" s="9">
        <f t="shared" si="8"/>
        <v>45652</v>
      </c>
      <c r="L284">
        <f t="shared" si="9"/>
        <v>996827</v>
      </c>
    </row>
    <row r="285" spans="1:12">
      <c r="A285">
        <v>159</v>
      </c>
      <c r="B285">
        <v>708</v>
      </c>
      <c r="C285">
        <v>2</v>
      </c>
      <c r="D285" t="s">
        <v>2379</v>
      </c>
      <c r="E285" s="7">
        <v>12378.26</v>
      </c>
      <c r="F285" s="7">
        <v>16.41</v>
      </c>
      <c r="G285">
        <v>24</v>
      </c>
      <c r="H285" t="s">
        <v>2569</v>
      </c>
      <c r="I285" t="s">
        <v>2377</v>
      </c>
      <c r="J285">
        <v>0</v>
      </c>
      <c r="K285" s="9">
        <f t="shared" si="8"/>
        <v>45399</v>
      </c>
      <c r="L285">
        <f t="shared" si="9"/>
        <v>1237826</v>
      </c>
    </row>
    <row r="286" spans="1:12">
      <c r="A286">
        <v>160</v>
      </c>
      <c r="B286">
        <v>850</v>
      </c>
      <c r="C286">
        <v>3</v>
      </c>
      <c r="D286" t="s">
        <v>2387</v>
      </c>
      <c r="E286" s="7">
        <v>147019.63</v>
      </c>
      <c r="F286" s="7">
        <v>21.48</v>
      </c>
      <c r="G286">
        <v>232</v>
      </c>
      <c r="H286" t="s">
        <v>2570</v>
      </c>
      <c r="I286" t="s">
        <v>2383</v>
      </c>
      <c r="J286">
        <v>0</v>
      </c>
      <c r="K286" s="9">
        <f t="shared" si="8"/>
        <v>44303</v>
      </c>
      <c r="L286">
        <f t="shared" si="9"/>
        <v>14701963</v>
      </c>
    </row>
    <row r="287" spans="1:12">
      <c r="A287">
        <v>161</v>
      </c>
      <c r="B287">
        <v>734</v>
      </c>
      <c r="C287">
        <v>4</v>
      </c>
      <c r="D287" t="s">
        <v>2390</v>
      </c>
      <c r="E287" s="7">
        <v>38647.7</v>
      </c>
      <c r="F287" s="7">
        <v>19.7</v>
      </c>
      <c r="G287">
        <v>40</v>
      </c>
      <c r="H287" t="s">
        <v>1219</v>
      </c>
      <c r="I287" t="s">
        <v>2377</v>
      </c>
      <c r="J287">
        <v>0</v>
      </c>
      <c r="K287" s="9">
        <f t="shared" si="8"/>
        <v>45260</v>
      </c>
      <c r="L287">
        <f t="shared" si="9"/>
        <v>386477</v>
      </c>
    </row>
    <row r="288" spans="1:12">
      <c r="A288">
        <v>162</v>
      </c>
      <c r="B288">
        <v>10</v>
      </c>
      <c r="C288">
        <v>7</v>
      </c>
      <c r="D288" t="s">
        <v>2390</v>
      </c>
      <c r="E288" s="7">
        <v>23370.32</v>
      </c>
      <c r="F288" s="7">
        <v>8.41</v>
      </c>
      <c r="G288">
        <v>38</v>
      </c>
      <c r="H288" t="s">
        <v>2571</v>
      </c>
      <c r="I288" t="s">
        <v>2377</v>
      </c>
      <c r="J288">
        <v>0</v>
      </c>
      <c r="K288" s="9">
        <f t="shared" si="8"/>
        <v>45319</v>
      </c>
      <c r="L288">
        <f t="shared" si="9"/>
        <v>2337032</v>
      </c>
    </row>
    <row r="289" spans="1:12">
      <c r="A289">
        <v>163</v>
      </c>
      <c r="B289">
        <v>731</v>
      </c>
      <c r="C289">
        <v>1</v>
      </c>
      <c r="D289" t="s">
        <v>2387</v>
      </c>
      <c r="E289" s="7">
        <v>97273.35</v>
      </c>
      <c r="F289" s="7">
        <v>7.38</v>
      </c>
      <c r="G289">
        <v>306</v>
      </c>
      <c r="H289" t="s">
        <v>870</v>
      </c>
      <c r="I289" t="s">
        <v>2377</v>
      </c>
      <c r="J289">
        <v>0</v>
      </c>
      <c r="K289" s="9">
        <f t="shared" si="8"/>
        <v>44331</v>
      </c>
      <c r="L289">
        <f t="shared" si="9"/>
        <v>9727335</v>
      </c>
    </row>
    <row r="290" spans="1:12">
      <c r="A290">
        <v>164</v>
      </c>
      <c r="B290">
        <v>770</v>
      </c>
      <c r="C290">
        <v>3</v>
      </c>
      <c r="D290" t="s">
        <v>2390</v>
      </c>
      <c r="E290" s="7">
        <v>30124.27</v>
      </c>
      <c r="F290" s="7">
        <v>14.8</v>
      </c>
      <c r="G290">
        <v>27</v>
      </c>
      <c r="H290" t="s">
        <v>2572</v>
      </c>
      <c r="I290" t="s">
        <v>2377</v>
      </c>
      <c r="J290">
        <v>21</v>
      </c>
      <c r="K290" s="9">
        <f t="shared" si="8"/>
        <v>44038</v>
      </c>
      <c r="L290">
        <f t="shared" si="9"/>
        <v>3012427</v>
      </c>
    </row>
    <row r="291" spans="1:12">
      <c r="A291">
        <v>165</v>
      </c>
      <c r="B291">
        <v>802</v>
      </c>
      <c r="C291">
        <v>3</v>
      </c>
      <c r="D291" t="s">
        <v>2379</v>
      </c>
      <c r="E291" s="7">
        <v>13968.35</v>
      </c>
      <c r="F291" s="7">
        <v>15.76</v>
      </c>
      <c r="G291">
        <v>58</v>
      </c>
      <c r="H291" t="s">
        <v>1672</v>
      </c>
      <c r="I291" t="s">
        <v>2383</v>
      </c>
      <c r="J291">
        <v>0</v>
      </c>
      <c r="K291" s="9">
        <f t="shared" si="8"/>
        <v>44281</v>
      </c>
      <c r="L291">
        <f t="shared" si="9"/>
        <v>1396835</v>
      </c>
    </row>
    <row r="292" spans="1:12">
      <c r="A292">
        <v>166</v>
      </c>
      <c r="B292">
        <v>961</v>
      </c>
      <c r="C292">
        <v>6</v>
      </c>
      <c r="D292" t="s">
        <v>2385</v>
      </c>
      <c r="E292" s="7">
        <v>989.87</v>
      </c>
      <c r="F292" s="7">
        <v>12.01</v>
      </c>
      <c r="G292">
        <v>22</v>
      </c>
      <c r="H292" t="s">
        <v>878</v>
      </c>
      <c r="I292" t="s">
        <v>2383</v>
      </c>
      <c r="J292">
        <v>0</v>
      </c>
      <c r="K292" s="9">
        <f t="shared" si="8"/>
        <v>44760</v>
      </c>
      <c r="L292">
        <f t="shared" si="9"/>
        <v>98987</v>
      </c>
    </row>
    <row r="293" spans="1:12">
      <c r="A293">
        <v>167</v>
      </c>
      <c r="B293">
        <v>61</v>
      </c>
      <c r="C293">
        <v>3</v>
      </c>
      <c r="D293" t="s">
        <v>2385</v>
      </c>
      <c r="E293" s="7">
        <v>5170.84</v>
      </c>
      <c r="F293" s="7">
        <v>15.35</v>
      </c>
      <c r="G293">
        <v>18</v>
      </c>
      <c r="H293" t="s">
        <v>2573</v>
      </c>
      <c r="I293" t="s">
        <v>2377</v>
      </c>
      <c r="J293">
        <v>45</v>
      </c>
      <c r="K293" s="9">
        <f t="shared" si="8"/>
        <v>44270</v>
      </c>
      <c r="L293">
        <f t="shared" si="9"/>
        <v>517084</v>
      </c>
    </row>
    <row r="294" spans="1:12">
      <c r="A294">
        <v>168</v>
      </c>
      <c r="B294">
        <v>706</v>
      </c>
      <c r="C294">
        <v>4</v>
      </c>
      <c r="D294" t="s">
        <v>2379</v>
      </c>
      <c r="E294" s="7">
        <v>5551.14</v>
      </c>
      <c r="F294" s="7">
        <v>18.86</v>
      </c>
      <c r="G294">
        <v>29</v>
      </c>
      <c r="H294" t="s">
        <v>979</v>
      </c>
      <c r="I294" t="s">
        <v>2377</v>
      </c>
      <c r="J294">
        <v>0</v>
      </c>
      <c r="K294" s="9">
        <f t="shared" si="8"/>
        <v>44851</v>
      </c>
      <c r="L294">
        <f t="shared" si="9"/>
        <v>555114</v>
      </c>
    </row>
    <row r="295" spans="1:12">
      <c r="A295">
        <v>169</v>
      </c>
      <c r="B295">
        <v>55</v>
      </c>
      <c r="C295">
        <v>1</v>
      </c>
      <c r="D295" t="s">
        <v>2387</v>
      </c>
      <c r="E295" s="7">
        <v>74771.45</v>
      </c>
      <c r="F295" s="7">
        <v>11.36</v>
      </c>
      <c r="G295">
        <v>162</v>
      </c>
      <c r="H295" t="s">
        <v>2574</v>
      </c>
      <c r="I295" t="s">
        <v>2377</v>
      </c>
      <c r="J295">
        <v>0</v>
      </c>
      <c r="K295" s="9">
        <f t="shared" si="8"/>
        <v>45650</v>
      </c>
      <c r="L295">
        <f t="shared" si="9"/>
        <v>7477145</v>
      </c>
    </row>
    <row r="296" spans="1:12">
      <c r="A296">
        <v>170</v>
      </c>
      <c r="B296">
        <v>68</v>
      </c>
      <c r="C296">
        <v>4</v>
      </c>
      <c r="D296" t="s">
        <v>2390</v>
      </c>
      <c r="E296" s="7">
        <v>18097.61</v>
      </c>
      <c r="F296" s="7">
        <v>17.12</v>
      </c>
      <c r="G296">
        <v>57</v>
      </c>
      <c r="H296" t="s">
        <v>1880</v>
      </c>
      <c r="I296" t="s">
        <v>2377</v>
      </c>
      <c r="J296">
        <v>0</v>
      </c>
      <c r="K296" s="9">
        <f t="shared" si="8"/>
        <v>45544</v>
      </c>
      <c r="L296">
        <f t="shared" si="9"/>
        <v>1809761</v>
      </c>
    </row>
    <row r="297" spans="1:12">
      <c r="A297">
        <v>171</v>
      </c>
      <c r="B297">
        <v>849</v>
      </c>
      <c r="C297">
        <v>3</v>
      </c>
      <c r="D297" t="s">
        <v>2387</v>
      </c>
      <c r="E297" s="7">
        <v>149744.92</v>
      </c>
      <c r="F297" s="7">
        <v>12.16</v>
      </c>
      <c r="G297">
        <v>310</v>
      </c>
      <c r="H297" t="s">
        <v>656</v>
      </c>
      <c r="I297" t="s">
        <v>2377</v>
      </c>
      <c r="J297">
        <v>0</v>
      </c>
      <c r="K297" s="9">
        <f t="shared" si="8"/>
        <v>44800</v>
      </c>
      <c r="L297">
        <f t="shared" si="9"/>
        <v>14974492</v>
      </c>
    </row>
    <row r="298" spans="1:12">
      <c r="A298">
        <v>172</v>
      </c>
      <c r="B298">
        <v>451</v>
      </c>
      <c r="C298">
        <v>4</v>
      </c>
      <c r="D298" t="s">
        <v>2385</v>
      </c>
      <c r="E298" s="7">
        <v>3990.76</v>
      </c>
      <c r="F298" s="7">
        <v>7.4</v>
      </c>
      <c r="G298">
        <v>29</v>
      </c>
      <c r="H298" t="s">
        <v>2454</v>
      </c>
      <c r="I298" t="s">
        <v>2377</v>
      </c>
      <c r="J298">
        <v>2</v>
      </c>
      <c r="K298" s="9">
        <f t="shared" si="8"/>
        <v>44935</v>
      </c>
      <c r="L298">
        <f t="shared" si="9"/>
        <v>399076</v>
      </c>
    </row>
    <row r="299" spans="1:12">
      <c r="A299">
        <v>173</v>
      </c>
      <c r="B299">
        <v>217</v>
      </c>
      <c r="C299">
        <v>2</v>
      </c>
      <c r="D299" t="s">
        <v>2376</v>
      </c>
      <c r="E299" s="7">
        <v>122303.84</v>
      </c>
      <c r="F299" s="7">
        <v>19.02</v>
      </c>
      <c r="G299">
        <v>51</v>
      </c>
      <c r="H299" t="s">
        <v>217</v>
      </c>
      <c r="I299" t="s">
        <v>2377</v>
      </c>
      <c r="J299">
        <v>0</v>
      </c>
      <c r="K299" s="9">
        <f t="shared" si="8"/>
        <v>45341</v>
      </c>
      <c r="L299">
        <f t="shared" si="9"/>
        <v>12230384</v>
      </c>
    </row>
    <row r="300" spans="1:12">
      <c r="A300">
        <v>174</v>
      </c>
      <c r="B300">
        <v>738</v>
      </c>
      <c r="C300">
        <v>5</v>
      </c>
      <c r="D300" t="s">
        <v>2387</v>
      </c>
      <c r="E300" s="7">
        <v>189769.17</v>
      </c>
      <c r="F300" s="7">
        <v>10.7</v>
      </c>
      <c r="G300">
        <v>161</v>
      </c>
      <c r="H300" t="s">
        <v>2575</v>
      </c>
      <c r="I300" t="s">
        <v>2377</v>
      </c>
      <c r="J300">
        <v>0</v>
      </c>
      <c r="K300" s="9">
        <f t="shared" si="8"/>
        <v>44272</v>
      </c>
      <c r="L300">
        <f t="shared" si="9"/>
        <v>18976917</v>
      </c>
    </row>
    <row r="301" spans="1:12">
      <c r="A301">
        <v>175</v>
      </c>
      <c r="B301">
        <v>991</v>
      </c>
      <c r="C301">
        <v>2</v>
      </c>
      <c r="D301" t="s">
        <v>2390</v>
      </c>
      <c r="E301" s="7">
        <v>15569.04</v>
      </c>
      <c r="F301" s="7">
        <v>19.24</v>
      </c>
      <c r="G301">
        <v>83</v>
      </c>
      <c r="H301" t="s">
        <v>2096</v>
      </c>
      <c r="I301" t="s">
        <v>2377</v>
      </c>
      <c r="J301">
        <v>0</v>
      </c>
      <c r="K301" s="9">
        <f t="shared" si="8"/>
        <v>44182</v>
      </c>
      <c r="L301">
        <f t="shared" si="9"/>
        <v>1556904</v>
      </c>
    </row>
    <row r="302" spans="1:12">
      <c r="A302">
        <v>176</v>
      </c>
      <c r="B302">
        <v>533</v>
      </c>
      <c r="C302">
        <v>5</v>
      </c>
      <c r="D302" t="s">
        <v>2385</v>
      </c>
      <c r="E302" s="7">
        <v>5397.14</v>
      </c>
      <c r="F302" s="7">
        <v>6.95</v>
      </c>
      <c r="G302">
        <v>19</v>
      </c>
      <c r="H302" t="s">
        <v>1951</v>
      </c>
      <c r="I302" t="s">
        <v>2377</v>
      </c>
      <c r="J302">
        <v>0</v>
      </c>
      <c r="K302" s="9">
        <f t="shared" si="8"/>
        <v>45250</v>
      </c>
      <c r="L302">
        <f t="shared" si="9"/>
        <v>539714</v>
      </c>
    </row>
    <row r="303" spans="1:12">
      <c r="A303">
        <v>177</v>
      </c>
      <c r="B303">
        <v>33</v>
      </c>
      <c r="C303">
        <v>4</v>
      </c>
      <c r="D303" t="s">
        <v>2390</v>
      </c>
      <c r="E303" s="7">
        <v>10625.93</v>
      </c>
      <c r="F303" s="7">
        <v>5.12</v>
      </c>
      <c r="G303">
        <v>64</v>
      </c>
      <c r="H303" t="s">
        <v>2576</v>
      </c>
      <c r="I303" t="s">
        <v>2383</v>
      </c>
      <c r="J303">
        <v>0</v>
      </c>
      <c r="K303" s="9">
        <f t="shared" si="8"/>
        <v>45300</v>
      </c>
      <c r="L303">
        <f t="shared" si="9"/>
        <v>1062593</v>
      </c>
    </row>
    <row r="304" spans="1:12">
      <c r="A304">
        <v>178</v>
      </c>
      <c r="B304">
        <v>852</v>
      </c>
      <c r="C304">
        <v>1</v>
      </c>
      <c r="D304" t="s">
        <v>2376</v>
      </c>
      <c r="E304" s="7">
        <v>114544.81</v>
      </c>
      <c r="F304" s="7">
        <v>18.9</v>
      </c>
      <c r="G304">
        <v>76</v>
      </c>
      <c r="H304" t="s">
        <v>2576</v>
      </c>
      <c r="I304" t="s">
        <v>2377</v>
      </c>
      <c r="J304">
        <v>0</v>
      </c>
      <c r="K304" s="9">
        <f t="shared" si="8"/>
        <v>45300</v>
      </c>
      <c r="L304">
        <f t="shared" si="9"/>
        <v>11454481</v>
      </c>
    </row>
    <row r="305" spans="1:12">
      <c r="A305">
        <v>179</v>
      </c>
      <c r="B305">
        <v>886</v>
      </c>
      <c r="C305">
        <v>2</v>
      </c>
      <c r="D305" t="s">
        <v>2379</v>
      </c>
      <c r="E305" s="7">
        <v>1393.53</v>
      </c>
      <c r="F305" s="7">
        <v>11.59</v>
      </c>
      <c r="G305">
        <v>13</v>
      </c>
      <c r="H305" t="s">
        <v>2577</v>
      </c>
      <c r="I305" t="s">
        <v>2377</v>
      </c>
      <c r="J305">
        <v>0</v>
      </c>
      <c r="K305" s="9">
        <f t="shared" si="8"/>
        <v>44305</v>
      </c>
      <c r="L305">
        <f t="shared" si="9"/>
        <v>139353</v>
      </c>
    </row>
    <row r="306" spans="1:12">
      <c r="A306">
        <v>180</v>
      </c>
      <c r="B306">
        <v>750</v>
      </c>
      <c r="C306">
        <v>2</v>
      </c>
      <c r="D306" t="s">
        <v>2379</v>
      </c>
      <c r="E306" s="7">
        <v>5234.17</v>
      </c>
      <c r="F306" s="7">
        <v>20.96</v>
      </c>
      <c r="G306">
        <v>50</v>
      </c>
      <c r="H306" t="s">
        <v>2578</v>
      </c>
      <c r="I306" t="s">
        <v>2377</v>
      </c>
      <c r="J306">
        <v>0</v>
      </c>
      <c r="K306" s="9">
        <f t="shared" si="8"/>
        <v>44753</v>
      </c>
      <c r="L306">
        <f t="shared" si="9"/>
        <v>523417</v>
      </c>
    </row>
    <row r="307" spans="1:12">
      <c r="A307">
        <v>181</v>
      </c>
      <c r="B307">
        <v>771</v>
      </c>
      <c r="C307">
        <v>1</v>
      </c>
      <c r="D307" t="s">
        <v>2379</v>
      </c>
      <c r="E307" s="7">
        <v>1193.97</v>
      </c>
      <c r="F307" s="7">
        <v>10.82</v>
      </c>
      <c r="G307">
        <v>51</v>
      </c>
      <c r="H307" t="s">
        <v>2579</v>
      </c>
      <c r="I307" t="s">
        <v>2377</v>
      </c>
      <c r="J307">
        <v>0</v>
      </c>
      <c r="K307" s="9">
        <f t="shared" si="8"/>
        <v>45741</v>
      </c>
      <c r="L307">
        <f t="shared" si="9"/>
        <v>119397</v>
      </c>
    </row>
    <row r="308" spans="1:12">
      <c r="A308">
        <v>182</v>
      </c>
      <c r="B308">
        <v>817</v>
      </c>
      <c r="C308">
        <v>7</v>
      </c>
      <c r="D308" t="s">
        <v>2385</v>
      </c>
      <c r="E308" s="7">
        <v>8379.26</v>
      </c>
      <c r="F308" s="7">
        <v>14.68</v>
      </c>
      <c r="G308">
        <v>30</v>
      </c>
      <c r="H308" t="s">
        <v>1276</v>
      </c>
      <c r="I308" t="s">
        <v>2383</v>
      </c>
      <c r="J308">
        <v>0</v>
      </c>
      <c r="K308" s="9">
        <f t="shared" si="8"/>
        <v>45166</v>
      </c>
      <c r="L308">
        <f t="shared" si="9"/>
        <v>837926</v>
      </c>
    </row>
    <row r="309" spans="1:12">
      <c r="A309">
        <v>183</v>
      </c>
      <c r="B309">
        <v>832</v>
      </c>
      <c r="C309">
        <v>4</v>
      </c>
      <c r="D309" t="s">
        <v>2387</v>
      </c>
      <c r="E309" s="7">
        <v>199518.3</v>
      </c>
      <c r="F309" s="7">
        <v>19.35</v>
      </c>
      <c r="G309">
        <v>275</v>
      </c>
      <c r="H309" t="s">
        <v>2580</v>
      </c>
      <c r="I309" t="s">
        <v>2377</v>
      </c>
      <c r="J309">
        <v>30</v>
      </c>
      <c r="K309" s="9">
        <f t="shared" si="8"/>
        <v>44535</v>
      </c>
      <c r="L309">
        <f t="shared" si="9"/>
        <v>1995183</v>
      </c>
    </row>
    <row r="310" spans="1:12">
      <c r="A310">
        <v>184</v>
      </c>
      <c r="B310">
        <v>719</v>
      </c>
      <c r="C310">
        <v>3</v>
      </c>
      <c r="D310" t="s">
        <v>2379</v>
      </c>
      <c r="E310" s="7">
        <v>13707.49</v>
      </c>
      <c r="F310" s="7">
        <v>12.93</v>
      </c>
      <c r="G310">
        <v>39</v>
      </c>
      <c r="H310" t="s">
        <v>2581</v>
      </c>
      <c r="I310" t="s">
        <v>2377</v>
      </c>
      <c r="J310">
        <v>0</v>
      </c>
      <c r="K310" s="9">
        <f t="shared" si="8"/>
        <v>45504</v>
      </c>
      <c r="L310">
        <f t="shared" si="9"/>
        <v>1370749</v>
      </c>
    </row>
    <row r="311" spans="1:12">
      <c r="A311">
        <v>185</v>
      </c>
      <c r="B311">
        <v>328</v>
      </c>
      <c r="C311">
        <v>7</v>
      </c>
      <c r="D311" t="s">
        <v>2376</v>
      </c>
      <c r="E311" s="7">
        <v>77549.67</v>
      </c>
      <c r="F311" s="7">
        <v>16.62</v>
      </c>
      <c r="G311">
        <v>29</v>
      </c>
      <c r="H311" t="s">
        <v>217</v>
      </c>
      <c r="I311" t="s">
        <v>2383</v>
      </c>
      <c r="J311">
        <v>0</v>
      </c>
      <c r="K311" s="9">
        <f t="shared" si="8"/>
        <v>45341</v>
      </c>
      <c r="L311">
        <f t="shared" si="9"/>
        <v>7754967</v>
      </c>
    </row>
    <row r="312" spans="1:12">
      <c r="A312">
        <v>186</v>
      </c>
      <c r="B312">
        <v>702</v>
      </c>
      <c r="C312">
        <v>2</v>
      </c>
      <c r="D312" t="s">
        <v>2379</v>
      </c>
      <c r="E312" s="7">
        <v>13005.07</v>
      </c>
      <c r="F312" s="7">
        <v>21.28</v>
      </c>
      <c r="G312">
        <v>56</v>
      </c>
      <c r="H312" t="s">
        <v>2582</v>
      </c>
      <c r="I312" t="s">
        <v>2377</v>
      </c>
      <c r="J312">
        <v>0</v>
      </c>
      <c r="K312" s="9">
        <f t="shared" si="8"/>
        <v>45640</v>
      </c>
      <c r="L312">
        <f t="shared" si="9"/>
        <v>1300507</v>
      </c>
    </row>
    <row r="313" spans="1:12">
      <c r="A313">
        <v>187</v>
      </c>
      <c r="B313">
        <v>886</v>
      </c>
      <c r="C313">
        <v>2</v>
      </c>
      <c r="D313" t="s">
        <v>2379</v>
      </c>
      <c r="E313" s="7">
        <v>14301.16</v>
      </c>
      <c r="F313" s="7">
        <v>9.93</v>
      </c>
      <c r="G313">
        <v>42</v>
      </c>
      <c r="H313" t="s">
        <v>1925</v>
      </c>
      <c r="I313" t="s">
        <v>2377</v>
      </c>
      <c r="J313">
        <v>0</v>
      </c>
      <c r="K313" s="9">
        <f t="shared" si="8"/>
        <v>45208</v>
      </c>
      <c r="L313">
        <f t="shared" si="9"/>
        <v>1430116</v>
      </c>
    </row>
    <row r="314" spans="1:12">
      <c r="A314">
        <v>188</v>
      </c>
      <c r="B314">
        <v>489</v>
      </c>
      <c r="C314">
        <v>5</v>
      </c>
      <c r="D314" t="s">
        <v>2387</v>
      </c>
      <c r="E314" s="7">
        <v>188229.87</v>
      </c>
      <c r="F314" s="7">
        <v>18.74</v>
      </c>
      <c r="G314">
        <v>232</v>
      </c>
      <c r="H314" t="s">
        <v>2583</v>
      </c>
      <c r="I314" t="s">
        <v>2377</v>
      </c>
      <c r="J314">
        <v>0</v>
      </c>
      <c r="K314" s="9">
        <f t="shared" si="8"/>
        <v>45407</v>
      </c>
      <c r="L314">
        <f t="shared" si="9"/>
        <v>18822987</v>
      </c>
    </row>
    <row r="315" spans="1:12">
      <c r="A315">
        <v>189</v>
      </c>
      <c r="B315">
        <v>144</v>
      </c>
      <c r="C315">
        <v>2</v>
      </c>
      <c r="D315" t="s">
        <v>2376</v>
      </c>
      <c r="E315" s="7">
        <v>55371.12</v>
      </c>
      <c r="F315" s="7">
        <v>9.3</v>
      </c>
      <c r="G315">
        <v>116</v>
      </c>
      <c r="H315" t="s">
        <v>2489</v>
      </c>
      <c r="I315" t="s">
        <v>2377</v>
      </c>
      <c r="J315">
        <v>0</v>
      </c>
      <c r="K315" s="9">
        <f t="shared" si="8"/>
        <v>44669</v>
      </c>
      <c r="L315">
        <f t="shared" si="9"/>
        <v>5537112</v>
      </c>
    </row>
    <row r="316" spans="1:12">
      <c r="A316">
        <v>190</v>
      </c>
      <c r="B316">
        <v>705</v>
      </c>
      <c r="C316">
        <v>6</v>
      </c>
      <c r="D316" t="s">
        <v>2385</v>
      </c>
      <c r="E316" s="7">
        <v>6092.29</v>
      </c>
      <c r="F316" s="7">
        <v>9.29</v>
      </c>
      <c r="G316">
        <v>30</v>
      </c>
      <c r="H316" t="s">
        <v>2584</v>
      </c>
      <c r="I316" t="s">
        <v>2383</v>
      </c>
      <c r="J316">
        <v>0</v>
      </c>
      <c r="K316" s="9">
        <f t="shared" si="8"/>
        <v>44763</v>
      </c>
      <c r="L316">
        <f t="shared" si="9"/>
        <v>609229</v>
      </c>
    </row>
    <row r="317" spans="1:12">
      <c r="A317">
        <v>191</v>
      </c>
      <c r="B317">
        <v>219</v>
      </c>
      <c r="C317">
        <v>5</v>
      </c>
      <c r="D317" t="s">
        <v>2390</v>
      </c>
      <c r="E317" s="7">
        <v>26940.61</v>
      </c>
      <c r="F317" s="7">
        <v>20.42</v>
      </c>
      <c r="G317">
        <v>58</v>
      </c>
      <c r="H317" t="s">
        <v>2585</v>
      </c>
      <c r="I317" t="s">
        <v>2393</v>
      </c>
      <c r="J317">
        <v>344</v>
      </c>
      <c r="K317" s="9">
        <f t="shared" si="8"/>
        <v>44136</v>
      </c>
      <c r="L317">
        <f t="shared" si="9"/>
        <v>2694061</v>
      </c>
    </row>
    <row r="318" spans="1:12">
      <c r="A318">
        <v>192</v>
      </c>
      <c r="B318">
        <v>112</v>
      </c>
      <c r="C318">
        <v>5</v>
      </c>
      <c r="D318" t="s">
        <v>2379</v>
      </c>
      <c r="E318" s="7">
        <v>10277.17</v>
      </c>
      <c r="F318" s="7">
        <v>21.46</v>
      </c>
      <c r="G318">
        <v>55</v>
      </c>
      <c r="H318" t="s">
        <v>2586</v>
      </c>
      <c r="I318" t="s">
        <v>2377</v>
      </c>
      <c r="J318">
        <v>75</v>
      </c>
      <c r="K318" s="9">
        <f t="shared" si="8"/>
        <v>44771</v>
      </c>
      <c r="L318">
        <f t="shared" si="9"/>
        <v>1027717</v>
      </c>
    </row>
    <row r="319" spans="1:12">
      <c r="A319">
        <v>193</v>
      </c>
      <c r="B319">
        <v>273</v>
      </c>
      <c r="C319">
        <v>1</v>
      </c>
      <c r="D319" t="s">
        <v>2387</v>
      </c>
      <c r="E319" s="7">
        <v>186480.07</v>
      </c>
      <c r="F319" s="7">
        <v>10.43</v>
      </c>
      <c r="G319">
        <v>170</v>
      </c>
      <c r="H319" t="s">
        <v>2587</v>
      </c>
      <c r="I319" t="s">
        <v>2377</v>
      </c>
      <c r="J319">
        <v>0</v>
      </c>
      <c r="K319" s="9">
        <f t="shared" si="8"/>
        <v>45404</v>
      </c>
      <c r="L319">
        <f t="shared" si="9"/>
        <v>18648007</v>
      </c>
    </row>
    <row r="320" spans="1:12">
      <c r="A320">
        <v>194</v>
      </c>
      <c r="B320">
        <v>537</v>
      </c>
      <c r="C320">
        <v>6</v>
      </c>
      <c r="D320" t="s">
        <v>2379</v>
      </c>
      <c r="E320" s="7">
        <v>7595.42</v>
      </c>
      <c r="F320" s="7">
        <v>7.56</v>
      </c>
      <c r="G320">
        <v>35</v>
      </c>
      <c r="H320" t="s">
        <v>2588</v>
      </c>
      <c r="I320" t="s">
        <v>2393</v>
      </c>
      <c r="J320">
        <v>334</v>
      </c>
      <c r="K320" s="9">
        <f t="shared" si="8"/>
        <v>43835</v>
      </c>
      <c r="L320">
        <f t="shared" si="9"/>
        <v>759542</v>
      </c>
    </row>
    <row r="321" spans="1:12">
      <c r="A321">
        <v>195</v>
      </c>
      <c r="B321">
        <v>735</v>
      </c>
      <c r="C321">
        <v>7</v>
      </c>
      <c r="D321" t="s">
        <v>2379</v>
      </c>
      <c r="E321" s="7">
        <v>6237.09</v>
      </c>
      <c r="F321" s="7">
        <v>18.12</v>
      </c>
      <c r="G321">
        <v>57</v>
      </c>
      <c r="H321" t="s">
        <v>2589</v>
      </c>
      <c r="I321" t="s">
        <v>2377</v>
      </c>
      <c r="J321">
        <v>0</v>
      </c>
      <c r="K321" s="9">
        <f t="shared" si="8"/>
        <v>44502</v>
      </c>
      <c r="L321">
        <f t="shared" si="9"/>
        <v>623709</v>
      </c>
    </row>
    <row r="322" spans="1:12">
      <c r="A322">
        <v>196</v>
      </c>
      <c r="B322">
        <v>368</v>
      </c>
      <c r="C322">
        <v>1</v>
      </c>
      <c r="D322" t="s">
        <v>2387</v>
      </c>
      <c r="E322" s="7">
        <v>190588.34</v>
      </c>
      <c r="F322" s="7">
        <v>14.87</v>
      </c>
      <c r="G322">
        <v>293</v>
      </c>
      <c r="H322" t="s">
        <v>1303</v>
      </c>
      <c r="I322" t="s">
        <v>2377</v>
      </c>
      <c r="J322">
        <v>0</v>
      </c>
      <c r="K322" s="9">
        <f t="shared" si="8"/>
        <v>45058</v>
      </c>
      <c r="L322">
        <f t="shared" si="9"/>
        <v>19058834</v>
      </c>
    </row>
    <row r="323" spans="1:12">
      <c r="A323">
        <v>197</v>
      </c>
      <c r="B323">
        <v>984</v>
      </c>
      <c r="C323">
        <v>1</v>
      </c>
      <c r="D323" t="s">
        <v>2379</v>
      </c>
      <c r="E323" s="7">
        <v>1167.95</v>
      </c>
      <c r="F323" s="7">
        <v>9.22</v>
      </c>
      <c r="G323">
        <v>36</v>
      </c>
      <c r="H323" t="s">
        <v>2054</v>
      </c>
      <c r="I323" t="s">
        <v>2383</v>
      </c>
      <c r="J323">
        <v>0</v>
      </c>
      <c r="K323" s="9">
        <f t="shared" ref="K323:K386" si="10">DATEVALUE(LEFT(H323,10))</f>
        <v>44189</v>
      </c>
      <c r="L323">
        <f t="shared" ref="L323:L386" si="11">_xlfn.NUMBERVALUE(E323,".",",")</f>
        <v>116795</v>
      </c>
    </row>
    <row r="324" spans="1:12">
      <c r="A324">
        <v>198</v>
      </c>
      <c r="B324">
        <v>938</v>
      </c>
      <c r="C324">
        <v>7</v>
      </c>
      <c r="D324" t="s">
        <v>2387</v>
      </c>
      <c r="E324" s="7">
        <v>57263.66</v>
      </c>
      <c r="F324" s="7">
        <v>10.15</v>
      </c>
      <c r="G324">
        <v>227</v>
      </c>
      <c r="H324" t="s">
        <v>2590</v>
      </c>
      <c r="I324" t="s">
        <v>2393</v>
      </c>
      <c r="J324">
        <v>90</v>
      </c>
      <c r="K324" s="9">
        <f t="shared" si="10"/>
        <v>45816</v>
      </c>
      <c r="L324">
        <f t="shared" si="11"/>
        <v>5726366</v>
      </c>
    </row>
    <row r="325" spans="1:12">
      <c r="A325">
        <v>199</v>
      </c>
      <c r="B325">
        <v>205</v>
      </c>
      <c r="C325">
        <v>3</v>
      </c>
      <c r="D325" t="s">
        <v>2387</v>
      </c>
      <c r="E325" s="7">
        <v>92571.67</v>
      </c>
      <c r="F325" s="7">
        <v>9.09</v>
      </c>
      <c r="G325">
        <v>342</v>
      </c>
      <c r="H325" t="s">
        <v>2591</v>
      </c>
      <c r="I325" t="s">
        <v>2377</v>
      </c>
      <c r="J325">
        <v>0</v>
      </c>
      <c r="K325" s="9">
        <f t="shared" si="10"/>
        <v>44830</v>
      </c>
      <c r="L325">
        <f t="shared" si="11"/>
        <v>9257167</v>
      </c>
    </row>
    <row r="326" spans="1:12">
      <c r="A326">
        <v>200</v>
      </c>
      <c r="B326">
        <v>641</v>
      </c>
      <c r="C326">
        <v>1</v>
      </c>
      <c r="D326" t="s">
        <v>2390</v>
      </c>
      <c r="E326" s="7">
        <v>35107.93</v>
      </c>
      <c r="F326" s="7">
        <v>20.3</v>
      </c>
      <c r="G326">
        <v>79</v>
      </c>
      <c r="H326" t="s">
        <v>2592</v>
      </c>
      <c r="I326" t="s">
        <v>2383</v>
      </c>
      <c r="J326">
        <v>0</v>
      </c>
      <c r="K326" s="9">
        <f t="shared" si="10"/>
        <v>44624</v>
      </c>
      <c r="L326">
        <f t="shared" si="11"/>
        <v>3510793</v>
      </c>
    </row>
    <row r="327" spans="1:12">
      <c r="A327">
        <v>201</v>
      </c>
      <c r="B327">
        <v>569</v>
      </c>
      <c r="C327">
        <v>3</v>
      </c>
      <c r="D327" t="s">
        <v>2379</v>
      </c>
      <c r="E327" s="7">
        <v>1521.84</v>
      </c>
      <c r="F327" s="7">
        <v>6.94</v>
      </c>
      <c r="G327">
        <v>32</v>
      </c>
      <c r="H327" t="s">
        <v>2593</v>
      </c>
      <c r="I327" t="s">
        <v>2377</v>
      </c>
      <c r="J327">
        <v>0</v>
      </c>
      <c r="K327" s="9">
        <f t="shared" si="10"/>
        <v>44631</v>
      </c>
      <c r="L327">
        <f t="shared" si="11"/>
        <v>152184</v>
      </c>
    </row>
    <row r="328" spans="1:12">
      <c r="A328">
        <v>202</v>
      </c>
      <c r="B328">
        <v>828</v>
      </c>
      <c r="C328">
        <v>4</v>
      </c>
      <c r="D328" t="s">
        <v>2385</v>
      </c>
      <c r="E328" s="7">
        <v>5699.16</v>
      </c>
      <c r="F328" s="7">
        <v>9.48</v>
      </c>
      <c r="G328">
        <v>30</v>
      </c>
      <c r="H328" t="s">
        <v>2594</v>
      </c>
      <c r="I328" t="s">
        <v>2377</v>
      </c>
      <c r="J328">
        <v>0</v>
      </c>
      <c r="K328" s="9">
        <f t="shared" si="10"/>
        <v>45358</v>
      </c>
      <c r="L328">
        <f t="shared" si="11"/>
        <v>569916</v>
      </c>
    </row>
    <row r="329" spans="1:12">
      <c r="A329">
        <v>203</v>
      </c>
      <c r="B329">
        <v>819</v>
      </c>
      <c r="C329">
        <v>2</v>
      </c>
      <c r="D329" t="s">
        <v>2379</v>
      </c>
      <c r="E329" s="7">
        <v>7518.82</v>
      </c>
      <c r="F329" s="7">
        <v>21.36</v>
      </c>
      <c r="G329">
        <v>52</v>
      </c>
      <c r="H329" t="s">
        <v>2595</v>
      </c>
      <c r="I329" t="s">
        <v>2377</v>
      </c>
      <c r="J329">
        <v>0</v>
      </c>
      <c r="K329" s="9">
        <f t="shared" si="10"/>
        <v>43988</v>
      </c>
      <c r="L329">
        <f t="shared" si="11"/>
        <v>751882</v>
      </c>
    </row>
    <row r="330" spans="1:12">
      <c r="A330">
        <v>204</v>
      </c>
      <c r="B330">
        <v>619</v>
      </c>
      <c r="C330">
        <v>4</v>
      </c>
      <c r="D330" t="s">
        <v>2390</v>
      </c>
      <c r="E330" s="7">
        <v>19060.86</v>
      </c>
      <c r="F330" s="7">
        <v>13.02</v>
      </c>
      <c r="G330">
        <v>80</v>
      </c>
      <c r="H330" t="s">
        <v>2596</v>
      </c>
      <c r="I330" t="s">
        <v>2383</v>
      </c>
      <c r="J330">
        <v>0</v>
      </c>
      <c r="K330" s="9">
        <f t="shared" si="10"/>
        <v>45122</v>
      </c>
      <c r="L330">
        <f t="shared" si="11"/>
        <v>1906086</v>
      </c>
    </row>
    <row r="331" spans="1:12">
      <c r="A331">
        <v>205</v>
      </c>
      <c r="B331">
        <v>378</v>
      </c>
      <c r="C331">
        <v>3</v>
      </c>
      <c r="D331" t="s">
        <v>2379</v>
      </c>
      <c r="E331" s="7">
        <v>3350.79</v>
      </c>
      <c r="F331" s="7">
        <v>14.57</v>
      </c>
      <c r="G331">
        <v>34</v>
      </c>
      <c r="H331" t="s">
        <v>2597</v>
      </c>
      <c r="I331" t="s">
        <v>2377</v>
      </c>
      <c r="J331">
        <v>0</v>
      </c>
      <c r="K331" s="9">
        <f t="shared" si="10"/>
        <v>45239</v>
      </c>
      <c r="L331">
        <f t="shared" si="11"/>
        <v>335079</v>
      </c>
    </row>
    <row r="332" spans="1:12">
      <c r="A332">
        <v>206</v>
      </c>
      <c r="B332">
        <v>828</v>
      </c>
      <c r="C332">
        <v>4</v>
      </c>
      <c r="D332" t="s">
        <v>2387</v>
      </c>
      <c r="E332" s="7">
        <v>156318.47</v>
      </c>
      <c r="F332" s="7">
        <v>8.28</v>
      </c>
      <c r="G332">
        <v>145</v>
      </c>
      <c r="H332" t="s">
        <v>2598</v>
      </c>
      <c r="I332" t="s">
        <v>2383</v>
      </c>
      <c r="J332">
        <v>0</v>
      </c>
      <c r="K332" s="9">
        <f t="shared" si="10"/>
        <v>43833</v>
      </c>
      <c r="L332">
        <f t="shared" si="11"/>
        <v>15631847</v>
      </c>
    </row>
    <row r="333" spans="1:12">
      <c r="A333">
        <v>207</v>
      </c>
      <c r="B333">
        <v>763</v>
      </c>
      <c r="C333">
        <v>3</v>
      </c>
      <c r="D333" t="s">
        <v>2390</v>
      </c>
      <c r="E333" s="7">
        <v>13432.48</v>
      </c>
      <c r="F333" s="7">
        <v>17.13</v>
      </c>
      <c r="G333">
        <v>70</v>
      </c>
      <c r="H333" t="s">
        <v>1902</v>
      </c>
      <c r="I333" t="s">
        <v>2393</v>
      </c>
      <c r="J333">
        <v>205</v>
      </c>
      <c r="K333" s="9">
        <f t="shared" si="10"/>
        <v>45626</v>
      </c>
      <c r="L333">
        <f t="shared" si="11"/>
        <v>1343248</v>
      </c>
    </row>
    <row r="334" spans="1:12">
      <c r="A334">
        <v>208</v>
      </c>
      <c r="B334">
        <v>547</v>
      </c>
      <c r="C334">
        <v>5</v>
      </c>
      <c r="D334" t="s">
        <v>2387</v>
      </c>
      <c r="E334" s="7">
        <v>172392.44</v>
      </c>
      <c r="F334" s="7">
        <v>12.26</v>
      </c>
      <c r="G334">
        <v>211</v>
      </c>
      <c r="H334" t="s">
        <v>1072</v>
      </c>
      <c r="I334" t="s">
        <v>2377</v>
      </c>
      <c r="J334">
        <v>16</v>
      </c>
      <c r="K334" s="9">
        <f t="shared" si="10"/>
        <v>45006</v>
      </c>
      <c r="L334">
        <f t="shared" si="11"/>
        <v>17239244</v>
      </c>
    </row>
    <row r="335" spans="1:12">
      <c r="A335">
        <v>209</v>
      </c>
      <c r="B335">
        <v>286</v>
      </c>
      <c r="C335">
        <v>7</v>
      </c>
      <c r="D335" t="s">
        <v>2387</v>
      </c>
      <c r="E335" s="7">
        <v>61820.3</v>
      </c>
      <c r="F335" s="7">
        <v>21.4</v>
      </c>
      <c r="G335">
        <v>212</v>
      </c>
      <c r="H335" t="s">
        <v>2452</v>
      </c>
      <c r="I335" t="s">
        <v>2393</v>
      </c>
      <c r="J335">
        <v>138</v>
      </c>
      <c r="K335" s="9">
        <f t="shared" si="10"/>
        <v>45697</v>
      </c>
      <c r="L335">
        <f t="shared" si="11"/>
        <v>618203</v>
      </c>
    </row>
    <row r="336" spans="1:12">
      <c r="A336">
        <v>210</v>
      </c>
      <c r="B336">
        <v>888</v>
      </c>
      <c r="C336">
        <v>7</v>
      </c>
      <c r="D336" t="s">
        <v>2390</v>
      </c>
      <c r="E336" s="7">
        <v>26328.41</v>
      </c>
      <c r="F336" s="7">
        <v>21.38</v>
      </c>
      <c r="G336">
        <v>27</v>
      </c>
      <c r="H336" t="s">
        <v>1432</v>
      </c>
      <c r="I336" t="s">
        <v>2383</v>
      </c>
      <c r="J336">
        <v>0</v>
      </c>
      <c r="K336" s="9">
        <f t="shared" si="10"/>
        <v>45492</v>
      </c>
      <c r="L336">
        <f t="shared" si="11"/>
        <v>2632841</v>
      </c>
    </row>
    <row r="337" spans="1:12">
      <c r="A337">
        <v>211</v>
      </c>
      <c r="B337">
        <v>116</v>
      </c>
      <c r="C337">
        <v>4</v>
      </c>
      <c r="D337" t="s">
        <v>2376</v>
      </c>
      <c r="E337" s="7">
        <v>29403.09</v>
      </c>
      <c r="F337" s="7">
        <v>19.26</v>
      </c>
      <c r="G337">
        <v>18</v>
      </c>
      <c r="H337" t="s">
        <v>2599</v>
      </c>
      <c r="I337" t="s">
        <v>2377</v>
      </c>
      <c r="J337">
        <v>0</v>
      </c>
      <c r="K337" s="9">
        <f t="shared" si="10"/>
        <v>44734</v>
      </c>
      <c r="L337">
        <f t="shared" si="11"/>
        <v>2940309</v>
      </c>
    </row>
    <row r="338" spans="1:12">
      <c r="A338">
        <v>212</v>
      </c>
      <c r="B338">
        <v>564</v>
      </c>
      <c r="C338">
        <v>6</v>
      </c>
      <c r="D338" t="s">
        <v>2390</v>
      </c>
      <c r="E338" s="7">
        <v>25626.88</v>
      </c>
      <c r="F338" s="7">
        <v>7.53</v>
      </c>
      <c r="G338">
        <v>81</v>
      </c>
      <c r="H338" t="s">
        <v>2600</v>
      </c>
      <c r="I338" t="s">
        <v>2377</v>
      </c>
      <c r="J338">
        <v>0</v>
      </c>
      <c r="K338" s="9">
        <f t="shared" si="10"/>
        <v>45323</v>
      </c>
      <c r="L338">
        <f t="shared" si="11"/>
        <v>2562688</v>
      </c>
    </row>
    <row r="339" spans="1:12">
      <c r="A339">
        <v>213</v>
      </c>
      <c r="B339">
        <v>113</v>
      </c>
      <c r="C339">
        <v>3</v>
      </c>
      <c r="D339" t="s">
        <v>2387</v>
      </c>
      <c r="E339" s="7">
        <v>168138.77</v>
      </c>
      <c r="F339" s="7">
        <v>7.68</v>
      </c>
      <c r="G339">
        <v>238</v>
      </c>
      <c r="H339" t="s">
        <v>2601</v>
      </c>
      <c r="I339" t="s">
        <v>2383</v>
      </c>
      <c r="J339">
        <v>0</v>
      </c>
      <c r="K339" s="9">
        <f t="shared" si="10"/>
        <v>45700</v>
      </c>
      <c r="L339">
        <f t="shared" si="11"/>
        <v>16813877</v>
      </c>
    </row>
    <row r="340" spans="1:12">
      <c r="A340">
        <v>214</v>
      </c>
      <c r="B340">
        <v>940</v>
      </c>
      <c r="C340">
        <v>3</v>
      </c>
      <c r="D340" t="s">
        <v>2387</v>
      </c>
      <c r="E340" s="7">
        <v>111158.27</v>
      </c>
      <c r="F340" s="7">
        <v>18.13</v>
      </c>
      <c r="G340">
        <v>203</v>
      </c>
      <c r="H340" t="s">
        <v>2450</v>
      </c>
      <c r="I340" t="s">
        <v>2383</v>
      </c>
      <c r="J340">
        <v>0</v>
      </c>
      <c r="K340" s="9">
        <f t="shared" si="10"/>
        <v>45552</v>
      </c>
      <c r="L340">
        <f t="shared" si="11"/>
        <v>11115827</v>
      </c>
    </row>
    <row r="341" spans="1:12">
      <c r="A341">
        <v>215</v>
      </c>
      <c r="B341">
        <v>208</v>
      </c>
      <c r="C341">
        <v>7</v>
      </c>
      <c r="D341" t="s">
        <v>2379</v>
      </c>
      <c r="E341" s="7">
        <v>14637.47</v>
      </c>
      <c r="F341" s="7">
        <v>12.52</v>
      </c>
      <c r="G341">
        <v>53</v>
      </c>
      <c r="H341" t="s">
        <v>2602</v>
      </c>
      <c r="I341" t="s">
        <v>2377</v>
      </c>
      <c r="J341">
        <v>45</v>
      </c>
      <c r="K341" s="9">
        <f t="shared" si="10"/>
        <v>44364</v>
      </c>
      <c r="L341">
        <f t="shared" si="11"/>
        <v>1463747</v>
      </c>
    </row>
    <row r="342" spans="1:12">
      <c r="A342">
        <v>216</v>
      </c>
      <c r="B342">
        <v>744</v>
      </c>
      <c r="C342">
        <v>4</v>
      </c>
      <c r="D342" t="s">
        <v>2379</v>
      </c>
      <c r="E342" s="7">
        <v>9175.25</v>
      </c>
      <c r="F342" s="7">
        <v>14.09</v>
      </c>
      <c r="G342">
        <v>8</v>
      </c>
      <c r="H342" t="s">
        <v>853</v>
      </c>
      <c r="I342" t="s">
        <v>2377</v>
      </c>
      <c r="J342">
        <v>0</v>
      </c>
      <c r="K342" s="9">
        <f t="shared" si="10"/>
        <v>45253</v>
      </c>
      <c r="L342">
        <f t="shared" si="11"/>
        <v>917525</v>
      </c>
    </row>
    <row r="343" spans="1:12">
      <c r="A343">
        <v>217</v>
      </c>
      <c r="B343">
        <v>290</v>
      </c>
      <c r="C343">
        <v>7</v>
      </c>
      <c r="D343" t="s">
        <v>2385</v>
      </c>
      <c r="E343" s="7">
        <v>742.71</v>
      </c>
      <c r="F343" s="7">
        <v>8.68</v>
      </c>
      <c r="G343">
        <v>7</v>
      </c>
      <c r="H343" t="s">
        <v>1902</v>
      </c>
      <c r="I343" t="s">
        <v>2377</v>
      </c>
      <c r="J343">
        <v>0</v>
      </c>
      <c r="K343" s="9">
        <f t="shared" si="10"/>
        <v>45626</v>
      </c>
      <c r="L343">
        <f t="shared" si="11"/>
        <v>74271</v>
      </c>
    </row>
    <row r="344" spans="1:12">
      <c r="A344">
        <v>218</v>
      </c>
      <c r="B344">
        <v>282</v>
      </c>
      <c r="C344">
        <v>6</v>
      </c>
      <c r="D344" t="s">
        <v>2387</v>
      </c>
      <c r="E344" s="7">
        <v>113319.92</v>
      </c>
      <c r="F344" s="7">
        <v>16.84</v>
      </c>
      <c r="G344">
        <v>319</v>
      </c>
      <c r="H344" t="s">
        <v>2603</v>
      </c>
      <c r="I344" t="s">
        <v>2377</v>
      </c>
      <c r="J344">
        <v>48</v>
      </c>
      <c r="K344" s="9">
        <f t="shared" si="10"/>
        <v>44346</v>
      </c>
      <c r="L344">
        <f t="shared" si="11"/>
        <v>11331992</v>
      </c>
    </row>
    <row r="345" spans="1:12">
      <c r="A345">
        <v>219</v>
      </c>
      <c r="B345">
        <v>163</v>
      </c>
      <c r="C345">
        <v>1</v>
      </c>
      <c r="D345" t="s">
        <v>2385</v>
      </c>
      <c r="E345" s="7">
        <v>2635.27</v>
      </c>
      <c r="F345" s="7">
        <v>19.43</v>
      </c>
      <c r="G345">
        <v>11</v>
      </c>
      <c r="H345" t="s">
        <v>2604</v>
      </c>
      <c r="I345" t="s">
        <v>2377</v>
      </c>
      <c r="J345">
        <v>0</v>
      </c>
      <c r="K345" s="9">
        <f t="shared" si="10"/>
        <v>45312</v>
      </c>
      <c r="L345">
        <f t="shared" si="11"/>
        <v>263527</v>
      </c>
    </row>
    <row r="346" spans="1:12">
      <c r="A346">
        <v>220</v>
      </c>
      <c r="B346">
        <v>687</v>
      </c>
      <c r="C346">
        <v>3</v>
      </c>
      <c r="D346" t="s">
        <v>2376</v>
      </c>
      <c r="E346" s="7">
        <v>23700.24</v>
      </c>
      <c r="F346" s="7">
        <v>6.66</v>
      </c>
      <c r="G346">
        <v>105</v>
      </c>
      <c r="H346" t="s">
        <v>2605</v>
      </c>
      <c r="I346" t="s">
        <v>2377</v>
      </c>
      <c r="J346">
        <v>0</v>
      </c>
      <c r="K346" s="9">
        <f t="shared" si="10"/>
        <v>45015</v>
      </c>
      <c r="L346">
        <f t="shared" si="11"/>
        <v>2370024</v>
      </c>
    </row>
    <row r="347" spans="1:12">
      <c r="A347">
        <v>221</v>
      </c>
      <c r="B347">
        <v>434</v>
      </c>
      <c r="C347">
        <v>1</v>
      </c>
      <c r="D347" t="s">
        <v>2390</v>
      </c>
      <c r="E347" s="7">
        <v>39656.74</v>
      </c>
      <c r="F347" s="7">
        <v>11.02</v>
      </c>
      <c r="G347">
        <v>69</v>
      </c>
      <c r="H347" t="s">
        <v>2414</v>
      </c>
      <c r="I347" t="s">
        <v>2393</v>
      </c>
      <c r="J347">
        <v>136</v>
      </c>
      <c r="K347" s="9">
        <f t="shared" si="10"/>
        <v>45706</v>
      </c>
      <c r="L347">
        <f t="shared" si="11"/>
        <v>3965674</v>
      </c>
    </row>
    <row r="348" spans="1:12">
      <c r="A348">
        <v>222</v>
      </c>
      <c r="B348">
        <v>311</v>
      </c>
      <c r="C348">
        <v>3</v>
      </c>
      <c r="D348" t="s">
        <v>2390</v>
      </c>
      <c r="E348" s="7">
        <v>38792.43</v>
      </c>
      <c r="F348" s="7">
        <v>11.4</v>
      </c>
      <c r="G348">
        <v>41</v>
      </c>
      <c r="H348" t="s">
        <v>2606</v>
      </c>
      <c r="I348" t="s">
        <v>2377</v>
      </c>
      <c r="J348">
        <v>0</v>
      </c>
      <c r="K348" s="9">
        <f t="shared" si="10"/>
        <v>45031</v>
      </c>
      <c r="L348">
        <f t="shared" si="11"/>
        <v>3879243</v>
      </c>
    </row>
    <row r="349" spans="1:12">
      <c r="A349">
        <v>223</v>
      </c>
      <c r="B349">
        <v>577</v>
      </c>
      <c r="C349">
        <v>2</v>
      </c>
      <c r="D349" t="s">
        <v>2390</v>
      </c>
      <c r="E349" s="7">
        <v>31012.87</v>
      </c>
      <c r="F349" s="7">
        <v>20.38</v>
      </c>
      <c r="G349">
        <v>57</v>
      </c>
      <c r="H349" t="s">
        <v>1607</v>
      </c>
      <c r="I349" t="s">
        <v>2393</v>
      </c>
      <c r="J349">
        <v>276</v>
      </c>
      <c r="K349" s="9">
        <f t="shared" si="10"/>
        <v>44859</v>
      </c>
      <c r="L349">
        <f t="shared" si="11"/>
        <v>3101287</v>
      </c>
    </row>
    <row r="350" spans="1:12">
      <c r="A350">
        <v>224</v>
      </c>
      <c r="B350">
        <v>851</v>
      </c>
      <c r="C350">
        <v>4</v>
      </c>
      <c r="D350" t="s">
        <v>2387</v>
      </c>
      <c r="E350" s="7">
        <v>62414.31</v>
      </c>
      <c r="F350" s="7">
        <v>7.34</v>
      </c>
      <c r="G350">
        <v>358</v>
      </c>
      <c r="H350" t="s">
        <v>2607</v>
      </c>
      <c r="I350" t="s">
        <v>2377</v>
      </c>
      <c r="J350">
        <v>0</v>
      </c>
      <c r="K350" s="9">
        <f t="shared" si="10"/>
        <v>45749</v>
      </c>
      <c r="L350">
        <f t="shared" si="11"/>
        <v>6241431</v>
      </c>
    </row>
    <row r="351" spans="1:12">
      <c r="A351">
        <v>225</v>
      </c>
      <c r="B351">
        <v>839</v>
      </c>
      <c r="C351">
        <v>4</v>
      </c>
      <c r="D351" t="s">
        <v>2376</v>
      </c>
      <c r="E351" s="7">
        <v>78313.07</v>
      </c>
      <c r="F351" s="7">
        <v>8.48</v>
      </c>
      <c r="G351">
        <v>77</v>
      </c>
      <c r="H351" t="s">
        <v>2608</v>
      </c>
      <c r="I351" t="s">
        <v>2383</v>
      </c>
      <c r="J351">
        <v>0</v>
      </c>
      <c r="K351" s="9">
        <f t="shared" si="10"/>
        <v>43913</v>
      </c>
      <c r="L351">
        <f t="shared" si="11"/>
        <v>7831307</v>
      </c>
    </row>
    <row r="352" spans="1:12">
      <c r="A352">
        <v>226</v>
      </c>
      <c r="B352">
        <v>473</v>
      </c>
      <c r="C352">
        <v>5</v>
      </c>
      <c r="D352" t="s">
        <v>2390</v>
      </c>
      <c r="E352" s="7">
        <v>13984.93</v>
      </c>
      <c r="F352" s="7">
        <v>8.83</v>
      </c>
      <c r="G352">
        <v>52</v>
      </c>
      <c r="H352" t="s">
        <v>2456</v>
      </c>
      <c r="I352" t="s">
        <v>2393</v>
      </c>
      <c r="J352">
        <v>198</v>
      </c>
      <c r="K352" s="9">
        <f t="shared" si="10"/>
        <v>44505</v>
      </c>
      <c r="L352">
        <f t="shared" si="11"/>
        <v>1398493</v>
      </c>
    </row>
    <row r="353" spans="1:12">
      <c r="A353">
        <v>227</v>
      </c>
      <c r="B353">
        <v>264</v>
      </c>
      <c r="C353">
        <v>3</v>
      </c>
      <c r="D353" t="s">
        <v>2387</v>
      </c>
      <c r="E353" s="7">
        <v>162142.34</v>
      </c>
      <c r="F353" s="7">
        <v>5.04</v>
      </c>
      <c r="G353">
        <v>221</v>
      </c>
      <c r="H353" t="s">
        <v>2609</v>
      </c>
      <c r="I353" t="s">
        <v>2377</v>
      </c>
      <c r="J353">
        <v>0</v>
      </c>
      <c r="K353" s="9">
        <f t="shared" si="10"/>
        <v>44035</v>
      </c>
      <c r="L353">
        <f t="shared" si="11"/>
        <v>16214234</v>
      </c>
    </row>
    <row r="354" spans="1:12">
      <c r="A354">
        <v>228</v>
      </c>
      <c r="B354">
        <v>285</v>
      </c>
      <c r="C354">
        <v>6</v>
      </c>
      <c r="D354" t="s">
        <v>2379</v>
      </c>
      <c r="E354" s="7">
        <v>2008.49</v>
      </c>
      <c r="F354" s="7">
        <v>13.36</v>
      </c>
      <c r="G354">
        <v>46</v>
      </c>
      <c r="H354" t="s">
        <v>2610</v>
      </c>
      <c r="I354" t="s">
        <v>2377</v>
      </c>
      <c r="J354">
        <v>0</v>
      </c>
      <c r="K354" s="9">
        <f t="shared" si="10"/>
        <v>45617</v>
      </c>
      <c r="L354">
        <f t="shared" si="11"/>
        <v>200849</v>
      </c>
    </row>
    <row r="355" spans="1:12">
      <c r="A355">
        <v>229</v>
      </c>
      <c r="B355">
        <v>149</v>
      </c>
      <c r="C355">
        <v>1</v>
      </c>
      <c r="D355" t="s">
        <v>2387</v>
      </c>
      <c r="E355" s="7">
        <v>111623.82</v>
      </c>
      <c r="F355" s="7">
        <v>14.88</v>
      </c>
      <c r="G355">
        <v>336</v>
      </c>
      <c r="H355" t="s">
        <v>2611</v>
      </c>
      <c r="I355" t="s">
        <v>2393</v>
      </c>
      <c r="J355">
        <v>143</v>
      </c>
      <c r="K355" s="9">
        <f t="shared" si="10"/>
        <v>45114</v>
      </c>
      <c r="L355">
        <f t="shared" si="11"/>
        <v>11162382</v>
      </c>
    </row>
    <row r="356" spans="1:12">
      <c r="A356">
        <v>230</v>
      </c>
      <c r="B356">
        <v>844</v>
      </c>
      <c r="C356">
        <v>1</v>
      </c>
      <c r="D356" t="s">
        <v>2390</v>
      </c>
      <c r="E356" s="7">
        <v>14259.48</v>
      </c>
      <c r="F356" s="7">
        <v>9.09</v>
      </c>
      <c r="G356">
        <v>70</v>
      </c>
      <c r="H356" t="s">
        <v>2612</v>
      </c>
      <c r="I356" t="s">
        <v>2377</v>
      </c>
      <c r="J356">
        <v>0</v>
      </c>
      <c r="K356" s="9">
        <f t="shared" si="10"/>
        <v>44705</v>
      </c>
      <c r="L356">
        <f t="shared" si="11"/>
        <v>1425948</v>
      </c>
    </row>
    <row r="357" spans="1:12">
      <c r="A357">
        <v>231</v>
      </c>
      <c r="B357">
        <v>939</v>
      </c>
      <c r="C357">
        <v>1</v>
      </c>
      <c r="D357" t="s">
        <v>2376</v>
      </c>
      <c r="E357" s="7">
        <v>85827.36</v>
      </c>
      <c r="F357" s="7">
        <v>9.07</v>
      </c>
      <c r="G357">
        <v>119</v>
      </c>
      <c r="H357" t="s">
        <v>1355</v>
      </c>
      <c r="I357" t="s">
        <v>2377</v>
      </c>
      <c r="J357">
        <v>0</v>
      </c>
      <c r="K357" s="9">
        <f t="shared" si="10"/>
        <v>44125</v>
      </c>
      <c r="L357">
        <f t="shared" si="11"/>
        <v>8582736</v>
      </c>
    </row>
    <row r="358" spans="1:12">
      <c r="A358">
        <v>232</v>
      </c>
      <c r="B358">
        <v>350</v>
      </c>
      <c r="C358">
        <v>5</v>
      </c>
      <c r="D358" t="s">
        <v>2385</v>
      </c>
      <c r="E358" s="7">
        <v>2333.26</v>
      </c>
      <c r="F358" s="7">
        <v>6.61</v>
      </c>
      <c r="G358">
        <v>9</v>
      </c>
      <c r="H358" t="s">
        <v>2613</v>
      </c>
      <c r="I358" t="s">
        <v>2377</v>
      </c>
      <c r="J358">
        <v>0</v>
      </c>
      <c r="K358" s="9">
        <f t="shared" si="10"/>
        <v>44680</v>
      </c>
      <c r="L358">
        <f t="shared" si="11"/>
        <v>233326</v>
      </c>
    </row>
    <row r="359" spans="1:12">
      <c r="A359">
        <v>233</v>
      </c>
      <c r="B359">
        <v>362</v>
      </c>
      <c r="C359">
        <v>2</v>
      </c>
      <c r="D359" t="s">
        <v>2379</v>
      </c>
      <c r="E359" s="7">
        <v>6311.69</v>
      </c>
      <c r="F359" s="7">
        <v>21.58</v>
      </c>
      <c r="G359">
        <v>49</v>
      </c>
      <c r="H359" t="s">
        <v>2500</v>
      </c>
      <c r="I359" t="s">
        <v>2377</v>
      </c>
      <c r="J359">
        <v>48</v>
      </c>
      <c r="K359" s="9">
        <f t="shared" si="10"/>
        <v>45660</v>
      </c>
      <c r="L359">
        <f t="shared" si="11"/>
        <v>631169</v>
      </c>
    </row>
    <row r="360" spans="1:12">
      <c r="A360">
        <v>234</v>
      </c>
      <c r="B360">
        <v>944</v>
      </c>
      <c r="C360">
        <v>2</v>
      </c>
      <c r="D360" t="s">
        <v>2390</v>
      </c>
      <c r="E360" s="7">
        <v>15770.37</v>
      </c>
      <c r="F360" s="7">
        <v>14.3</v>
      </c>
      <c r="G360">
        <v>56</v>
      </c>
      <c r="H360" t="s">
        <v>2614</v>
      </c>
      <c r="I360" t="s">
        <v>2377</v>
      </c>
      <c r="J360">
        <v>0</v>
      </c>
      <c r="K360" s="9">
        <f t="shared" si="10"/>
        <v>45386</v>
      </c>
      <c r="L360">
        <f t="shared" si="11"/>
        <v>1577037</v>
      </c>
    </row>
    <row r="361" spans="1:12">
      <c r="A361">
        <v>235</v>
      </c>
      <c r="B361">
        <v>579</v>
      </c>
      <c r="C361">
        <v>4</v>
      </c>
      <c r="D361" t="s">
        <v>2376</v>
      </c>
      <c r="E361" s="7">
        <v>115093.36</v>
      </c>
      <c r="F361" s="7">
        <v>16.12</v>
      </c>
      <c r="G361">
        <v>15</v>
      </c>
      <c r="H361" t="s">
        <v>1058</v>
      </c>
      <c r="I361" t="s">
        <v>2377</v>
      </c>
      <c r="J361">
        <v>0</v>
      </c>
      <c r="K361" s="9">
        <f t="shared" si="10"/>
        <v>45259</v>
      </c>
      <c r="L361">
        <f t="shared" si="11"/>
        <v>11509336</v>
      </c>
    </row>
    <row r="362" spans="1:12">
      <c r="A362">
        <v>236</v>
      </c>
      <c r="B362">
        <v>604</v>
      </c>
      <c r="C362">
        <v>3</v>
      </c>
      <c r="D362" t="s">
        <v>2387</v>
      </c>
      <c r="E362" s="7">
        <v>151370.92</v>
      </c>
      <c r="F362" s="7">
        <v>13.4</v>
      </c>
      <c r="G362">
        <v>134</v>
      </c>
      <c r="H362" t="s">
        <v>260</v>
      </c>
      <c r="I362" t="s">
        <v>2377</v>
      </c>
      <c r="J362">
        <v>51</v>
      </c>
      <c r="K362" s="9">
        <f t="shared" si="10"/>
        <v>45469</v>
      </c>
      <c r="L362">
        <f t="shared" si="11"/>
        <v>15137092</v>
      </c>
    </row>
    <row r="363" spans="1:12">
      <c r="A363">
        <v>237</v>
      </c>
      <c r="B363">
        <v>590</v>
      </c>
      <c r="C363">
        <v>7</v>
      </c>
      <c r="D363" t="s">
        <v>2390</v>
      </c>
      <c r="E363" s="7">
        <v>19098.14</v>
      </c>
      <c r="F363" s="7">
        <v>5.83</v>
      </c>
      <c r="G363">
        <v>80</v>
      </c>
      <c r="H363" t="s">
        <v>2493</v>
      </c>
      <c r="I363" t="s">
        <v>2383</v>
      </c>
      <c r="J363">
        <v>0</v>
      </c>
      <c r="K363" s="9">
        <f t="shared" si="10"/>
        <v>44785</v>
      </c>
      <c r="L363">
        <f t="shared" si="11"/>
        <v>1909814</v>
      </c>
    </row>
    <row r="364" spans="1:12">
      <c r="A364">
        <v>238</v>
      </c>
      <c r="B364">
        <v>713</v>
      </c>
      <c r="C364">
        <v>4</v>
      </c>
      <c r="D364" t="s">
        <v>2390</v>
      </c>
      <c r="E364" s="7">
        <v>32867.8</v>
      </c>
      <c r="F364" s="7">
        <v>5.8</v>
      </c>
      <c r="G364">
        <v>65</v>
      </c>
      <c r="H364" t="s">
        <v>2615</v>
      </c>
      <c r="I364" t="s">
        <v>2383</v>
      </c>
      <c r="J364">
        <v>0</v>
      </c>
      <c r="K364" s="9">
        <f t="shared" si="10"/>
        <v>44102</v>
      </c>
      <c r="L364">
        <f t="shared" si="11"/>
        <v>328678</v>
      </c>
    </row>
    <row r="365" spans="1:12">
      <c r="A365">
        <v>239</v>
      </c>
      <c r="B365">
        <v>472</v>
      </c>
      <c r="C365">
        <v>7</v>
      </c>
      <c r="D365" t="s">
        <v>2385</v>
      </c>
      <c r="E365" s="7">
        <v>8422.95</v>
      </c>
      <c r="F365" s="7">
        <v>6.32</v>
      </c>
      <c r="G365">
        <v>9</v>
      </c>
      <c r="H365" t="s">
        <v>1217</v>
      </c>
      <c r="I365" t="s">
        <v>2377</v>
      </c>
      <c r="J365">
        <v>0</v>
      </c>
      <c r="K365" s="9">
        <f t="shared" si="10"/>
        <v>44267</v>
      </c>
      <c r="L365">
        <f t="shared" si="11"/>
        <v>842295</v>
      </c>
    </row>
    <row r="366" spans="1:12">
      <c r="A366">
        <v>240</v>
      </c>
      <c r="B366">
        <v>202</v>
      </c>
      <c r="C366">
        <v>2</v>
      </c>
      <c r="D366" t="s">
        <v>2390</v>
      </c>
      <c r="E366" s="7">
        <v>23435.12</v>
      </c>
      <c r="F366" s="7">
        <v>11.9</v>
      </c>
      <c r="G366">
        <v>26</v>
      </c>
      <c r="H366" t="s">
        <v>880</v>
      </c>
      <c r="I366" t="s">
        <v>2377</v>
      </c>
      <c r="J366">
        <v>0</v>
      </c>
      <c r="K366" s="9">
        <f t="shared" si="10"/>
        <v>44642</v>
      </c>
      <c r="L366">
        <f t="shared" si="11"/>
        <v>2343512</v>
      </c>
    </row>
    <row r="367" spans="1:12">
      <c r="A367">
        <v>241</v>
      </c>
      <c r="B367">
        <v>519</v>
      </c>
      <c r="C367">
        <v>3</v>
      </c>
      <c r="D367" t="s">
        <v>2376</v>
      </c>
      <c r="E367" s="7">
        <v>79617.78</v>
      </c>
      <c r="F367" s="7">
        <v>13.35</v>
      </c>
      <c r="G367">
        <v>107</v>
      </c>
      <c r="H367" t="s">
        <v>812</v>
      </c>
      <c r="I367" t="s">
        <v>2377</v>
      </c>
      <c r="J367">
        <v>26</v>
      </c>
      <c r="K367" s="9">
        <f t="shared" si="10"/>
        <v>45484</v>
      </c>
      <c r="L367">
        <f t="shared" si="11"/>
        <v>7961778</v>
      </c>
    </row>
    <row r="368" spans="1:12">
      <c r="A368">
        <v>242</v>
      </c>
      <c r="B368">
        <v>977</v>
      </c>
      <c r="C368">
        <v>1</v>
      </c>
      <c r="D368" t="s">
        <v>2379</v>
      </c>
      <c r="E368" s="7">
        <v>11215.11</v>
      </c>
      <c r="F368" s="7">
        <v>19.4</v>
      </c>
      <c r="G368">
        <v>43</v>
      </c>
      <c r="H368" t="s">
        <v>765</v>
      </c>
      <c r="I368" t="s">
        <v>2377</v>
      </c>
      <c r="J368">
        <v>0</v>
      </c>
      <c r="K368" s="9">
        <f t="shared" si="10"/>
        <v>44232</v>
      </c>
      <c r="L368">
        <f t="shared" si="11"/>
        <v>1121511</v>
      </c>
    </row>
    <row r="369" spans="1:12">
      <c r="A369">
        <v>243</v>
      </c>
      <c r="B369">
        <v>840</v>
      </c>
      <c r="C369">
        <v>3</v>
      </c>
      <c r="D369" t="s">
        <v>2376</v>
      </c>
      <c r="E369" s="7">
        <v>38182.87</v>
      </c>
      <c r="F369" s="7">
        <v>20.9</v>
      </c>
      <c r="G369">
        <v>88</v>
      </c>
      <c r="H369" t="s">
        <v>2616</v>
      </c>
      <c r="I369" t="s">
        <v>2377</v>
      </c>
      <c r="J369">
        <v>0</v>
      </c>
      <c r="K369" s="9">
        <f t="shared" si="10"/>
        <v>44945</v>
      </c>
      <c r="L369">
        <f t="shared" si="11"/>
        <v>3818287</v>
      </c>
    </row>
    <row r="370" spans="1:12">
      <c r="A370">
        <v>244</v>
      </c>
      <c r="B370">
        <v>72</v>
      </c>
      <c r="C370">
        <v>2</v>
      </c>
      <c r="D370" t="s">
        <v>2390</v>
      </c>
      <c r="E370" s="7">
        <v>32077.21</v>
      </c>
      <c r="F370" s="7">
        <v>11.15</v>
      </c>
      <c r="G370">
        <v>44</v>
      </c>
      <c r="H370" t="s">
        <v>2617</v>
      </c>
      <c r="I370" t="s">
        <v>2377</v>
      </c>
      <c r="J370">
        <v>0</v>
      </c>
      <c r="K370" s="9">
        <f t="shared" si="10"/>
        <v>43951</v>
      </c>
      <c r="L370">
        <f t="shared" si="11"/>
        <v>3207721</v>
      </c>
    </row>
    <row r="371" spans="1:12">
      <c r="A371">
        <v>245</v>
      </c>
      <c r="B371">
        <v>696</v>
      </c>
      <c r="C371">
        <v>2</v>
      </c>
      <c r="D371" t="s">
        <v>2379</v>
      </c>
      <c r="E371" s="7">
        <v>3583.85</v>
      </c>
      <c r="F371" s="7">
        <v>19.17</v>
      </c>
      <c r="G371">
        <v>53</v>
      </c>
      <c r="H371" t="s">
        <v>1671</v>
      </c>
      <c r="I371" t="s">
        <v>2383</v>
      </c>
      <c r="J371">
        <v>0</v>
      </c>
      <c r="K371" s="9">
        <f t="shared" si="10"/>
        <v>45519</v>
      </c>
      <c r="L371">
        <f t="shared" si="11"/>
        <v>358385</v>
      </c>
    </row>
    <row r="372" spans="1:12">
      <c r="A372">
        <v>246</v>
      </c>
      <c r="B372">
        <v>908</v>
      </c>
      <c r="C372">
        <v>3</v>
      </c>
      <c r="D372" t="s">
        <v>2390</v>
      </c>
      <c r="E372" s="7">
        <v>35537.05</v>
      </c>
      <c r="F372" s="7">
        <v>6.1</v>
      </c>
      <c r="G372">
        <v>70</v>
      </c>
      <c r="H372" t="s">
        <v>2618</v>
      </c>
      <c r="I372" t="s">
        <v>2383</v>
      </c>
      <c r="J372">
        <v>0</v>
      </c>
      <c r="K372" s="9">
        <f t="shared" si="10"/>
        <v>44471</v>
      </c>
      <c r="L372">
        <f t="shared" si="11"/>
        <v>3553705</v>
      </c>
    </row>
    <row r="373" spans="1:12">
      <c r="A373">
        <v>247</v>
      </c>
      <c r="B373">
        <v>738</v>
      </c>
      <c r="C373">
        <v>5</v>
      </c>
      <c r="D373" t="s">
        <v>2390</v>
      </c>
      <c r="E373" s="7">
        <v>17249.14</v>
      </c>
      <c r="F373" s="7">
        <v>6.99</v>
      </c>
      <c r="G373">
        <v>34</v>
      </c>
      <c r="H373" t="s">
        <v>2619</v>
      </c>
      <c r="I373" t="s">
        <v>2383</v>
      </c>
      <c r="J373">
        <v>0</v>
      </c>
      <c r="K373" s="9">
        <f t="shared" si="10"/>
        <v>44512</v>
      </c>
      <c r="L373">
        <f t="shared" si="11"/>
        <v>1724914</v>
      </c>
    </row>
    <row r="374" spans="1:12">
      <c r="A374">
        <v>248</v>
      </c>
      <c r="B374">
        <v>834</v>
      </c>
      <c r="C374">
        <v>2</v>
      </c>
      <c r="D374" t="s">
        <v>2379</v>
      </c>
      <c r="E374" s="7">
        <v>13146.39</v>
      </c>
      <c r="F374" s="7">
        <v>15.82</v>
      </c>
      <c r="G374">
        <v>44</v>
      </c>
      <c r="H374" t="s">
        <v>2620</v>
      </c>
      <c r="I374" t="s">
        <v>2377</v>
      </c>
      <c r="J374">
        <v>0</v>
      </c>
      <c r="K374" s="9">
        <f t="shared" si="10"/>
        <v>45517</v>
      </c>
      <c r="L374">
        <f t="shared" si="11"/>
        <v>1314639</v>
      </c>
    </row>
    <row r="375" spans="1:12">
      <c r="A375">
        <v>249</v>
      </c>
      <c r="B375">
        <v>443</v>
      </c>
      <c r="C375">
        <v>2</v>
      </c>
      <c r="D375" t="s">
        <v>2376</v>
      </c>
      <c r="E375" s="7">
        <v>107354.22</v>
      </c>
      <c r="F375" s="7">
        <v>20.54</v>
      </c>
      <c r="G375">
        <v>30</v>
      </c>
      <c r="H375" t="s">
        <v>2621</v>
      </c>
      <c r="I375" t="s">
        <v>2377</v>
      </c>
      <c r="J375">
        <v>20</v>
      </c>
      <c r="K375" s="9">
        <f t="shared" si="10"/>
        <v>44978</v>
      </c>
      <c r="L375">
        <f t="shared" si="11"/>
        <v>10735422</v>
      </c>
    </row>
    <row r="376" spans="1:12">
      <c r="A376">
        <v>250</v>
      </c>
      <c r="B376">
        <v>444</v>
      </c>
      <c r="C376">
        <v>6</v>
      </c>
      <c r="D376" t="s">
        <v>2387</v>
      </c>
      <c r="E376" s="7">
        <v>150083.09</v>
      </c>
      <c r="F376" s="7">
        <v>18.19</v>
      </c>
      <c r="G376">
        <v>340</v>
      </c>
      <c r="H376" t="s">
        <v>2622</v>
      </c>
      <c r="I376" t="s">
        <v>2377</v>
      </c>
      <c r="J376">
        <v>0</v>
      </c>
      <c r="K376" s="9">
        <f t="shared" si="10"/>
        <v>44341</v>
      </c>
      <c r="L376">
        <f t="shared" si="11"/>
        <v>15008309</v>
      </c>
    </row>
    <row r="377" spans="1:12">
      <c r="A377">
        <v>251</v>
      </c>
      <c r="B377">
        <v>185</v>
      </c>
      <c r="C377">
        <v>2</v>
      </c>
      <c r="D377" t="s">
        <v>2390</v>
      </c>
      <c r="E377" s="7">
        <v>21791.23</v>
      </c>
      <c r="F377" s="7">
        <v>16.7</v>
      </c>
      <c r="G377">
        <v>76</v>
      </c>
      <c r="H377" t="s">
        <v>2623</v>
      </c>
      <c r="I377" t="s">
        <v>2383</v>
      </c>
      <c r="J377">
        <v>0</v>
      </c>
      <c r="K377" s="9">
        <f t="shared" si="10"/>
        <v>44292</v>
      </c>
      <c r="L377">
        <f t="shared" si="11"/>
        <v>2179123</v>
      </c>
    </row>
    <row r="378" spans="1:12">
      <c r="A378">
        <v>252</v>
      </c>
      <c r="B378">
        <v>782</v>
      </c>
      <c r="C378">
        <v>3</v>
      </c>
      <c r="D378" t="s">
        <v>2390</v>
      </c>
      <c r="E378" s="7">
        <v>21052.6</v>
      </c>
      <c r="F378" s="7">
        <v>5.42</v>
      </c>
      <c r="G378">
        <v>41</v>
      </c>
      <c r="H378" t="s">
        <v>2548</v>
      </c>
      <c r="I378" t="s">
        <v>2377</v>
      </c>
      <c r="J378">
        <v>0</v>
      </c>
      <c r="K378" s="9">
        <f t="shared" si="10"/>
        <v>43942</v>
      </c>
      <c r="L378">
        <f t="shared" si="11"/>
        <v>210526</v>
      </c>
    </row>
    <row r="379" spans="1:12">
      <c r="A379">
        <v>253</v>
      </c>
      <c r="B379">
        <v>563</v>
      </c>
      <c r="C379">
        <v>1</v>
      </c>
      <c r="D379" t="s">
        <v>2379</v>
      </c>
      <c r="E379" s="7">
        <v>8176</v>
      </c>
      <c r="F379" s="7">
        <v>10.95</v>
      </c>
      <c r="G379">
        <v>47</v>
      </c>
      <c r="H379" t="s">
        <v>2624</v>
      </c>
      <c r="I379" t="s">
        <v>2377</v>
      </c>
      <c r="J379">
        <v>16</v>
      </c>
      <c r="K379" s="9">
        <f t="shared" si="10"/>
        <v>45326</v>
      </c>
      <c r="L379">
        <f t="shared" si="11"/>
        <v>8176</v>
      </c>
    </row>
    <row r="380" spans="1:12">
      <c r="A380">
        <v>254</v>
      </c>
      <c r="B380">
        <v>407</v>
      </c>
      <c r="C380">
        <v>7</v>
      </c>
      <c r="D380" t="s">
        <v>2385</v>
      </c>
      <c r="E380" s="7">
        <v>1409.7</v>
      </c>
      <c r="F380" s="7">
        <v>15.09</v>
      </c>
      <c r="G380">
        <v>32</v>
      </c>
      <c r="H380" t="s">
        <v>2625</v>
      </c>
      <c r="I380" t="s">
        <v>2383</v>
      </c>
      <c r="J380">
        <v>0</v>
      </c>
      <c r="K380" s="9">
        <f t="shared" si="10"/>
        <v>44298</v>
      </c>
      <c r="L380">
        <f t="shared" si="11"/>
        <v>14097</v>
      </c>
    </row>
    <row r="381" spans="1:12">
      <c r="A381">
        <v>255</v>
      </c>
      <c r="B381">
        <v>663</v>
      </c>
      <c r="C381">
        <v>6</v>
      </c>
      <c r="D381" t="s">
        <v>2390</v>
      </c>
      <c r="E381" s="7">
        <v>12576.49</v>
      </c>
      <c r="F381" s="7">
        <v>13.98</v>
      </c>
      <c r="G381">
        <v>54</v>
      </c>
      <c r="H381" t="s">
        <v>2626</v>
      </c>
      <c r="I381" t="s">
        <v>2377</v>
      </c>
      <c r="J381">
        <v>0</v>
      </c>
      <c r="K381" s="9">
        <f t="shared" si="10"/>
        <v>44664</v>
      </c>
      <c r="L381">
        <f t="shared" si="11"/>
        <v>1257649</v>
      </c>
    </row>
    <row r="382" spans="1:12">
      <c r="A382">
        <v>256</v>
      </c>
      <c r="B382">
        <v>177</v>
      </c>
      <c r="C382">
        <v>1</v>
      </c>
      <c r="D382" t="s">
        <v>2387</v>
      </c>
      <c r="E382" s="7">
        <v>120198.94</v>
      </c>
      <c r="F382" s="7">
        <v>15.66</v>
      </c>
      <c r="G382">
        <v>345</v>
      </c>
      <c r="H382" t="s">
        <v>2627</v>
      </c>
      <c r="I382" t="s">
        <v>2377</v>
      </c>
      <c r="J382">
        <v>0</v>
      </c>
      <c r="K382" s="9">
        <f t="shared" si="10"/>
        <v>44376</v>
      </c>
      <c r="L382">
        <f t="shared" si="11"/>
        <v>12019894</v>
      </c>
    </row>
    <row r="383" spans="1:12">
      <c r="A383">
        <v>257</v>
      </c>
      <c r="B383">
        <v>24</v>
      </c>
      <c r="C383">
        <v>3</v>
      </c>
      <c r="D383" t="s">
        <v>2379</v>
      </c>
      <c r="E383" s="7">
        <v>7187.51</v>
      </c>
      <c r="F383" s="7">
        <v>13.86</v>
      </c>
      <c r="G383">
        <v>20</v>
      </c>
      <c r="H383" t="s">
        <v>2628</v>
      </c>
      <c r="I383" t="s">
        <v>2377</v>
      </c>
      <c r="J383">
        <v>0</v>
      </c>
      <c r="K383" s="9">
        <f t="shared" si="10"/>
        <v>45064</v>
      </c>
      <c r="L383">
        <f t="shared" si="11"/>
        <v>718751</v>
      </c>
    </row>
    <row r="384" spans="1:12">
      <c r="A384">
        <v>258</v>
      </c>
      <c r="B384">
        <v>591</v>
      </c>
      <c r="C384">
        <v>4</v>
      </c>
      <c r="D384" t="s">
        <v>2390</v>
      </c>
      <c r="E384" s="7">
        <v>24855.48</v>
      </c>
      <c r="F384" s="7">
        <v>9.8</v>
      </c>
      <c r="G384">
        <v>69</v>
      </c>
      <c r="H384" t="s">
        <v>878</v>
      </c>
      <c r="I384" t="s">
        <v>2383</v>
      </c>
      <c r="J384">
        <v>0</v>
      </c>
      <c r="K384" s="9">
        <f t="shared" si="10"/>
        <v>44760</v>
      </c>
      <c r="L384">
        <f t="shared" si="11"/>
        <v>2485548</v>
      </c>
    </row>
    <row r="385" spans="1:12">
      <c r="A385">
        <v>259</v>
      </c>
      <c r="B385">
        <v>445</v>
      </c>
      <c r="C385">
        <v>4</v>
      </c>
      <c r="D385" t="s">
        <v>2379</v>
      </c>
      <c r="E385" s="7">
        <v>8712.73</v>
      </c>
      <c r="F385" s="7">
        <v>14.4</v>
      </c>
      <c r="G385">
        <v>49</v>
      </c>
      <c r="H385" t="s">
        <v>1427</v>
      </c>
      <c r="I385" t="s">
        <v>2377</v>
      </c>
      <c r="J385">
        <v>0</v>
      </c>
      <c r="K385" s="9">
        <f t="shared" si="10"/>
        <v>44775</v>
      </c>
      <c r="L385">
        <f t="shared" si="11"/>
        <v>871273</v>
      </c>
    </row>
    <row r="386" spans="1:12">
      <c r="A386">
        <v>260</v>
      </c>
      <c r="B386">
        <v>739</v>
      </c>
      <c r="C386">
        <v>6</v>
      </c>
      <c r="D386" t="s">
        <v>2379</v>
      </c>
      <c r="E386" s="7">
        <v>14727.9</v>
      </c>
      <c r="F386" s="7">
        <v>21.61</v>
      </c>
      <c r="G386">
        <v>44</v>
      </c>
      <c r="H386" t="s">
        <v>2629</v>
      </c>
      <c r="I386" t="s">
        <v>2377</v>
      </c>
      <c r="J386">
        <v>0</v>
      </c>
      <c r="K386" s="9">
        <f t="shared" si="10"/>
        <v>43864</v>
      </c>
      <c r="L386">
        <f t="shared" si="11"/>
        <v>147279</v>
      </c>
    </row>
    <row r="387" spans="1:12">
      <c r="A387">
        <v>261</v>
      </c>
      <c r="B387">
        <v>205</v>
      </c>
      <c r="C387">
        <v>3</v>
      </c>
      <c r="D387" t="s">
        <v>2387</v>
      </c>
      <c r="E387" s="7">
        <v>109733.12</v>
      </c>
      <c r="F387" s="7">
        <v>12.05</v>
      </c>
      <c r="G387">
        <v>207</v>
      </c>
      <c r="H387" t="s">
        <v>349</v>
      </c>
      <c r="I387" t="s">
        <v>2377</v>
      </c>
      <c r="J387">
        <v>0</v>
      </c>
      <c r="K387" s="9">
        <f t="shared" ref="K387:K450" si="12">DATEVALUE(LEFT(H387,10))</f>
        <v>44249</v>
      </c>
      <c r="L387">
        <f t="shared" ref="L387:L450" si="13">_xlfn.NUMBERVALUE(E387,".",",")</f>
        <v>10973312</v>
      </c>
    </row>
    <row r="388" spans="1:12">
      <c r="A388">
        <v>262</v>
      </c>
      <c r="B388">
        <v>253</v>
      </c>
      <c r="C388">
        <v>4</v>
      </c>
      <c r="D388" t="s">
        <v>2379</v>
      </c>
      <c r="E388" s="7">
        <v>10376.49</v>
      </c>
      <c r="F388" s="7">
        <v>18.78</v>
      </c>
      <c r="G388">
        <v>20</v>
      </c>
      <c r="H388" t="s">
        <v>2630</v>
      </c>
      <c r="I388" t="s">
        <v>2377</v>
      </c>
      <c r="J388">
        <v>0</v>
      </c>
      <c r="K388" s="9">
        <f t="shared" si="12"/>
        <v>45593</v>
      </c>
      <c r="L388">
        <f t="shared" si="13"/>
        <v>1037649</v>
      </c>
    </row>
    <row r="389" spans="1:12">
      <c r="A389">
        <v>263</v>
      </c>
      <c r="B389">
        <v>781</v>
      </c>
      <c r="C389">
        <v>3</v>
      </c>
      <c r="D389" t="s">
        <v>2379</v>
      </c>
      <c r="E389" s="7">
        <v>4813.03</v>
      </c>
      <c r="F389" s="7">
        <v>6.67</v>
      </c>
      <c r="G389">
        <v>32</v>
      </c>
      <c r="H389" t="s">
        <v>1235</v>
      </c>
      <c r="I389" t="s">
        <v>2383</v>
      </c>
      <c r="J389">
        <v>0</v>
      </c>
      <c r="K389" s="9">
        <f t="shared" si="12"/>
        <v>44863</v>
      </c>
      <c r="L389">
        <f t="shared" si="13"/>
        <v>481303</v>
      </c>
    </row>
    <row r="390" spans="1:12">
      <c r="A390">
        <v>264</v>
      </c>
      <c r="B390">
        <v>524</v>
      </c>
      <c r="C390">
        <v>3</v>
      </c>
      <c r="D390" t="s">
        <v>2379</v>
      </c>
      <c r="E390" s="7">
        <v>10452.65</v>
      </c>
      <c r="F390" s="7">
        <v>9.17</v>
      </c>
      <c r="G390">
        <v>14</v>
      </c>
      <c r="H390" t="s">
        <v>431</v>
      </c>
      <c r="I390" t="s">
        <v>2377</v>
      </c>
      <c r="J390">
        <v>0</v>
      </c>
      <c r="K390" s="9">
        <f t="shared" si="12"/>
        <v>44910</v>
      </c>
      <c r="L390">
        <f t="shared" si="13"/>
        <v>1045265</v>
      </c>
    </row>
    <row r="391" spans="1:12">
      <c r="A391">
        <v>265</v>
      </c>
      <c r="B391">
        <v>372</v>
      </c>
      <c r="C391">
        <v>4</v>
      </c>
      <c r="D391" t="s">
        <v>2379</v>
      </c>
      <c r="E391" s="7">
        <v>11013.6</v>
      </c>
      <c r="F391" s="7">
        <v>8.02</v>
      </c>
      <c r="G391">
        <v>54</v>
      </c>
      <c r="H391" t="s">
        <v>2631</v>
      </c>
      <c r="I391" t="s">
        <v>2377</v>
      </c>
      <c r="J391">
        <v>0</v>
      </c>
      <c r="K391" s="9">
        <f t="shared" si="12"/>
        <v>44815</v>
      </c>
      <c r="L391">
        <f t="shared" si="13"/>
        <v>110136</v>
      </c>
    </row>
    <row r="392" spans="1:12">
      <c r="A392">
        <v>266</v>
      </c>
      <c r="B392">
        <v>698</v>
      </c>
      <c r="C392">
        <v>3</v>
      </c>
      <c r="D392" t="s">
        <v>2387</v>
      </c>
      <c r="E392" s="7">
        <v>83098.69</v>
      </c>
      <c r="F392" s="7">
        <v>11.17</v>
      </c>
      <c r="G392">
        <v>137</v>
      </c>
      <c r="H392" t="s">
        <v>275</v>
      </c>
      <c r="I392" t="s">
        <v>2377</v>
      </c>
      <c r="J392">
        <v>0</v>
      </c>
      <c r="K392" s="9">
        <f t="shared" si="12"/>
        <v>44530</v>
      </c>
      <c r="L392">
        <f t="shared" si="13"/>
        <v>8309869</v>
      </c>
    </row>
    <row r="393" spans="1:12">
      <c r="A393">
        <v>267</v>
      </c>
      <c r="B393">
        <v>520</v>
      </c>
      <c r="C393">
        <v>7</v>
      </c>
      <c r="D393" t="s">
        <v>2390</v>
      </c>
      <c r="E393" s="7">
        <v>16093.56</v>
      </c>
      <c r="F393" s="7">
        <v>6.28</v>
      </c>
      <c r="G393">
        <v>36</v>
      </c>
      <c r="H393" t="s">
        <v>2288</v>
      </c>
      <c r="I393" t="s">
        <v>2377</v>
      </c>
      <c r="J393">
        <v>0</v>
      </c>
      <c r="K393" s="9">
        <f t="shared" si="12"/>
        <v>44896</v>
      </c>
      <c r="L393">
        <f t="shared" si="13"/>
        <v>1609356</v>
      </c>
    </row>
    <row r="394" spans="1:12">
      <c r="A394">
        <v>268</v>
      </c>
      <c r="B394">
        <v>888</v>
      </c>
      <c r="C394">
        <v>7</v>
      </c>
      <c r="D394" t="s">
        <v>2376</v>
      </c>
      <c r="E394" s="7">
        <v>91976.84</v>
      </c>
      <c r="F394" s="7">
        <v>21.19</v>
      </c>
      <c r="G394">
        <v>77</v>
      </c>
      <c r="H394" t="s">
        <v>2632</v>
      </c>
      <c r="I394" t="s">
        <v>2383</v>
      </c>
      <c r="J394">
        <v>0</v>
      </c>
      <c r="K394" s="9">
        <f t="shared" si="12"/>
        <v>44850</v>
      </c>
      <c r="L394">
        <f t="shared" si="13"/>
        <v>9197684</v>
      </c>
    </row>
    <row r="395" spans="1:12">
      <c r="A395">
        <v>269</v>
      </c>
      <c r="B395">
        <v>358</v>
      </c>
      <c r="C395">
        <v>3</v>
      </c>
      <c r="D395" t="s">
        <v>2385</v>
      </c>
      <c r="E395" s="7">
        <v>2976.39</v>
      </c>
      <c r="F395" s="7">
        <v>12.6</v>
      </c>
      <c r="G395">
        <v>22</v>
      </c>
      <c r="H395" t="s">
        <v>2633</v>
      </c>
      <c r="I395" t="s">
        <v>2393</v>
      </c>
      <c r="J395">
        <v>107</v>
      </c>
      <c r="K395" s="9">
        <f t="shared" si="12"/>
        <v>44434</v>
      </c>
      <c r="L395">
        <f t="shared" si="13"/>
        <v>297639</v>
      </c>
    </row>
    <row r="396" spans="1:12">
      <c r="A396">
        <v>270</v>
      </c>
      <c r="B396">
        <v>367</v>
      </c>
      <c r="C396">
        <v>6</v>
      </c>
      <c r="D396" t="s">
        <v>2385</v>
      </c>
      <c r="E396" s="7">
        <v>8588.45</v>
      </c>
      <c r="F396" s="7">
        <v>19.53</v>
      </c>
      <c r="G396">
        <v>16</v>
      </c>
      <c r="H396" t="s">
        <v>2634</v>
      </c>
      <c r="I396" t="s">
        <v>2377</v>
      </c>
      <c r="J396">
        <v>4</v>
      </c>
      <c r="K396" s="9">
        <f t="shared" si="12"/>
        <v>44727</v>
      </c>
      <c r="L396">
        <f t="shared" si="13"/>
        <v>858845</v>
      </c>
    </row>
    <row r="397" spans="1:12">
      <c r="A397">
        <v>271</v>
      </c>
      <c r="B397">
        <v>974</v>
      </c>
      <c r="C397">
        <v>6</v>
      </c>
      <c r="D397" t="s">
        <v>2385</v>
      </c>
      <c r="E397" s="7">
        <v>3924.4</v>
      </c>
      <c r="F397" s="7">
        <v>6.16</v>
      </c>
      <c r="G397">
        <v>15</v>
      </c>
      <c r="H397" t="s">
        <v>2340</v>
      </c>
      <c r="I397" t="s">
        <v>2377</v>
      </c>
      <c r="J397">
        <v>0</v>
      </c>
      <c r="K397" s="9">
        <f t="shared" si="12"/>
        <v>45472</v>
      </c>
      <c r="L397">
        <f t="shared" si="13"/>
        <v>39244</v>
      </c>
    </row>
    <row r="398" spans="1:12">
      <c r="A398">
        <v>272</v>
      </c>
      <c r="B398">
        <v>468</v>
      </c>
      <c r="C398">
        <v>7</v>
      </c>
      <c r="D398" t="s">
        <v>2390</v>
      </c>
      <c r="E398" s="7">
        <v>23986.76</v>
      </c>
      <c r="F398" s="7">
        <v>21.97</v>
      </c>
      <c r="G398">
        <v>31</v>
      </c>
      <c r="H398" t="s">
        <v>2635</v>
      </c>
      <c r="I398" t="s">
        <v>2377</v>
      </c>
      <c r="J398">
        <v>0</v>
      </c>
      <c r="K398" s="9">
        <f t="shared" si="12"/>
        <v>45707</v>
      </c>
      <c r="L398">
        <f t="shared" si="13"/>
        <v>2398676</v>
      </c>
    </row>
    <row r="399" spans="1:12">
      <c r="A399">
        <v>273</v>
      </c>
      <c r="B399">
        <v>411</v>
      </c>
      <c r="C399">
        <v>5</v>
      </c>
      <c r="D399" t="s">
        <v>2376</v>
      </c>
      <c r="E399" s="7">
        <v>87721.45</v>
      </c>
      <c r="F399" s="7">
        <v>10.42</v>
      </c>
      <c r="G399">
        <v>83</v>
      </c>
      <c r="H399" t="s">
        <v>2636</v>
      </c>
      <c r="I399" t="s">
        <v>2377</v>
      </c>
      <c r="J399">
        <v>0</v>
      </c>
      <c r="K399" s="9">
        <f t="shared" si="12"/>
        <v>45175</v>
      </c>
      <c r="L399">
        <f t="shared" si="13"/>
        <v>8772145</v>
      </c>
    </row>
    <row r="400" spans="1:12">
      <c r="A400">
        <v>274</v>
      </c>
      <c r="B400">
        <v>142</v>
      </c>
      <c r="C400">
        <v>4</v>
      </c>
      <c r="D400" t="s">
        <v>2379</v>
      </c>
      <c r="E400" s="7">
        <v>1835.63</v>
      </c>
      <c r="F400" s="7">
        <v>16.07</v>
      </c>
      <c r="G400">
        <v>34</v>
      </c>
      <c r="H400" t="s">
        <v>2637</v>
      </c>
      <c r="I400" t="s">
        <v>2377</v>
      </c>
      <c r="J400">
        <v>0</v>
      </c>
      <c r="K400" s="9">
        <f t="shared" si="12"/>
        <v>44892</v>
      </c>
      <c r="L400">
        <f t="shared" si="13"/>
        <v>183563</v>
      </c>
    </row>
    <row r="401" spans="1:12">
      <c r="A401">
        <v>275</v>
      </c>
      <c r="B401">
        <v>705</v>
      </c>
      <c r="C401">
        <v>6</v>
      </c>
      <c r="D401" t="s">
        <v>2385</v>
      </c>
      <c r="E401" s="7">
        <v>9327.42</v>
      </c>
      <c r="F401" s="7">
        <v>10.54</v>
      </c>
      <c r="G401">
        <v>6</v>
      </c>
      <c r="H401" t="s">
        <v>2592</v>
      </c>
      <c r="I401" t="s">
        <v>2377</v>
      </c>
      <c r="J401">
        <v>0</v>
      </c>
      <c r="K401" s="9">
        <f t="shared" si="12"/>
        <v>44624</v>
      </c>
      <c r="L401">
        <f t="shared" si="13"/>
        <v>932742</v>
      </c>
    </row>
    <row r="402" spans="1:12">
      <c r="A402">
        <v>276</v>
      </c>
      <c r="B402">
        <v>530</v>
      </c>
      <c r="C402">
        <v>4</v>
      </c>
      <c r="D402" t="s">
        <v>2387</v>
      </c>
      <c r="E402" s="7">
        <v>136537.78</v>
      </c>
      <c r="F402" s="7">
        <v>20.39</v>
      </c>
      <c r="G402">
        <v>191</v>
      </c>
      <c r="H402" t="s">
        <v>1697</v>
      </c>
      <c r="I402" t="s">
        <v>2377</v>
      </c>
      <c r="J402">
        <v>0</v>
      </c>
      <c r="K402" s="9">
        <f t="shared" si="12"/>
        <v>44072</v>
      </c>
      <c r="L402">
        <f t="shared" si="13"/>
        <v>13653778</v>
      </c>
    </row>
    <row r="403" spans="1:12">
      <c r="A403">
        <v>277</v>
      </c>
      <c r="B403">
        <v>633</v>
      </c>
      <c r="C403">
        <v>1</v>
      </c>
      <c r="D403" t="s">
        <v>2385</v>
      </c>
      <c r="E403" s="7">
        <v>5425.68</v>
      </c>
      <c r="F403" s="7">
        <v>18.43</v>
      </c>
      <c r="G403">
        <v>28</v>
      </c>
      <c r="H403" t="s">
        <v>1016</v>
      </c>
      <c r="I403" t="s">
        <v>2377</v>
      </c>
      <c r="J403">
        <v>47</v>
      </c>
      <c r="K403" s="9">
        <f t="shared" si="12"/>
        <v>44942</v>
      </c>
      <c r="L403">
        <f t="shared" si="13"/>
        <v>542568</v>
      </c>
    </row>
    <row r="404" spans="1:12">
      <c r="A404">
        <v>278</v>
      </c>
      <c r="B404">
        <v>421</v>
      </c>
      <c r="C404">
        <v>2</v>
      </c>
      <c r="D404" t="s">
        <v>2376</v>
      </c>
      <c r="E404" s="7">
        <v>113552.99</v>
      </c>
      <c r="F404" s="7">
        <v>20.92</v>
      </c>
      <c r="G404">
        <v>49</v>
      </c>
      <c r="H404" t="s">
        <v>2298</v>
      </c>
      <c r="I404" t="s">
        <v>2377</v>
      </c>
      <c r="J404">
        <v>0</v>
      </c>
      <c r="K404" s="9">
        <f t="shared" si="12"/>
        <v>44071</v>
      </c>
      <c r="L404">
        <f t="shared" si="13"/>
        <v>11355299</v>
      </c>
    </row>
    <row r="405" spans="1:12">
      <c r="A405">
        <v>279</v>
      </c>
      <c r="B405">
        <v>429</v>
      </c>
      <c r="C405">
        <v>5</v>
      </c>
      <c r="D405" t="s">
        <v>2387</v>
      </c>
      <c r="E405" s="7">
        <v>98570.71</v>
      </c>
      <c r="F405" s="7">
        <v>16.45</v>
      </c>
      <c r="G405">
        <v>199</v>
      </c>
      <c r="H405" t="s">
        <v>2423</v>
      </c>
      <c r="I405" t="s">
        <v>2393</v>
      </c>
      <c r="J405">
        <v>321</v>
      </c>
      <c r="K405" s="9">
        <f t="shared" si="12"/>
        <v>43938</v>
      </c>
      <c r="L405">
        <f t="shared" si="13"/>
        <v>9857071</v>
      </c>
    </row>
    <row r="406" spans="1:12">
      <c r="A406">
        <v>280</v>
      </c>
      <c r="B406">
        <v>98</v>
      </c>
      <c r="C406">
        <v>4</v>
      </c>
      <c r="D406" t="s">
        <v>2385</v>
      </c>
      <c r="E406" s="7">
        <v>2631.83</v>
      </c>
      <c r="F406" s="7">
        <v>14.36</v>
      </c>
      <c r="G406">
        <v>29</v>
      </c>
      <c r="H406" t="s">
        <v>2638</v>
      </c>
      <c r="I406" t="s">
        <v>2383</v>
      </c>
      <c r="J406">
        <v>0</v>
      </c>
      <c r="K406" s="9">
        <f t="shared" si="12"/>
        <v>45421</v>
      </c>
      <c r="L406">
        <f t="shared" si="13"/>
        <v>263183</v>
      </c>
    </row>
    <row r="407" spans="1:12">
      <c r="A407">
        <v>281</v>
      </c>
      <c r="B407">
        <v>467</v>
      </c>
      <c r="C407">
        <v>1</v>
      </c>
      <c r="D407" t="s">
        <v>2379</v>
      </c>
      <c r="E407" s="7">
        <v>5023.28</v>
      </c>
      <c r="F407" s="7">
        <v>6.4</v>
      </c>
      <c r="G407">
        <v>29</v>
      </c>
      <c r="H407" t="s">
        <v>2639</v>
      </c>
      <c r="I407" t="s">
        <v>2393</v>
      </c>
      <c r="J407">
        <v>153</v>
      </c>
      <c r="K407" s="9">
        <f t="shared" si="12"/>
        <v>45591</v>
      </c>
      <c r="L407">
        <f t="shared" si="13"/>
        <v>502328</v>
      </c>
    </row>
    <row r="408" spans="1:12">
      <c r="A408">
        <v>282</v>
      </c>
      <c r="B408">
        <v>335</v>
      </c>
      <c r="C408">
        <v>2</v>
      </c>
      <c r="D408" t="s">
        <v>2376</v>
      </c>
      <c r="E408" s="7">
        <v>116235.83</v>
      </c>
      <c r="F408" s="7">
        <v>10.64</v>
      </c>
      <c r="G408">
        <v>84</v>
      </c>
      <c r="H408" t="s">
        <v>1041</v>
      </c>
      <c r="I408" t="s">
        <v>2377</v>
      </c>
      <c r="J408">
        <v>0</v>
      </c>
      <c r="K408" s="9">
        <f t="shared" si="12"/>
        <v>45308</v>
      </c>
      <c r="L408">
        <f t="shared" si="13"/>
        <v>11623583</v>
      </c>
    </row>
    <row r="409" spans="1:12">
      <c r="A409">
        <v>283</v>
      </c>
      <c r="B409">
        <v>489</v>
      </c>
      <c r="C409">
        <v>5</v>
      </c>
      <c r="D409" t="s">
        <v>2376</v>
      </c>
      <c r="E409" s="7">
        <v>100945.66</v>
      </c>
      <c r="F409" s="7">
        <v>18.5</v>
      </c>
      <c r="G409">
        <v>37</v>
      </c>
      <c r="H409" t="s">
        <v>2640</v>
      </c>
      <c r="I409" t="s">
        <v>2377</v>
      </c>
      <c r="J409">
        <v>0</v>
      </c>
      <c r="K409" s="9">
        <f t="shared" si="12"/>
        <v>43954</v>
      </c>
      <c r="L409">
        <f t="shared" si="13"/>
        <v>10094566</v>
      </c>
    </row>
    <row r="410" spans="1:12">
      <c r="A410">
        <v>284</v>
      </c>
      <c r="B410">
        <v>965</v>
      </c>
      <c r="C410">
        <v>7</v>
      </c>
      <c r="D410" t="s">
        <v>2379</v>
      </c>
      <c r="E410" s="7">
        <v>14861.82</v>
      </c>
      <c r="F410" s="7">
        <v>6.77</v>
      </c>
      <c r="G410">
        <v>37</v>
      </c>
      <c r="H410" t="s">
        <v>1241</v>
      </c>
      <c r="I410" t="s">
        <v>2383</v>
      </c>
      <c r="J410">
        <v>0</v>
      </c>
      <c r="K410" s="9">
        <f t="shared" si="12"/>
        <v>44405</v>
      </c>
      <c r="L410">
        <f t="shared" si="13"/>
        <v>1486182</v>
      </c>
    </row>
    <row r="411" spans="1:12">
      <c r="A411">
        <v>285</v>
      </c>
      <c r="B411">
        <v>994</v>
      </c>
      <c r="C411">
        <v>3</v>
      </c>
      <c r="D411" t="s">
        <v>2385</v>
      </c>
      <c r="E411" s="7">
        <v>1727.59</v>
      </c>
      <c r="F411" s="7">
        <v>12.29</v>
      </c>
      <c r="G411">
        <v>10</v>
      </c>
      <c r="H411" t="s">
        <v>2641</v>
      </c>
      <c r="I411" t="s">
        <v>2377</v>
      </c>
      <c r="J411">
        <v>0</v>
      </c>
      <c r="K411" s="9">
        <f t="shared" si="12"/>
        <v>45464</v>
      </c>
      <c r="L411">
        <f t="shared" si="13"/>
        <v>172759</v>
      </c>
    </row>
    <row r="412" spans="1:12">
      <c r="A412">
        <v>286</v>
      </c>
      <c r="B412">
        <v>518</v>
      </c>
      <c r="C412">
        <v>1</v>
      </c>
      <c r="D412" t="s">
        <v>2387</v>
      </c>
      <c r="E412" s="7">
        <v>183609.9</v>
      </c>
      <c r="F412" s="7">
        <v>16.26</v>
      </c>
      <c r="G412">
        <v>359</v>
      </c>
      <c r="H412" t="s">
        <v>1230</v>
      </c>
      <c r="I412" t="s">
        <v>2377</v>
      </c>
      <c r="J412">
        <v>0</v>
      </c>
      <c r="K412" s="9">
        <f t="shared" si="12"/>
        <v>44653</v>
      </c>
      <c r="L412">
        <f t="shared" si="13"/>
        <v>1836099</v>
      </c>
    </row>
    <row r="413" spans="1:12">
      <c r="A413">
        <v>287</v>
      </c>
      <c r="B413">
        <v>330</v>
      </c>
      <c r="C413">
        <v>7</v>
      </c>
      <c r="D413" t="s">
        <v>2376</v>
      </c>
      <c r="E413" s="7">
        <v>96093.4</v>
      </c>
      <c r="F413" s="7">
        <v>14.93</v>
      </c>
      <c r="G413">
        <v>61</v>
      </c>
      <c r="H413" t="s">
        <v>2642</v>
      </c>
      <c r="I413" t="s">
        <v>2377</v>
      </c>
      <c r="J413">
        <v>0</v>
      </c>
      <c r="K413" s="9">
        <f t="shared" si="12"/>
        <v>45059</v>
      </c>
      <c r="L413">
        <f t="shared" si="13"/>
        <v>960934</v>
      </c>
    </row>
    <row r="414" spans="1:12">
      <c r="A414">
        <v>288</v>
      </c>
      <c r="B414">
        <v>432</v>
      </c>
      <c r="C414">
        <v>1</v>
      </c>
      <c r="D414" t="s">
        <v>2387</v>
      </c>
      <c r="E414" s="7">
        <v>91626.03</v>
      </c>
      <c r="F414" s="7">
        <v>8.17</v>
      </c>
      <c r="G414">
        <v>125</v>
      </c>
      <c r="H414" t="s">
        <v>2077</v>
      </c>
      <c r="I414" t="s">
        <v>2383</v>
      </c>
      <c r="J414">
        <v>0</v>
      </c>
      <c r="K414" s="9">
        <f t="shared" si="12"/>
        <v>44158</v>
      </c>
      <c r="L414">
        <f t="shared" si="13"/>
        <v>9162603</v>
      </c>
    </row>
    <row r="415" spans="1:12">
      <c r="A415">
        <v>289</v>
      </c>
      <c r="B415">
        <v>226</v>
      </c>
      <c r="C415">
        <v>5</v>
      </c>
      <c r="D415" t="s">
        <v>2390</v>
      </c>
      <c r="E415" s="7">
        <v>36808.45</v>
      </c>
      <c r="F415" s="7">
        <v>6.71</v>
      </c>
      <c r="G415">
        <v>78</v>
      </c>
      <c r="H415" t="s">
        <v>2643</v>
      </c>
      <c r="I415" t="s">
        <v>2383</v>
      </c>
      <c r="J415">
        <v>0</v>
      </c>
      <c r="K415" s="9">
        <f t="shared" si="12"/>
        <v>44123</v>
      </c>
      <c r="L415">
        <f t="shared" si="13"/>
        <v>3680845</v>
      </c>
    </row>
    <row r="416" spans="1:12">
      <c r="A416">
        <v>290</v>
      </c>
      <c r="B416">
        <v>988</v>
      </c>
      <c r="C416">
        <v>2</v>
      </c>
      <c r="D416" t="s">
        <v>2390</v>
      </c>
      <c r="E416" s="7">
        <v>30033.06</v>
      </c>
      <c r="F416" s="7">
        <v>15.51</v>
      </c>
      <c r="G416">
        <v>61</v>
      </c>
      <c r="H416" t="s">
        <v>2644</v>
      </c>
      <c r="I416" t="s">
        <v>2377</v>
      </c>
      <c r="J416">
        <v>0</v>
      </c>
      <c r="K416" s="9">
        <f t="shared" si="12"/>
        <v>45633</v>
      </c>
      <c r="L416">
        <f t="shared" si="13"/>
        <v>3003306</v>
      </c>
    </row>
    <row r="417" spans="1:12">
      <c r="A417">
        <v>291</v>
      </c>
      <c r="B417">
        <v>935</v>
      </c>
      <c r="C417">
        <v>1</v>
      </c>
      <c r="D417" t="s">
        <v>2376</v>
      </c>
      <c r="E417" s="7">
        <v>122727.35</v>
      </c>
      <c r="F417" s="7">
        <v>12.65</v>
      </c>
      <c r="G417">
        <v>19</v>
      </c>
      <c r="H417" t="s">
        <v>2645</v>
      </c>
      <c r="I417" t="s">
        <v>2383</v>
      </c>
      <c r="J417">
        <v>0</v>
      </c>
      <c r="K417" s="9">
        <f t="shared" si="12"/>
        <v>44159</v>
      </c>
      <c r="L417">
        <f t="shared" si="13"/>
        <v>12272735</v>
      </c>
    </row>
    <row r="418" spans="1:12">
      <c r="A418">
        <v>292</v>
      </c>
      <c r="B418">
        <v>361</v>
      </c>
      <c r="C418">
        <v>4</v>
      </c>
      <c r="D418" t="s">
        <v>2387</v>
      </c>
      <c r="E418" s="7">
        <v>113706.49</v>
      </c>
      <c r="F418" s="7">
        <v>11.91</v>
      </c>
      <c r="G418">
        <v>133</v>
      </c>
      <c r="H418" t="s">
        <v>2646</v>
      </c>
      <c r="I418" t="s">
        <v>2377</v>
      </c>
      <c r="J418">
        <v>0</v>
      </c>
      <c r="K418" s="9">
        <f t="shared" si="12"/>
        <v>44195</v>
      </c>
      <c r="L418">
        <f t="shared" si="13"/>
        <v>11370649</v>
      </c>
    </row>
    <row r="419" spans="1:12">
      <c r="A419">
        <v>293</v>
      </c>
      <c r="B419">
        <v>963</v>
      </c>
      <c r="C419">
        <v>3</v>
      </c>
      <c r="D419" t="s">
        <v>2379</v>
      </c>
      <c r="E419" s="7">
        <v>12899.39</v>
      </c>
      <c r="F419" s="7">
        <v>18.46</v>
      </c>
      <c r="G419">
        <v>11</v>
      </c>
      <c r="H419" t="s">
        <v>2647</v>
      </c>
      <c r="I419" t="s">
        <v>2383</v>
      </c>
      <c r="J419">
        <v>0</v>
      </c>
      <c r="K419" s="9">
        <f t="shared" si="12"/>
        <v>44024</v>
      </c>
      <c r="L419">
        <f t="shared" si="13"/>
        <v>1289939</v>
      </c>
    </row>
    <row r="420" spans="1:12">
      <c r="A420">
        <v>294</v>
      </c>
      <c r="B420">
        <v>243</v>
      </c>
      <c r="C420">
        <v>6</v>
      </c>
      <c r="D420" t="s">
        <v>2379</v>
      </c>
      <c r="E420" s="7">
        <v>13361.86</v>
      </c>
      <c r="F420" s="7">
        <v>12.54</v>
      </c>
      <c r="G420">
        <v>6</v>
      </c>
      <c r="H420" t="s">
        <v>2333</v>
      </c>
      <c r="I420" t="s">
        <v>2377</v>
      </c>
      <c r="J420">
        <v>0</v>
      </c>
      <c r="K420" s="9">
        <f t="shared" si="12"/>
        <v>44240</v>
      </c>
      <c r="L420">
        <f t="shared" si="13"/>
        <v>1336186</v>
      </c>
    </row>
    <row r="421" spans="1:12">
      <c r="A421">
        <v>295</v>
      </c>
      <c r="B421">
        <v>312</v>
      </c>
      <c r="C421">
        <v>4</v>
      </c>
      <c r="D421" t="s">
        <v>2387</v>
      </c>
      <c r="E421" s="7">
        <v>57572.84</v>
      </c>
      <c r="F421" s="7">
        <v>7.14</v>
      </c>
      <c r="G421">
        <v>173</v>
      </c>
      <c r="H421" t="s">
        <v>2648</v>
      </c>
      <c r="I421" t="s">
        <v>2377</v>
      </c>
      <c r="J421">
        <v>0</v>
      </c>
      <c r="K421" s="9">
        <f t="shared" si="12"/>
        <v>45291</v>
      </c>
      <c r="L421">
        <f t="shared" si="13"/>
        <v>5757284</v>
      </c>
    </row>
    <row r="422" spans="1:12">
      <c r="A422">
        <v>296</v>
      </c>
      <c r="B422">
        <v>524</v>
      </c>
      <c r="C422">
        <v>3</v>
      </c>
      <c r="D422" t="s">
        <v>2387</v>
      </c>
      <c r="E422" s="7">
        <v>147457.61</v>
      </c>
      <c r="F422" s="7">
        <v>10.22</v>
      </c>
      <c r="G422">
        <v>213</v>
      </c>
      <c r="H422" t="s">
        <v>2649</v>
      </c>
      <c r="I422" t="s">
        <v>2383</v>
      </c>
      <c r="J422">
        <v>0</v>
      </c>
      <c r="K422" s="9">
        <f t="shared" si="12"/>
        <v>43997</v>
      </c>
      <c r="L422">
        <f t="shared" si="13"/>
        <v>14745761</v>
      </c>
    </row>
    <row r="423" spans="1:12">
      <c r="A423">
        <v>297</v>
      </c>
      <c r="B423">
        <v>123</v>
      </c>
      <c r="C423">
        <v>6</v>
      </c>
      <c r="D423" t="s">
        <v>2376</v>
      </c>
      <c r="E423" s="7">
        <v>100127.23</v>
      </c>
      <c r="F423" s="7">
        <v>18.41</v>
      </c>
      <c r="G423">
        <v>20</v>
      </c>
      <c r="H423" t="s">
        <v>1230</v>
      </c>
      <c r="I423" t="s">
        <v>2383</v>
      </c>
      <c r="J423">
        <v>0</v>
      </c>
      <c r="K423" s="9">
        <f t="shared" si="12"/>
        <v>44653</v>
      </c>
      <c r="L423">
        <f t="shared" si="13"/>
        <v>10012723</v>
      </c>
    </row>
    <row r="424" spans="1:12">
      <c r="A424">
        <v>298</v>
      </c>
      <c r="B424">
        <v>707</v>
      </c>
      <c r="C424">
        <v>2</v>
      </c>
      <c r="D424" t="s">
        <v>2390</v>
      </c>
      <c r="E424" s="7">
        <v>18404.16</v>
      </c>
      <c r="F424" s="7">
        <v>18.96</v>
      </c>
      <c r="G424">
        <v>73</v>
      </c>
      <c r="H424" t="s">
        <v>707</v>
      </c>
      <c r="I424" t="s">
        <v>2377</v>
      </c>
      <c r="J424">
        <v>0</v>
      </c>
      <c r="K424" s="9">
        <f t="shared" si="12"/>
        <v>44299</v>
      </c>
      <c r="L424">
        <f t="shared" si="13"/>
        <v>1840416</v>
      </c>
    </row>
    <row r="425" spans="1:12">
      <c r="A425">
        <v>299</v>
      </c>
      <c r="B425">
        <v>952</v>
      </c>
      <c r="C425">
        <v>7</v>
      </c>
      <c r="D425" t="s">
        <v>2387</v>
      </c>
      <c r="E425" s="7">
        <v>105382.23</v>
      </c>
      <c r="F425" s="7">
        <v>15.98</v>
      </c>
      <c r="G425">
        <v>165</v>
      </c>
      <c r="H425" t="s">
        <v>2650</v>
      </c>
      <c r="I425" t="s">
        <v>2377</v>
      </c>
      <c r="J425">
        <v>0</v>
      </c>
      <c r="K425" s="9">
        <f t="shared" si="12"/>
        <v>44199</v>
      </c>
      <c r="L425">
        <f t="shared" si="13"/>
        <v>10538223</v>
      </c>
    </row>
    <row r="426" spans="1:12">
      <c r="A426">
        <v>300</v>
      </c>
      <c r="B426">
        <v>519</v>
      </c>
      <c r="C426">
        <v>3</v>
      </c>
      <c r="D426" t="s">
        <v>2379</v>
      </c>
      <c r="E426" s="7">
        <v>14527.45</v>
      </c>
      <c r="F426" s="7">
        <v>9.08</v>
      </c>
      <c r="G426">
        <v>21</v>
      </c>
      <c r="H426" t="s">
        <v>2651</v>
      </c>
      <c r="I426" t="s">
        <v>2383</v>
      </c>
      <c r="J426">
        <v>0</v>
      </c>
      <c r="K426" s="9">
        <f t="shared" si="12"/>
        <v>44648</v>
      </c>
      <c r="L426">
        <f t="shared" si="13"/>
        <v>1452745</v>
      </c>
    </row>
    <row r="427" spans="1:12">
      <c r="A427">
        <v>301</v>
      </c>
      <c r="B427">
        <v>813</v>
      </c>
      <c r="C427">
        <v>1</v>
      </c>
      <c r="D427" t="s">
        <v>2385</v>
      </c>
      <c r="E427" s="7">
        <v>849.58</v>
      </c>
      <c r="F427" s="7">
        <v>21.37</v>
      </c>
      <c r="G427">
        <v>13</v>
      </c>
      <c r="H427" t="s">
        <v>2652</v>
      </c>
      <c r="I427" t="s">
        <v>2383</v>
      </c>
      <c r="J427">
        <v>0</v>
      </c>
      <c r="K427" s="9">
        <f t="shared" si="12"/>
        <v>45450</v>
      </c>
      <c r="L427">
        <f t="shared" si="13"/>
        <v>84958</v>
      </c>
    </row>
    <row r="428" spans="1:12">
      <c r="A428">
        <v>302</v>
      </c>
      <c r="B428">
        <v>919</v>
      </c>
      <c r="C428">
        <v>1</v>
      </c>
      <c r="D428" t="s">
        <v>2387</v>
      </c>
      <c r="E428" s="7">
        <v>85077.35</v>
      </c>
      <c r="F428" s="7">
        <v>19.06</v>
      </c>
      <c r="G428">
        <v>272</v>
      </c>
      <c r="H428" t="s">
        <v>2653</v>
      </c>
      <c r="I428" t="s">
        <v>2377</v>
      </c>
      <c r="J428">
        <v>0</v>
      </c>
      <c r="K428" s="9">
        <f t="shared" si="12"/>
        <v>45580</v>
      </c>
      <c r="L428">
        <f t="shared" si="13"/>
        <v>8507735</v>
      </c>
    </row>
    <row r="429" spans="1:12">
      <c r="A429">
        <v>303</v>
      </c>
      <c r="B429">
        <v>537</v>
      </c>
      <c r="C429">
        <v>6</v>
      </c>
      <c r="D429" t="s">
        <v>2387</v>
      </c>
      <c r="E429" s="7">
        <v>189672.93</v>
      </c>
      <c r="F429" s="7">
        <v>8.26</v>
      </c>
      <c r="G429">
        <v>334</v>
      </c>
      <c r="H429" t="s">
        <v>2654</v>
      </c>
      <c r="I429" t="s">
        <v>2377</v>
      </c>
      <c r="J429">
        <v>0</v>
      </c>
      <c r="K429" s="9">
        <f t="shared" si="12"/>
        <v>44424</v>
      </c>
      <c r="L429">
        <f t="shared" si="13"/>
        <v>18967293</v>
      </c>
    </row>
    <row r="430" spans="1:12">
      <c r="A430">
        <v>304</v>
      </c>
      <c r="B430">
        <v>450</v>
      </c>
      <c r="C430">
        <v>5</v>
      </c>
      <c r="D430" t="s">
        <v>2390</v>
      </c>
      <c r="E430" s="7">
        <v>27921.81</v>
      </c>
      <c r="F430" s="7">
        <v>20.21</v>
      </c>
      <c r="G430">
        <v>69</v>
      </c>
      <c r="H430" t="s">
        <v>1283</v>
      </c>
      <c r="I430" t="s">
        <v>2377</v>
      </c>
      <c r="J430">
        <v>0</v>
      </c>
      <c r="K430" s="9">
        <f t="shared" si="12"/>
        <v>44473</v>
      </c>
      <c r="L430">
        <f t="shared" si="13"/>
        <v>2792181</v>
      </c>
    </row>
    <row r="431" spans="1:12">
      <c r="A431">
        <v>305</v>
      </c>
      <c r="B431">
        <v>528</v>
      </c>
      <c r="C431">
        <v>4</v>
      </c>
      <c r="D431" t="s">
        <v>2379</v>
      </c>
      <c r="E431" s="7">
        <v>7758.36</v>
      </c>
      <c r="F431" s="7">
        <v>18.28</v>
      </c>
      <c r="G431">
        <v>36</v>
      </c>
      <c r="H431" t="s">
        <v>2655</v>
      </c>
      <c r="I431" t="s">
        <v>2377</v>
      </c>
      <c r="J431">
        <v>0</v>
      </c>
      <c r="K431" s="9">
        <f t="shared" si="12"/>
        <v>45091</v>
      </c>
      <c r="L431">
        <f t="shared" si="13"/>
        <v>775836</v>
      </c>
    </row>
    <row r="432" spans="1:12">
      <c r="A432">
        <v>306</v>
      </c>
      <c r="B432">
        <v>873</v>
      </c>
      <c r="C432">
        <v>6</v>
      </c>
      <c r="D432" t="s">
        <v>2387</v>
      </c>
      <c r="E432" s="7">
        <v>149706</v>
      </c>
      <c r="F432" s="7">
        <v>6.01</v>
      </c>
      <c r="G432">
        <v>167</v>
      </c>
      <c r="H432" t="s">
        <v>2519</v>
      </c>
      <c r="I432" t="s">
        <v>2377</v>
      </c>
      <c r="J432">
        <v>0</v>
      </c>
      <c r="K432" s="9">
        <f t="shared" si="12"/>
        <v>44034</v>
      </c>
      <c r="L432">
        <f t="shared" si="13"/>
        <v>149706</v>
      </c>
    </row>
    <row r="433" spans="1:12">
      <c r="A433">
        <v>307</v>
      </c>
      <c r="B433">
        <v>504</v>
      </c>
      <c r="C433">
        <v>7</v>
      </c>
      <c r="D433" t="s">
        <v>2390</v>
      </c>
      <c r="E433" s="7">
        <v>20560.68</v>
      </c>
      <c r="F433" s="7">
        <v>14.76</v>
      </c>
      <c r="G433">
        <v>33</v>
      </c>
      <c r="H433" t="s">
        <v>2656</v>
      </c>
      <c r="I433" t="s">
        <v>2383</v>
      </c>
      <c r="J433">
        <v>0</v>
      </c>
      <c r="K433" s="9">
        <f t="shared" si="12"/>
        <v>45465</v>
      </c>
      <c r="L433">
        <f t="shared" si="13"/>
        <v>2056068</v>
      </c>
    </row>
    <row r="434" spans="1:12">
      <c r="A434">
        <v>308</v>
      </c>
      <c r="B434">
        <v>324</v>
      </c>
      <c r="C434">
        <v>6</v>
      </c>
      <c r="D434" t="s">
        <v>2387</v>
      </c>
      <c r="E434" s="7">
        <v>132955.18</v>
      </c>
      <c r="F434" s="7">
        <v>7.33</v>
      </c>
      <c r="G434">
        <v>311</v>
      </c>
      <c r="H434" t="s">
        <v>2657</v>
      </c>
      <c r="I434" t="s">
        <v>2377</v>
      </c>
      <c r="J434">
        <v>40</v>
      </c>
      <c r="K434" s="9">
        <f t="shared" si="12"/>
        <v>44399</v>
      </c>
      <c r="L434">
        <f t="shared" si="13"/>
        <v>13295518</v>
      </c>
    </row>
    <row r="435" spans="1:12">
      <c r="A435">
        <v>309</v>
      </c>
      <c r="B435">
        <v>701</v>
      </c>
      <c r="C435">
        <v>3</v>
      </c>
      <c r="D435" t="s">
        <v>2376</v>
      </c>
      <c r="E435" s="7">
        <v>46509.46</v>
      </c>
      <c r="F435" s="7">
        <v>13.49</v>
      </c>
      <c r="G435">
        <v>77</v>
      </c>
      <c r="H435" t="s">
        <v>2658</v>
      </c>
      <c r="I435" t="s">
        <v>2377</v>
      </c>
      <c r="J435">
        <v>0</v>
      </c>
      <c r="K435" s="9">
        <f t="shared" si="12"/>
        <v>44918</v>
      </c>
      <c r="L435">
        <f t="shared" si="13"/>
        <v>4650946</v>
      </c>
    </row>
    <row r="436" spans="1:12">
      <c r="A436">
        <v>310</v>
      </c>
      <c r="B436">
        <v>323</v>
      </c>
      <c r="C436">
        <v>4</v>
      </c>
      <c r="D436" t="s">
        <v>2379</v>
      </c>
      <c r="E436" s="7">
        <v>2242.67</v>
      </c>
      <c r="F436" s="7">
        <v>11.75</v>
      </c>
      <c r="G436">
        <v>19</v>
      </c>
      <c r="H436" t="s">
        <v>1558</v>
      </c>
      <c r="I436" t="s">
        <v>2377</v>
      </c>
      <c r="J436">
        <v>0</v>
      </c>
      <c r="K436" s="9">
        <f t="shared" si="12"/>
        <v>44139</v>
      </c>
      <c r="L436">
        <f t="shared" si="13"/>
        <v>224267</v>
      </c>
    </row>
    <row r="437" spans="1:12">
      <c r="A437">
        <v>311</v>
      </c>
      <c r="B437">
        <v>684</v>
      </c>
      <c r="C437">
        <v>5</v>
      </c>
      <c r="D437" t="s">
        <v>2387</v>
      </c>
      <c r="E437" s="7">
        <v>187835.28</v>
      </c>
      <c r="F437" s="7">
        <v>7.28</v>
      </c>
      <c r="G437">
        <v>232</v>
      </c>
      <c r="H437" t="s">
        <v>2659</v>
      </c>
      <c r="I437" t="s">
        <v>2377</v>
      </c>
      <c r="J437">
        <v>0</v>
      </c>
      <c r="K437" s="9">
        <f t="shared" si="12"/>
        <v>43919</v>
      </c>
      <c r="L437">
        <f t="shared" si="13"/>
        <v>18783528</v>
      </c>
    </row>
    <row r="438" spans="1:12">
      <c r="A438">
        <v>312</v>
      </c>
      <c r="B438">
        <v>190</v>
      </c>
      <c r="C438">
        <v>2</v>
      </c>
      <c r="D438" t="s">
        <v>2390</v>
      </c>
      <c r="E438" s="7">
        <v>30530.18</v>
      </c>
      <c r="F438" s="7">
        <v>15.71</v>
      </c>
      <c r="G438">
        <v>27</v>
      </c>
      <c r="H438" t="s">
        <v>1672</v>
      </c>
      <c r="I438" t="s">
        <v>2377</v>
      </c>
      <c r="J438">
        <v>0</v>
      </c>
      <c r="K438" s="9">
        <f t="shared" si="12"/>
        <v>44281</v>
      </c>
      <c r="L438">
        <f t="shared" si="13"/>
        <v>3053018</v>
      </c>
    </row>
    <row r="439" spans="1:12">
      <c r="A439">
        <v>313</v>
      </c>
      <c r="B439">
        <v>903</v>
      </c>
      <c r="C439">
        <v>4</v>
      </c>
      <c r="D439" t="s">
        <v>2385</v>
      </c>
      <c r="E439" s="7">
        <v>8141.01</v>
      </c>
      <c r="F439" s="7">
        <v>15.93</v>
      </c>
      <c r="G439">
        <v>22</v>
      </c>
      <c r="H439" t="s">
        <v>2660</v>
      </c>
      <c r="I439" t="s">
        <v>2377</v>
      </c>
      <c r="J439">
        <v>0</v>
      </c>
      <c r="K439" s="9">
        <f t="shared" si="12"/>
        <v>44162</v>
      </c>
      <c r="L439">
        <f t="shared" si="13"/>
        <v>814101</v>
      </c>
    </row>
    <row r="440" spans="1:12">
      <c r="A440">
        <v>314</v>
      </c>
      <c r="B440">
        <v>46</v>
      </c>
      <c r="C440">
        <v>5</v>
      </c>
      <c r="D440" t="s">
        <v>2379</v>
      </c>
      <c r="E440" s="7">
        <v>6725.73</v>
      </c>
      <c r="F440" s="7">
        <v>21.45</v>
      </c>
      <c r="G440">
        <v>58</v>
      </c>
      <c r="H440" t="s">
        <v>2661</v>
      </c>
      <c r="I440" t="s">
        <v>2377</v>
      </c>
      <c r="J440">
        <v>0</v>
      </c>
      <c r="K440" s="9">
        <f t="shared" si="12"/>
        <v>45758</v>
      </c>
      <c r="L440">
        <f t="shared" si="13"/>
        <v>672573</v>
      </c>
    </row>
    <row r="441" spans="1:12">
      <c r="A441">
        <v>315</v>
      </c>
      <c r="B441">
        <v>569</v>
      </c>
      <c r="C441">
        <v>3</v>
      </c>
      <c r="D441" t="s">
        <v>2376</v>
      </c>
      <c r="E441" s="7">
        <v>98729.56</v>
      </c>
      <c r="F441" s="7">
        <v>5.79</v>
      </c>
      <c r="G441">
        <v>57</v>
      </c>
      <c r="H441" t="s">
        <v>2662</v>
      </c>
      <c r="I441" t="s">
        <v>2377</v>
      </c>
      <c r="J441">
        <v>0</v>
      </c>
      <c r="K441" s="9">
        <f t="shared" si="12"/>
        <v>45328</v>
      </c>
      <c r="L441">
        <f t="shared" si="13"/>
        <v>9872956</v>
      </c>
    </row>
    <row r="442" spans="1:12">
      <c r="A442">
        <v>316</v>
      </c>
      <c r="B442">
        <v>998</v>
      </c>
      <c r="C442">
        <v>7</v>
      </c>
      <c r="D442" t="s">
        <v>2385</v>
      </c>
      <c r="E442" s="7">
        <v>6884.57</v>
      </c>
      <c r="F442" s="7">
        <v>18.03</v>
      </c>
      <c r="G442">
        <v>9</v>
      </c>
      <c r="H442" t="s">
        <v>2663</v>
      </c>
      <c r="I442" t="s">
        <v>2393</v>
      </c>
      <c r="J442">
        <v>151</v>
      </c>
      <c r="K442" s="9">
        <f t="shared" si="12"/>
        <v>44273</v>
      </c>
      <c r="L442">
        <f t="shared" si="13"/>
        <v>688457</v>
      </c>
    </row>
    <row r="443" spans="1:12">
      <c r="A443">
        <v>317</v>
      </c>
      <c r="B443">
        <v>465</v>
      </c>
      <c r="C443">
        <v>7</v>
      </c>
      <c r="D443" t="s">
        <v>2385</v>
      </c>
      <c r="E443" s="7">
        <v>8192.75</v>
      </c>
      <c r="F443" s="7">
        <v>10.42</v>
      </c>
      <c r="G443">
        <v>7</v>
      </c>
      <c r="H443" t="s">
        <v>2664</v>
      </c>
      <c r="I443" t="s">
        <v>2383</v>
      </c>
      <c r="J443">
        <v>0</v>
      </c>
      <c r="K443" s="9">
        <f t="shared" si="12"/>
        <v>44213</v>
      </c>
      <c r="L443">
        <f t="shared" si="13"/>
        <v>819275</v>
      </c>
    </row>
    <row r="444" spans="1:12">
      <c r="A444">
        <v>318</v>
      </c>
      <c r="B444">
        <v>729</v>
      </c>
      <c r="C444">
        <v>2</v>
      </c>
      <c r="D444" t="s">
        <v>2379</v>
      </c>
      <c r="E444" s="7">
        <v>5590.36</v>
      </c>
      <c r="F444" s="7">
        <v>6.73</v>
      </c>
      <c r="G444">
        <v>29</v>
      </c>
      <c r="H444" t="s">
        <v>149</v>
      </c>
      <c r="I444" t="s">
        <v>2383</v>
      </c>
      <c r="J444">
        <v>0</v>
      </c>
      <c r="K444" s="9">
        <f t="shared" si="12"/>
        <v>43840</v>
      </c>
      <c r="L444">
        <f t="shared" si="13"/>
        <v>559036</v>
      </c>
    </row>
    <row r="445" spans="1:12">
      <c r="A445">
        <v>319</v>
      </c>
      <c r="B445">
        <v>303</v>
      </c>
      <c r="C445">
        <v>7</v>
      </c>
      <c r="D445" t="s">
        <v>2376</v>
      </c>
      <c r="E445" s="7">
        <v>149639.1</v>
      </c>
      <c r="F445" s="7">
        <v>13.19</v>
      </c>
      <c r="G445">
        <v>45</v>
      </c>
      <c r="H445" t="s">
        <v>2665</v>
      </c>
      <c r="I445" t="s">
        <v>2393</v>
      </c>
      <c r="J445">
        <v>269</v>
      </c>
      <c r="K445" s="9">
        <f t="shared" si="12"/>
        <v>45190</v>
      </c>
      <c r="L445">
        <f t="shared" si="13"/>
        <v>1496391</v>
      </c>
    </row>
    <row r="446" spans="1:12">
      <c r="A446">
        <v>320</v>
      </c>
      <c r="B446">
        <v>464</v>
      </c>
      <c r="C446">
        <v>5</v>
      </c>
      <c r="D446" t="s">
        <v>2385</v>
      </c>
      <c r="E446" s="7">
        <v>7877.82</v>
      </c>
      <c r="F446" s="7">
        <v>16.7</v>
      </c>
      <c r="G446">
        <v>20</v>
      </c>
      <c r="H446" t="s">
        <v>2666</v>
      </c>
      <c r="I446" t="s">
        <v>2377</v>
      </c>
      <c r="J446">
        <v>5</v>
      </c>
      <c r="K446" s="9">
        <f t="shared" si="12"/>
        <v>44652</v>
      </c>
      <c r="L446">
        <f t="shared" si="13"/>
        <v>787782</v>
      </c>
    </row>
    <row r="447" spans="1:12">
      <c r="A447">
        <v>321</v>
      </c>
      <c r="B447">
        <v>510</v>
      </c>
      <c r="C447">
        <v>1</v>
      </c>
      <c r="D447" t="s">
        <v>2390</v>
      </c>
      <c r="E447" s="7">
        <v>14999.82</v>
      </c>
      <c r="F447" s="7">
        <v>9.87</v>
      </c>
      <c r="G447">
        <v>24</v>
      </c>
      <c r="H447" t="s">
        <v>2667</v>
      </c>
      <c r="I447" t="s">
        <v>2377</v>
      </c>
      <c r="J447">
        <v>0</v>
      </c>
      <c r="K447" s="9">
        <f t="shared" si="12"/>
        <v>44134</v>
      </c>
      <c r="L447">
        <f t="shared" si="13"/>
        <v>1499982</v>
      </c>
    </row>
    <row r="448" spans="1:12">
      <c r="A448">
        <v>322</v>
      </c>
      <c r="B448">
        <v>65</v>
      </c>
      <c r="C448">
        <v>2</v>
      </c>
      <c r="D448" t="s">
        <v>2387</v>
      </c>
      <c r="E448" s="7">
        <v>56838.94</v>
      </c>
      <c r="F448" s="7">
        <v>5.87</v>
      </c>
      <c r="G448">
        <v>244</v>
      </c>
      <c r="H448" t="s">
        <v>2311</v>
      </c>
      <c r="I448" t="s">
        <v>2377</v>
      </c>
      <c r="J448">
        <v>0</v>
      </c>
      <c r="K448" s="9">
        <f t="shared" si="12"/>
        <v>45098</v>
      </c>
      <c r="L448">
        <f t="shared" si="13"/>
        <v>5683894</v>
      </c>
    </row>
    <row r="449" spans="1:12">
      <c r="A449">
        <v>323</v>
      </c>
      <c r="B449">
        <v>995</v>
      </c>
      <c r="C449">
        <v>4</v>
      </c>
      <c r="D449" t="s">
        <v>2390</v>
      </c>
      <c r="E449" s="7">
        <v>12913.36</v>
      </c>
      <c r="F449" s="7">
        <v>17.52</v>
      </c>
      <c r="G449">
        <v>72</v>
      </c>
      <c r="H449" t="s">
        <v>2668</v>
      </c>
      <c r="I449" t="s">
        <v>2377</v>
      </c>
      <c r="J449">
        <v>22</v>
      </c>
      <c r="K449" s="9">
        <f t="shared" si="12"/>
        <v>45587</v>
      </c>
      <c r="L449">
        <f t="shared" si="13"/>
        <v>1291336</v>
      </c>
    </row>
    <row r="450" spans="1:12">
      <c r="A450">
        <v>324</v>
      </c>
      <c r="B450">
        <v>370</v>
      </c>
      <c r="C450">
        <v>4</v>
      </c>
      <c r="D450" t="s">
        <v>2379</v>
      </c>
      <c r="E450" s="7">
        <v>7285.76</v>
      </c>
      <c r="F450" s="7">
        <v>9.26</v>
      </c>
      <c r="G450">
        <v>44</v>
      </c>
      <c r="H450" t="s">
        <v>2260</v>
      </c>
      <c r="I450" t="s">
        <v>2377</v>
      </c>
      <c r="J450">
        <v>0</v>
      </c>
      <c r="K450" s="9">
        <f t="shared" si="12"/>
        <v>45493</v>
      </c>
      <c r="L450">
        <f t="shared" si="13"/>
        <v>728576</v>
      </c>
    </row>
    <row r="451" spans="1:12">
      <c r="A451">
        <v>325</v>
      </c>
      <c r="B451">
        <v>547</v>
      </c>
      <c r="C451">
        <v>5</v>
      </c>
      <c r="D451" t="s">
        <v>2379</v>
      </c>
      <c r="E451" s="7">
        <v>6433.75</v>
      </c>
      <c r="F451" s="7">
        <v>20.98</v>
      </c>
      <c r="G451">
        <v>14</v>
      </c>
      <c r="H451" t="s">
        <v>2594</v>
      </c>
      <c r="I451" t="s">
        <v>2383</v>
      </c>
      <c r="J451">
        <v>0</v>
      </c>
      <c r="K451" s="9">
        <f t="shared" ref="K451:K514" si="14">DATEVALUE(LEFT(H451,10))</f>
        <v>45358</v>
      </c>
      <c r="L451">
        <f t="shared" ref="L451:L514" si="15">_xlfn.NUMBERVALUE(E451,".",",")</f>
        <v>643375</v>
      </c>
    </row>
    <row r="452" spans="1:12">
      <c r="A452">
        <v>326</v>
      </c>
      <c r="B452">
        <v>42</v>
      </c>
      <c r="C452">
        <v>6</v>
      </c>
      <c r="D452" t="s">
        <v>2390</v>
      </c>
      <c r="E452" s="7">
        <v>8026.2</v>
      </c>
      <c r="F452" s="7">
        <v>15.23</v>
      </c>
      <c r="G452">
        <v>67</v>
      </c>
      <c r="H452" t="s">
        <v>2669</v>
      </c>
      <c r="I452" t="s">
        <v>2377</v>
      </c>
      <c r="J452">
        <v>0</v>
      </c>
      <c r="K452" s="9">
        <f t="shared" si="14"/>
        <v>45791</v>
      </c>
      <c r="L452">
        <f t="shared" si="15"/>
        <v>80262</v>
      </c>
    </row>
    <row r="453" spans="1:12">
      <c r="A453">
        <v>327</v>
      </c>
      <c r="B453">
        <v>995</v>
      </c>
      <c r="C453">
        <v>4</v>
      </c>
      <c r="D453" t="s">
        <v>2379</v>
      </c>
      <c r="E453" s="7">
        <v>7926.19</v>
      </c>
      <c r="F453" s="7">
        <v>9.43</v>
      </c>
      <c r="G453">
        <v>13</v>
      </c>
      <c r="H453" t="s">
        <v>1301</v>
      </c>
      <c r="I453" t="s">
        <v>2377</v>
      </c>
      <c r="J453">
        <v>0</v>
      </c>
      <c r="K453" s="9">
        <f t="shared" si="14"/>
        <v>44843</v>
      </c>
      <c r="L453">
        <f t="shared" si="15"/>
        <v>792619</v>
      </c>
    </row>
    <row r="454" spans="1:12">
      <c r="A454">
        <v>328</v>
      </c>
      <c r="B454">
        <v>744</v>
      </c>
      <c r="C454">
        <v>4</v>
      </c>
      <c r="D454" t="s">
        <v>2376</v>
      </c>
      <c r="E454" s="7">
        <v>79806.12</v>
      </c>
      <c r="F454" s="7">
        <v>11.83</v>
      </c>
      <c r="G454">
        <v>118</v>
      </c>
      <c r="H454" t="s">
        <v>2381</v>
      </c>
      <c r="I454" t="s">
        <v>2377</v>
      </c>
      <c r="J454">
        <v>0</v>
      </c>
      <c r="K454" s="9">
        <f t="shared" si="14"/>
        <v>45603</v>
      </c>
      <c r="L454">
        <f t="shared" si="15"/>
        <v>7980612</v>
      </c>
    </row>
    <row r="455" spans="1:12">
      <c r="A455">
        <v>329</v>
      </c>
      <c r="B455">
        <v>592</v>
      </c>
      <c r="C455">
        <v>6</v>
      </c>
      <c r="D455" t="s">
        <v>2379</v>
      </c>
      <c r="E455" s="7">
        <v>13704.46</v>
      </c>
      <c r="F455" s="7">
        <v>14.71</v>
      </c>
      <c r="G455">
        <v>17</v>
      </c>
      <c r="H455" t="s">
        <v>2670</v>
      </c>
      <c r="I455" t="s">
        <v>2377</v>
      </c>
      <c r="J455">
        <v>51</v>
      </c>
      <c r="K455" s="9">
        <f t="shared" si="14"/>
        <v>43998</v>
      </c>
      <c r="L455">
        <f t="shared" si="15"/>
        <v>1370446</v>
      </c>
    </row>
    <row r="456" spans="1:12">
      <c r="A456">
        <v>330</v>
      </c>
      <c r="B456">
        <v>155</v>
      </c>
      <c r="C456">
        <v>6</v>
      </c>
      <c r="D456" t="s">
        <v>2379</v>
      </c>
      <c r="E456" s="7">
        <v>5738.34</v>
      </c>
      <c r="F456" s="7">
        <v>14.44</v>
      </c>
      <c r="G456">
        <v>51</v>
      </c>
      <c r="H456" t="s">
        <v>1002</v>
      </c>
      <c r="I456" t="s">
        <v>2377</v>
      </c>
      <c r="J456">
        <v>0</v>
      </c>
      <c r="K456" s="9">
        <f t="shared" si="14"/>
        <v>43866</v>
      </c>
      <c r="L456">
        <f t="shared" si="15"/>
        <v>573834</v>
      </c>
    </row>
    <row r="457" spans="1:12">
      <c r="A457">
        <v>331</v>
      </c>
      <c r="B457">
        <v>993</v>
      </c>
      <c r="C457">
        <v>6</v>
      </c>
      <c r="D457" t="s">
        <v>2379</v>
      </c>
      <c r="E457" s="7">
        <v>14503.71</v>
      </c>
      <c r="F457" s="7">
        <v>5.04</v>
      </c>
      <c r="G457">
        <v>46</v>
      </c>
      <c r="H457" t="s">
        <v>2590</v>
      </c>
      <c r="I457" t="s">
        <v>2377</v>
      </c>
      <c r="J457">
        <v>0</v>
      </c>
      <c r="K457" s="9">
        <f t="shared" si="14"/>
        <v>45816</v>
      </c>
      <c r="L457">
        <f t="shared" si="15"/>
        <v>1450371</v>
      </c>
    </row>
    <row r="458" spans="1:12">
      <c r="A458">
        <v>332</v>
      </c>
      <c r="B458">
        <v>912</v>
      </c>
      <c r="C458">
        <v>5</v>
      </c>
      <c r="D458" t="s">
        <v>2390</v>
      </c>
      <c r="E458" s="7">
        <v>25843.26</v>
      </c>
      <c r="F458" s="7">
        <v>12.78</v>
      </c>
      <c r="G458">
        <v>73</v>
      </c>
      <c r="H458" t="s">
        <v>2671</v>
      </c>
      <c r="I458" t="s">
        <v>2377</v>
      </c>
      <c r="J458">
        <v>0</v>
      </c>
      <c r="K458" s="9">
        <f t="shared" si="14"/>
        <v>45351</v>
      </c>
      <c r="L458">
        <f t="shared" si="15"/>
        <v>2584326</v>
      </c>
    </row>
    <row r="459" spans="1:12">
      <c r="A459">
        <v>333</v>
      </c>
      <c r="B459">
        <v>909</v>
      </c>
      <c r="C459">
        <v>5</v>
      </c>
      <c r="D459" t="s">
        <v>2385</v>
      </c>
      <c r="E459" s="7">
        <v>2141.85</v>
      </c>
      <c r="F459" s="7">
        <v>14.87</v>
      </c>
      <c r="G459">
        <v>7</v>
      </c>
      <c r="H459" t="s">
        <v>2452</v>
      </c>
      <c r="I459" t="s">
        <v>2377</v>
      </c>
      <c r="J459">
        <v>0</v>
      </c>
      <c r="K459" s="9">
        <f t="shared" si="14"/>
        <v>45697</v>
      </c>
      <c r="L459">
        <f t="shared" si="15"/>
        <v>214185</v>
      </c>
    </row>
    <row r="460" spans="1:12">
      <c r="A460">
        <v>334</v>
      </c>
      <c r="B460">
        <v>30</v>
      </c>
      <c r="C460">
        <v>5</v>
      </c>
      <c r="D460" t="s">
        <v>2379</v>
      </c>
      <c r="E460" s="7">
        <v>2571.2</v>
      </c>
      <c r="F460" s="7">
        <v>8.25</v>
      </c>
      <c r="G460">
        <v>9</v>
      </c>
      <c r="H460" t="s">
        <v>2672</v>
      </c>
      <c r="I460" t="s">
        <v>2383</v>
      </c>
      <c r="J460">
        <v>0</v>
      </c>
      <c r="K460" s="9">
        <f t="shared" si="14"/>
        <v>45810</v>
      </c>
      <c r="L460">
        <f t="shared" si="15"/>
        <v>25712</v>
      </c>
    </row>
    <row r="461" spans="1:12">
      <c r="A461">
        <v>335</v>
      </c>
      <c r="B461">
        <v>710</v>
      </c>
      <c r="C461">
        <v>3</v>
      </c>
      <c r="D461" t="s">
        <v>2387</v>
      </c>
      <c r="E461" s="7">
        <v>193228.89</v>
      </c>
      <c r="F461" s="7">
        <v>20.05</v>
      </c>
      <c r="G461">
        <v>157</v>
      </c>
      <c r="H461" t="s">
        <v>889</v>
      </c>
      <c r="I461" t="s">
        <v>2377</v>
      </c>
      <c r="J461">
        <v>0</v>
      </c>
      <c r="K461" s="9">
        <f t="shared" si="14"/>
        <v>45207</v>
      </c>
      <c r="L461">
        <f t="shared" si="15"/>
        <v>19322889</v>
      </c>
    </row>
    <row r="462" spans="1:12">
      <c r="A462">
        <v>336</v>
      </c>
      <c r="B462">
        <v>408</v>
      </c>
      <c r="C462">
        <v>3</v>
      </c>
      <c r="D462" t="s">
        <v>2390</v>
      </c>
      <c r="E462" s="7">
        <v>32468.18</v>
      </c>
      <c r="F462" s="7">
        <v>14.2</v>
      </c>
      <c r="G462">
        <v>47</v>
      </c>
      <c r="H462" t="s">
        <v>627</v>
      </c>
      <c r="I462" t="s">
        <v>2377</v>
      </c>
      <c r="J462">
        <v>0</v>
      </c>
      <c r="K462" s="9">
        <f t="shared" si="14"/>
        <v>44286</v>
      </c>
      <c r="L462">
        <f t="shared" si="15"/>
        <v>3246818</v>
      </c>
    </row>
    <row r="463" spans="1:12">
      <c r="A463">
        <v>337</v>
      </c>
      <c r="B463">
        <v>63</v>
      </c>
      <c r="C463">
        <v>4</v>
      </c>
      <c r="D463" t="s">
        <v>2379</v>
      </c>
      <c r="E463" s="7">
        <v>8157.91</v>
      </c>
      <c r="F463" s="7">
        <v>7.3</v>
      </c>
      <c r="G463">
        <v>55</v>
      </c>
      <c r="H463" t="s">
        <v>2673</v>
      </c>
      <c r="I463" t="s">
        <v>2383</v>
      </c>
      <c r="J463">
        <v>0</v>
      </c>
      <c r="K463" s="9">
        <f t="shared" si="14"/>
        <v>45732</v>
      </c>
      <c r="L463">
        <f t="shared" si="15"/>
        <v>815791</v>
      </c>
    </row>
    <row r="464" spans="1:12">
      <c r="A464">
        <v>338</v>
      </c>
      <c r="B464">
        <v>784</v>
      </c>
      <c r="C464">
        <v>3</v>
      </c>
      <c r="D464" t="s">
        <v>2387</v>
      </c>
      <c r="E464" s="7">
        <v>61860.9</v>
      </c>
      <c r="F464" s="7">
        <v>18.85</v>
      </c>
      <c r="G464">
        <v>138</v>
      </c>
      <c r="H464" t="s">
        <v>2674</v>
      </c>
      <c r="I464" t="s">
        <v>2393</v>
      </c>
      <c r="J464">
        <v>188</v>
      </c>
      <c r="K464" s="9">
        <f t="shared" si="14"/>
        <v>44219</v>
      </c>
      <c r="L464">
        <f t="shared" si="15"/>
        <v>618609</v>
      </c>
    </row>
    <row r="465" spans="1:12">
      <c r="A465">
        <v>339</v>
      </c>
      <c r="B465">
        <v>973</v>
      </c>
      <c r="C465">
        <v>6</v>
      </c>
      <c r="D465" t="s">
        <v>2385</v>
      </c>
      <c r="E465" s="7">
        <v>3666.28</v>
      </c>
      <c r="F465" s="7">
        <v>17.04</v>
      </c>
      <c r="G465">
        <v>27</v>
      </c>
      <c r="H465" t="s">
        <v>2675</v>
      </c>
      <c r="I465" t="s">
        <v>2377</v>
      </c>
      <c r="J465">
        <v>0</v>
      </c>
      <c r="K465" s="9">
        <f t="shared" si="14"/>
        <v>44118</v>
      </c>
      <c r="L465">
        <f t="shared" si="15"/>
        <v>366628</v>
      </c>
    </row>
    <row r="466" spans="1:12">
      <c r="A466">
        <v>340</v>
      </c>
      <c r="B466">
        <v>260</v>
      </c>
      <c r="C466">
        <v>3</v>
      </c>
      <c r="D466" t="s">
        <v>2387</v>
      </c>
      <c r="E466" s="7">
        <v>154993.13</v>
      </c>
      <c r="F466" s="7">
        <v>15.22</v>
      </c>
      <c r="G466">
        <v>256</v>
      </c>
      <c r="H466" t="s">
        <v>1893</v>
      </c>
      <c r="I466" t="s">
        <v>2377</v>
      </c>
      <c r="J466">
        <v>0</v>
      </c>
      <c r="K466" s="9">
        <f t="shared" si="14"/>
        <v>45452</v>
      </c>
      <c r="L466">
        <f t="shared" si="15"/>
        <v>15499313</v>
      </c>
    </row>
    <row r="467" spans="1:12">
      <c r="A467">
        <v>341</v>
      </c>
      <c r="B467">
        <v>847</v>
      </c>
      <c r="C467">
        <v>4</v>
      </c>
      <c r="D467" t="s">
        <v>2379</v>
      </c>
      <c r="E467" s="7">
        <v>14937.71</v>
      </c>
      <c r="F467" s="7">
        <v>8.32</v>
      </c>
      <c r="G467">
        <v>7</v>
      </c>
      <c r="H467" t="s">
        <v>2676</v>
      </c>
      <c r="I467" t="s">
        <v>2383</v>
      </c>
      <c r="J467">
        <v>0</v>
      </c>
      <c r="K467" s="9">
        <f t="shared" si="14"/>
        <v>44109</v>
      </c>
      <c r="L467">
        <f t="shared" si="15"/>
        <v>1493771</v>
      </c>
    </row>
    <row r="468" spans="1:12">
      <c r="A468">
        <v>342</v>
      </c>
      <c r="B468">
        <v>527</v>
      </c>
      <c r="C468">
        <v>1</v>
      </c>
      <c r="D468" t="s">
        <v>2376</v>
      </c>
      <c r="E468" s="7">
        <v>37409.77</v>
      </c>
      <c r="F468" s="7">
        <v>21.52</v>
      </c>
      <c r="G468">
        <v>15</v>
      </c>
      <c r="H468" t="s">
        <v>1105</v>
      </c>
      <c r="I468" t="s">
        <v>2377</v>
      </c>
      <c r="J468">
        <v>0</v>
      </c>
      <c r="K468" s="9">
        <f t="shared" si="14"/>
        <v>43989</v>
      </c>
      <c r="L468">
        <f t="shared" si="15"/>
        <v>3740977</v>
      </c>
    </row>
    <row r="469" spans="1:12">
      <c r="A469">
        <v>343</v>
      </c>
      <c r="B469">
        <v>828</v>
      </c>
      <c r="C469">
        <v>4</v>
      </c>
      <c r="D469" t="s">
        <v>2390</v>
      </c>
      <c r="E469" s="7">
        <v>27814</v>
      </c>
      <c r="F469" s="7">
        <v>6.74</v>
      </c>
      <c r="G469">
        <v>52</v>
      </c>
      <c r="H469" t="s">
        <v>37</v>
      </c>
      <c r="I469" t="s">
        <v>2377</v>
      </c>
      <c r="J469">
        <v>0</v>
      </c>
      <c r="K469" s="9">
        <f t="shared" si="14"/>
        <v>45204</v>
      </c>
      <c r="L469">
        <f t="shared" si="15"/>
        <v>27814</v>
      </c>
    </row>
    <row r="470" spans="1:12">
      <c r="A470">
        <v>344</v>
      </c>
      <c r="B470">
        <v>685</v>
      </c>
      <c r="C470">
        <v>4</v>
      </c>
      <c r="D470" t="s">
        <v>2390</v>
      </c>
      <c r="E470" s="7">
        <v>13442.32</v>
      </c>
      <c r="F470" s="7">
        <v>13.73</v>
      </c>
      <c r="G470">
        <v>28</v>
      </c>
      <c r="H470" t="s">
        <v>2677</v>
      </c>
      <c r="I470" t="s">
        <v>2377</v>
      </c>
      <c r="J470">
        <v>0</v>
      </c>
      <c r="K470" s="9">
        <f t="shared" si="14"/>
        <v>45724</v>
      </c>
      <c r="L470">
        <f t="shared" si="15"/>
        <v>1344232</v>
      </c>
    </row>
    <row r="471" spans="1:12">
      <c r="A471">
        <v>345</v>
      </c>
      <c r="B471">
        <v>631</v>
      </c>
      <c r="C471">
        <v>6</v>
      </c>
      <c r="D471" t="s">
        <v>2379</v>
      </c>
      <c r="E471" s="7">
        <v>2044.72</v>
      </c>
      <c r="F471" s="7">
        <v>5.17</v>
      </c>
      <c r="G471">
        <v>11</v>
      </c>
      <c r="H471" t="s">
        <v>1972</v>
      </c>
      <c r="I471" t="s">
        <v>2383</v>
      </c>
      <c r="J471">
        <v>0</v>
      </c>
      <c r="K471" s="9">
        <f t="shared" si="14"/>
        <v>44498</v>
      </c>
      <c r="L471">
        <f t="shared" si="15"/>
        <v>204472</v>
      </c>
    </row>
    <row r="472" spans="1:12">
      <c r="A472">
        <v>346</v>
      </c>
      <c r="B472">
        <v>885</v>
      </c>
      <c r="C472">
        <v>3</v>
      </c>
      <c r="D472" t="s">
        <v>2376</v>
      </c>
      <c r="E472" s="7">
        <v>32982.03</v>
      </c>
      <c r="F472" s="7">
        <v>16.68</v>
      </c>
      <c r="G472">
        <v>51</v>
      </c>
      <c r="H472" t="s">
        <v>2678</v>
      </c>
      <c r="I472" t="s">
        <v>2383</v>
      </c>
      <c r="J472">
        <v>0</v>
      </c>
      <c r="K472" s="9">
        <f t="shared" si="14"/>
        <v>45410</v>
      </c>
      <c r="L472">
        <f t="shared" si="15"/>
        <v>3298203</v>
      </c>
    </row>
    <row r="473" spans="1:12">
      <c r="A473">
        <v>347</v>
      </c>
      <c r="B473">
        <v>215</v>
      </c>
      <c r="C473">
        <v>1</v>
      </c>
      <c r="D473" t="s">
        <v>2390</v>
      </c>
      <c r="E473" s="7">
        <v>28265.94</v>
      </c>
      <c r="F473" s="7">
        <v>8.05</v>
      </c>
      <c r="G473">
        <v>72</v>
      </c>
      <c r="H473" t="s">
        <v>2679</v>
      </c>
      <c r="I473" t="s">
        <v>2377</v>
      </c>
      <c r="J473">
        <v>0</v>
      </c>
      <c r="K473" s="9">
        <f t="shared" si="14"/>
        <v>45174</v>
      </c>
      <c r="L473">
        <f t="shared" si="15"/>
        <v>2826594</v>
      </c>
    </row>
    <row r="474" spans="1:12">
      <c r="A474">
        <v>348</v>
      </c>
      <c r="B474">
        <v>756</v>
      </c>
      <c r="C474">
        <v>4</v>
      </c>
      <c r="D474" t="s">
        <v>2379</v>
      </c>
      <c r="E474" s="7">
        <v>2452.34</v>
      </c>
      <c r="F474" s="7">
        <v>6.25</v>
      </c>
      <c r="G474">
        <v>42</v>
      </c>
      <c r="H474" t="s">
        <v>431</v>
      </c>
      <c r="I474" t="s">
        <v>2377</v>
      </c>
      <c r="J474">
        <v>0</v>
      </c>
      <c r="K474" s="9">
        <f t="shared" si="14"/>
        <v>44910</v>
      </c>
      <c r="L474">
        <f t="shared" si="15"/>
        <v>245234</v>
      </c>
    </row>
    <row r="475" spans="1:12">
      <c r="A475">
        <v>349</v>
      </c>
      <c r="B475">
        <v>584</v>
      </c>
      <c r="C475">
        <v>1</v>
      </c>
      <c r="D475" t="s">
        <v>2387</v>
      </c>
      <c r="E475" s="7">
        <v>88037.08</v>
      </c>
      <c r="F475" s="7">
        <v>7.26</v>
      </c>
      <c r="G475">
        <v>170</v>
      </c>
      <c r="H475" t="s">
        <v>2680</v>
      </c>
      <c r="I475" t="s">
        <v>2377</v>
      </c>
      <c r="J475">
        <v>0</v>
      </c>
      <c r="K475" s="9">
        <f t="shared" si="14"/>
        <v>45802</v>
      </c>
      <c r="L475">
        <f t="shared" si="15"/>
        <v>8803708</v>
      </c>
    </row>
    <row r="476" spans="1:12">
      <c r="A476">
        <v>350</v>
      </c>
      <c r="B476">
        <v>793</v>
      </c>
      <c r="C476">
        <v>7</v>
      </c>
      <c r="D476" t="s">
        <v>2379</v>
      </c>
      <c r="E476" s="7">
        <v>7629.45</v>
      </c>
      <c r="F476" s="7">
        <v>7.83</v>
      </c>
      <c r="G476">
        <v>59</v>
      </c>
      <c r="H476" t="s">
        <v>2681</v>
      </c>
      <c r="I476" t="s">
        <v>2377</v>
      </c>
      <c r="J476">
        <v>0</v>
      </c>
      <c r="K476" s="9">
        <f t="shared" si="14"/>
        <v>45616</v>
      </c>
      <c r="L476">
        <f t="shared" si="15"/>
        <v>762945</v>
      </c>
    </row>
    <row r="477" spans="1:12">
      <c r="A477">
        <v>351</v>
      </c>
      <c r="B477">
        <v>472</v>
      </c>
      <c r="C477">
        <v>7</v>
      </c>
      <c r="D477" t="s">
        <v>2390</v>
      </c>
      <c r="E477" s="7">
        <v>10245.75</v>
      </c>
      <c r="F477" s="7">
        <v>17.71</v>
      </c>
      <c r="G477">
        <v>44</v>
      </c>
      <c r="H477" t="s">
        <v>2682</v>
      </c>
      <c r="I477" t="s">
        <v>2377</v>
      </c>
      <c r="J477">
        <v>0</v>
      </c>
      <c r="K477" s="9">
        <f t="shared" si="14"/>
        <v>45434</v>
      </c>
      <c r="L477">
        <f t="shared" si="15"/>
        <v>1024575</v>
      </c>
    </row>
    <row r="478" spans="1:12">
      <c r="A478">
        <v>352</v>
      </c>
      <c r="B478">
        <v>472</v>
      </c>
      <c r="C478">
        <v>7</v>
      </c>
      <c r="D478" t="s">
        <v>2376</v>
      </c>
      <c r="E478" s="7">
        <v>44907.6</v>
      </c>
      <c r="F478" s="7">
        <v>15.85</v>
      </c>
      <c r="G478">
        <v>28</v>
      </c>
      <c r="H478" t="s">
        <v>1452</v>
      </c>
      <c r="I478" t="s">
        <v>2377</v>
      </c>
      <c r="J478">
        <v>0</v>
      </c>
      <c r="K478" s="9">
        <f t="shared" si="14"/>
        <v>44128</v>
      </c>
      <c r="L478">
        <f t="shared" si="15"/>
        <v>449076</v>
      </c>
    </row>
    <row r="479" spans="1:12">
      <c r="A479">
        <v>353</v>
      </c>
      <c r="B479">
        <v>43</v>
      </c>
      <c r="C479">
        <v>7</v>
      </c>
      <c r="D479" t="s">
        <v>2385</v>
      </c>
      <c r="E479" s="7">
        <v>3429.86</v>
      </c>
      <c r="F479" s="7">
        <v>16.37</v>
      </c>
      <c r="G479">
        <v>20</v>
      </c>
      <c r="H479" t="s">
        <v>2440</v>
      </c>
      <c r="I479" t="s">
        <v>2377</v>
      </c>
      <c r="J479">
        <v>75</v>
      </c>
      <c r="K479" s="9">
        <f t="shared" si="14"/>
        <v>44228</v>
      </c>
      <c r="L479">
        <f t="shared" si="15"/>
        <v>342986</v>
      </c>
    </row>
    <row r="480" spans="1:12">
      <c r="A480">
        <v>354</v>
      </c>
      <c r="B480">
        <v>107</v>
      </c>
      <c r="C480">
        <v>2</v>
      </c>
      <c r="D480" t="s">
        <v>2376</v>
      </c>
      <c r="E480" s="7">
        <v>64935.8</v>
      </c>
      <c r="F480" s="7">
        <v>18.16</v>
      </c>
      <c r="G480">
        <v>72</v>
      </c>
      <c r="H480" t="s">
        <v>2683</v>
      </c>
      <c r="I480" t="s">
        <v>2377</v>
      </c>
      <c r="J480">
        <v>0</v>
      </c>
      <c r="K480" s="9">
        <f t="shared" si="14"/>
        <v>44012</v>
      </c>
      <c r="L480">
        <f t="shared" si="15"/>
        <v>649358</v>
      </c>
    </row>
    <row r="481" spans="1:12">
      <c r="A481">
        <v>355</v>
      </c>
      <c r="B481">
        <v>174</v>
      </c>
      <c r="C481">
        <v>5</v>
      </c>
      <c r="D481" t="s">
        <v>2387</v>
      </c>
      <c r="E481" s="7">
        <v>173197.56</v>
      </c>
      <c r="F481" s="7">
        <v>12.19</v>
      </c>
      <c r="G481">
        <v>200</v>
      </c>
      <c r="H481" t="s">
        <v>2684</v>
      </c>
      <c r="I481" t="s">
        <v>2377</v>
      </c>
      <c r="J481">
        <v>0</v>
      </c>
      <c r="K481" s="9">
        <f t="shared" si="14"/>
        <v>45812</v>
      </c>
      <c r="L481">
        <f t="shared" si="15"/>
        <v>17319756</v>
      </c>
    </row>
    <row r="482" spans="1:12">
      <c r="A482">
        <v>356</v>
      </c>
      <c r="B482">
        <v>446</v>
      </c>
      <c r="C482">
        <v>3</v>
      </c>
      <c r="D482" t="s">
        <v>2390</v>
      </c>
      <c r="E482" s="7">
        <v>32677.23</v>
      </c>
      <c r="F482" s="7">
        <v>12.28</v>
      </c>
      <c r="G482">
        <v>31</v>
      </c>
      <c r="H482" t="s">
        <v>2685</v>
      </c>
      <c r="I482" t="s">
        <v>2383</v>
      </c>
      <c r="J482">
        <v>0</v>
      </c>
      <c r="K482" s="9">
        <f t="shared" si="14"/>
        <v>45382</v>
      </c>
      <c r="L482">
        <f t="shared" si="15"/>
        <v>3267723</v>
      </c>
    </row>
    <row r="483" spans="1:12">
      <c r="A483">
        <v>357</v>
      </c>
      <c r="B483">
        <v>490</v>
      </c>
      <c r="C483">
        <v>3</v>
      </c>
      <c r="D483" t="s">
        <v>2376</v>
      </c>
      <c r="E483" s="7">
        <v>82621.44</v>
      </c>
      <c r="F483" s="7">
        <v>6.48</v>
      </c>
      <c r="G483">
        <v>102</v>
      </c>
      <c r="H483" t="s">
        <v>1378</v>
      </c>
      <c r="I483" t="s">
        <v>2383</v>
      </c>
      <c r="J483">
        <v>0</v>
      </c>
      <c r="K483" s="9">
        <f t="shared" si="14"/>
        <v>45272</v>
      </c>
      <c r="L483">
        <f t="shared" si="15"/>
        <v>8262144</v>
      </c>
    </row>
    <row r="484" spans="1:12">
      <c r="A484">
        <v>358</v>
      </c>
      <c r="B484">
        <v>319</v>
      </c>
      <c r="C484">
        <v>4</v>
      </c>
      <c r="D484" t="s">
        <v>2390</v>
      </c>
      <c r="E484" s="7">
        <v>35765.16</v>
      </c>
      <c r="F484" s="7">
        <v>10.2</v>
      </c>
      <c r="G484">
        <v>65</v>
      </c>
      <c r="H484" t="s">
        <v>2686</v>
      </c>
      <c r="I484" t="s">
        <v>2377</v>
      </c>
      <c r="J484">
        <v>0</v>
      </c>
      <c r="K484" s="9">
        <f t="shared" si="14"/>
        <v>44980</v>
      </c>
      <c r="L484">
        <f t="shared" si="15"/>
        <v>3576516</v>
      </c>
    </row>
    <row r="485" spans="1:12">
      <c r="A485">
        <v>359</v>
      </c>
      <c r="B485">
        <v>466</v>
      </c>
      <c r="C485">
        <v>2</v>
      </c>
      <c r="D485" t="s">
        <v>2385</v>
      </c>
      <c r="E485" s="7">
        <v>2502.34</v>
      </c>
      <c r="F485" s="7">
        <v>21.57</v>
      </c>
      <c r="G485">
        <v>35</v>
      </c>
      <c r="H485" t="s">
        <v>2621</v>
      </c>
      <c r="I485" t="s">
        <v>2377</v>
      </c>
      <c r="J485">
        <v>0</v>
      </c>
      <c r="K485" s="9">
        <f t="shared" si="14"/>
        <v>44978</v>
      </c>
      <c r="L485">
        <f t="shared" si="15"/>
        <v>250234</v>
      </c>
    </row>
    <row r="486" spans="1:12">
      <c r="A486">
        <v>360</v>
      </c>
      <c r="B486">
        <v>934</v>
      </c>
      <c r="C486">
        <v>2</v>
      </c>
      <c r="D486" t="s">
        <v>2390</v>
      </c>
      <c r="E486" s="7">
        <v>29291.4</v>
      </c>
      <c r="F486" s="7">
        <v>18.58</v>
      </c>
      <c r="G486">
        <v>40</v>
      </c>
      <c r="H486" t="s">
        <v>2687</v>
      </c>
      <c r="I486" t="s">
        <v>2377</v>
      </c>
      <c r="J486">
        <v>0</v>
      </c>
      <c r="K486" s="9">
        <f t="shared" si="14"/>
        <v>45088</v>
      </c>
      <c r="L486">
        <f t="shared" si="15"/>
        <v>292914</v>
      </c>
    </row>
    <row r="487" spans="1:12">
      <c r="A487">
        <v>361</v>
      </c>
      <c r="B487">
        <v>337</v>
      </c>
      <c r="C487">
        <v>2</v>
      </c>
      <c r="D487" t="s">
        <v>2385</v>
      </c>
      <c r="E487" s="7">
        <v>3152.26</v>
      </c>
      <c r="F487" s="7">
        <v>15.98</v>
      </c>
      <c r="G487">
        <v>11</v>
      </c>
      <c r="H487" t="s">
        <v>2182</v>
      </c>
      <c r="I487" t="s">
        <v>2383</v>
      </c>
      <c r="J487">
        <v>0</v>
      </c>
      <c r="K487" s="9">
        <f t="shared" si="14"/>
        <v>44818</v>
      </c>
      <c r="L487">
        <f t="shared" si="15"/>
        <v>315226</v>
      </c>
    </row>
    <row r="488" spans="1:12">
      <c r="A488">
        <v>362</v>
      </c>
      <c r="B488">
        <v>546</v>
      </c>
      <c r="C488">
        <v>5</v>
      </c>
      <c r="D488" t="s">
        <v>2390</v>
      </c>
      <c r="E488" s="7">
        <v>9330.55</v>
      </c>
      <c r="F488" s="7">
        <v>7.17</v>
      </c>
      <c r="G488">
        <v>66</v>
      </c>
      <c r="H488" t="s">
        <v>2688</v>
      </c>
      <c r="I488" t="s">
        <v>2383</v>
      </c>
      <c r="J488">
        <v>0</v>
      </c>
      <c r="K488" s="9">
        <f t="shared" si="14"/>
        <v>45655</v>
      </c>
      <c r="L488">
        <f t="shared" si="15"/>
        <v>933055</v>
      </c>
    </row>
    <row r="489" spans="1:12">
      <c r="A489">
        <v>363</v>
      </c>
      <c r="B489">
        <v>517</v>
      </c>
      <c r="C489">
        <v>7</v>
      </c>
      <c r="D489" t="s">
        <v>2379</v>
      </c>
      <c r="E489" s="7">
        <v>12199.67</v>
      </c>
      <c r="F489" s="7">
        <v>10.55</v>
      </c>
      <c r="G489">
        <v>41</v>
      </c>
      <c r="H489" t="s">
        <v>2662</v>
      </c>
      <c r="I489" t="s">
        <v>2383</v>
      </c>
      <c r="J489">
        <v>0</v>
      </c>
      <c r="K489" s="9">
        <f t="shared" si="14"/>
        <v>45328</v>
      </c>
      <c r="L489">
        <f t="shared" si="15"/>
        <v>1219967</v>
      </c>
    </row>
    <row r="490" spans="1:12">
      <c r="A490">
        <v>364</v>
      </c>
      <c r="B490">
        <v>433</v>
      </c>
      <c r="C490">
        <v>2</v>
      </c>
      <c r="D490" t="s">
        <v>2387</v>
      </c>
      <c r="E490" s="7">
        <v>165169.6</v>
      </c>
      <c r="F490" s="7">
        <v>12.6</v>
      </c>
      <c r="G490">
        <v>334</v>
      </c>
      <c r="H490" t="s">
        <v>2689</v>
      </c>
      <c r="I490" t="s">
        <v>2377</v>
      </c>
      <c r="J490">
        <v>0</v>
      </c>
      <c r="K490" s="9">
        <f t="shared" si="14"/>
        <v>45337</v>
      </c>
      <c r="L490">
        <f t="shared" si="15"/>
        <v>1651696</v>
      </c>
    </row>
    <row r="491" spans="1:12">
      <c r="A491">
        <v>365</v>
      </c>
      <c r="B491">
        <v>720</v>
      </c>
      <c r="C491">
        <v>1</v>
      </c>
      <c r="D491" t="s">
        <v>2379</v>
      </c>
      <c r="E491" s="7">
        <v>10174.98</v>
      </c>
      <c r="F491" s="7">
        <v>7.5</v>
      </c>
      <c r="G491">
        <v>22</v>
      </c>
      <c r="H491" t="s">
        <v>2690</v>
      </c>
      <c r="I491" t="s">
        <v>2393</v>
      </c>
      <c r="J491">
        <v>107</v>
      </c>
      <c r="K491" s="9">
        <f t="shared" si="14"/>
        <v>45589</v>
      </c>
      <c r="L491">
        <f t="shared" si="15"/>
        <v>1017498</v>
      </c>
    </row>
    <row r="492" spans="1:12">
      <c r="A492">
        <v>366</v>
      </c>
      <c r="B492">
        <v>221</v>
      </c>
      <c r="C492">
        <v>5</v>
      </c>
      <c r="D492" t="s">
        <v>2387</v>
      </c>
      <c r="E492" s="7">
        <v>182691.36</v>
      </c>
      <c r="F492" s="7">
        <v>20.73</v>
      </c>
      <c r="G492">
        <v>347</v>
      </c>
      <c r="H492" t="s">
        <v>2551</v>
      </c>
      <c r="I492" t="s">
        <v>2383</v>
      </c>
      <c r="J492">
        <v>0</v>
      </c>
      <c r="K492" s="9">
        <f t="shared" si="14"/>
        <v>44026</v>
      </c>
      <c r="L492">
        <f t="shared" si="15"/>
        <v>18269136</v>
      </c>
    </row>
    <row r="493" spans="1:12">
      <c r="A493">
        <v>367</v>
      </c>
      <c r="B493">
        <v>370</v>
      </c>
      <c r="C493">
        <v>4</v>
      </c>
      <c r="D493" t="s">
        <v>2379</v>
      </c>
      <c r="E493" s="7">
        <v>13916.72</v>
      </c>
      <c r="F493" s="7">
        <v>6.01</v>
      </c>
      <c r="G493">
        <v>45</v>
      </c>
      <c r="H493" t="s">
        <v>2691</v>
      </c>
      <c r="I493" t="s">
        <v>2377</v>
      </c>
      <c r="J493">
        <v>0</v>
      </c>
      <c r="K493" s="9">
        <f t="shared" si="14"/>
        <v>45822</v>
      </c>
      <c r="L493">
        <f t="shared" si="15"/>
        <v>1391672</v>
      </c>
    </row>
    <row r="494" spans="1:12">
      <c r="A494">
        <v>368</v>
      </c>
      <c r="B494">
        <v>60</v>
      </c>
      <c r="C494">
        <v>7</v>
      </c>
      <c r="D494" t="s">
        <v>2387</v>
      </c>
      <c r="E494" s="7">
        <v>141258.85</v>
      </c>
      <c r="F494" s="7">
        <v>10.71</v>
      </c>
      <c r="G494">
        <v>175</v>
      </c>
      <c r="H494" t="s">
        <v>796</v>
      </c>
      <c r="I494" t="s">
        <v>2383</v>
      </c>
      <c r="J494">
        <v>0</v>
      </c>
      <c r="K494" s="9">
        <f t="shared" si="14"/>
        <v>43890</v>
      </c>
      <c r="L494">
        <f t="shared" si="15"/>
        <v>14125885</v>
      </c>
    </row>
    <row r="495" spans="1:12">
      <c r="A495">
        <v>369</v>
      </c>
      <c r="B495">
        <v>360</v>
      </c>
      <c r="C495">
        <v>3</v>
      </c>
      <c r="D495" t="s">
        <v>2390</v>
      </c>
      <c r="E495" s="7">
        <v>22121.03</v>
      </c>
      <c r="F495" s="7">
        <v>17.45</v>
      </c>
      <c r="G495">
        <v>36</v>
      </c>
      <c r="H495" t="s">
        <v>2692</v>
      </c>
      <c r="I495" t="s">
        <v>2377</v>
      </c>
      <c r="J495">
        <v>86</v>
      </c>
      <c r="K495" s="9">
        <f t="shared" si="14"/>
        <v>44209</v>
      </c>
      <c r="L495">
        <f t="shared" si="15"/>
        <v>2212103</v>
      </c>
    </row>
    <row r="496" spans="1:12">
      <c r="A496">
        <v>370</v>
      </c>
      <c r="B496">
        <v>20</v>
      </c>
      <c r="C496">
        <v>5</v>
      </c>
      <c r="D496" t="s">
        <v>2379</v>
      </c>
      <c r="E496" s="7">
        <v>6668.75</v>
      </c>
      <c r="F496" s="7">
        <v>14.88</v>
      </c>
      <c r="G496">
        <v>46</v>
      </c>
      <c r="H496" t="s">
        <v>2693</v>
      </c>
      <c r="I496" t="s">
        <v>2377</v>
      </c>
      <c r="J496">
        <v>84</v>
      </c>
      <c r="K496" s="9">
        <f t="shared" si="14"/>
        <v>44681</v>
      </c>
      <c r="L496">
        <f t="shared" si="15"/>
        <v>666875</v>
      </c>
    </row>
    <row r="497" spans="1:12">
      <c r="A497">
        <v>371</v>
      </c>
      <c r="B497">
        <v>98</v>
      </c>
      <c r="C497">
        <v>4</v>
      </c>
      <c r="D497" t="s">
        <v>2379</v>
      </c>
      <c r="E497" s="7">
        <v>14334.83</v>
      </c>
      <c r="F497" s="7">
        <v>18.01</v>
      </c>
      <c r="G497">
        <v>29</v>
      </c>
      <c r="H497" t="s">
        <v>2694</v>
      </c>
      <c r="I497" t="s">
        <v>2383</v>
      </c>
      <c r="J497">
        <v>0</v>
      </c>
      <c r="K497" s="9">
        <f t="shared" si="14"/>
        <v>44101</v>
      </c>
      <c r="L497">
        <f t="shared" si="15"/>
        <v>1433483</v>
      </c>
    </row>
    <row r="498" spans="1:12">
      <c r="A498">
        <v>372</v>
      </c>
      <c r="B498">
        <v>898</v>
      </c>
      <c r="C498">
        <v>1</v>
      </c>
      <c r="D498" t="s">
        <v>2390</v>
      </c>
      <c r="E498" s="7">
        <v>36334.81</v>
      </c>
      <c r="F498" s="7">
        <v>8</v>
      </c>
      <c r="G498">
        <v>62</v>
      </c>
      <c r="H498" t="s">
        <v>2065</v>
      </c>
      <c r="I498" t="s">
        <v>2377</v>
      </c>
      <c r="J498">
        <v>0</v>
      </c>
      <c r="K498" s="9">
        <f t="shared" si="14"/>
        <v>45217</v>
      </c>
      <c r="L498">
        <f t="shared" si="15"/>
        <v>3633481</v>
      </c>
    </row>
    <row r="499" spans="1:12">
      <c r="A499">
        <v>373</v>
      </c>
      <c r="B499">
        <v>663</v>
      </c>
      <c r="C499">
        <v>6</v>
      </c>
      <c r="D499" t="s">
        <v>2390</v>
      </c>
      <c r="E499" s="7">
        <v>27745.42</v>
      </c>
      <c r="F499" s="7">
        <v>13.76</v>
      </c>
      <c r="G499">
        <v>32</v>
      </c>
      <c r="H499" t="s">
        <v>2695</v>
      </c>
      <c r="I499" t="s">
        <v>2383</v>
      </c>
      <c r="J499">
        <v>0</v>
      </c>
      <c r="K499" s="9">
        <f t="shared" si="14"/>
        <v>44185</v>
      </c>
      <c r="L499">
        <f t="shared" si="15"/>
        <v>2774542</v>
      </c>
    </row>
    <row r="500" spans="1:12">
      <c r="A500">
        <v>374</v>
      </c>
      <c r="B500">
        <v>390</v>
      </c>
      <c r="C500">
        <v>4</v>
      </c>
      <c r="D500" t="s">
        <v>2387</v>
      </c>
      <c r="E500" s="7">
        <v>99130.05</v>
      </c>
      <c r="F500" s="7">
        <v>15.88</v>
      </c>
      <c r="G500">
        <v>236</v>
      </c>
      <c r="H500" t="s">
        <v>2696</v>
      </c>
      <c r="I500" t="s">
        <v>2377</v>
      </c>
      <c r="J500">
        <v>0</v>
      </c>
      <c r="K500" s="9">
        <f t="shared" si="14"/>
        <v>44665</v>
      </c>
      <c r="L500">
        <f t="shared" si="15"/>
        <v>9913005</v>
      </c>
    </row>
    <row r="501" spans="1:12">
      <c r="A501">
        <v>375</v>
      </c>
      <c r="B501">
        <v>13</v>
      </c>
      <c r="C501">
        <v>3</v>
      </c>
      <c r="D501" t="s">
        <v>2390</v>
      </c>
      <c r="E501" s="7">
        <v>11517.18</v>
      </c>
      <c r="F501" s="7">
        <v>18.18</v>
      </c>
      <c r="G501">
        <v>34</v>
      </c>
      <c r="H501" t="s">
        <v>2697</v>
      </c>
      <c r="I501" t="s">
        <v>2393</v>
      </c>
      <c r="J501">
        <v>126</v>
      </c>
      <c r="K501" s="9">
        <f t="shared" si="14"/>
        <v>45426</v>
      </c>
      <c r="L501">
        <f t="shared" si="15"/>
        <v>1151718</v>
      </c>
    </row>
    <row r="502" spans="1:12">
      <c r="A502">
        <v>376</v>
      </c>
      <c r="B502">
        <v>109</v>
      </c>
      <c r="C502">
        <v>3</v>
      </c>
      <c r="D502" t="s">
        <v>2379</v>
      </c>
      <c r="E502" s="7">
        <v>2213.62</v>
      </c>
      <c r="F502" s="7">
        <v>11.2</v>
      </c>
      <c r="G502">
        <v>26</v>
      </c>
      <c r="H502" t="s">
        <v>621</v>
      </c>
      <c r="I502" t="s">
        <v>2377</v>
      </c>
      <c r="J502">
        <v>0</v>
      </c>
      <c r="K502" s="9">
        <f t="shared" si="14"/>
        <v>44394</v>
      </c>
      <c r="L502">
        <f t="shared" si="15"/>
        <v>221362</v>
      </c>
    </row>
    <row r="503" spans="1:12">
      <c r="A503">
        <v>377</v>
      </c>
      <c r="B503">
        <v>682</v>
      </c>
      <c r="C503">
        <v>4</v>
      </c>
      <c r="D503" t="s">
        <v>2385</v>
      </c>
      <c r="E503" s="7">
        <v>708.57</v>
      </c>
      <c r="F503" s="7">
        <v>6.64</v>
      </c>
      <c r="G503">
        <v>32</v>
      </c>
      <c r="H503" t="s">
        <v>729</v>
      </c>
      <c r="I503" t="s">
        <v>2377</v>
      </c>
      <c r="J503">
        <v>0</v>
      </c>
      <c r="K503" s="9">
        <f t="shared" si="14"/>
        <v>45036</v>
      </c>
      <c r="L503">
        <f t="shared" si="15"/>
        <v>70857</v>
      </c>
    </row>
    <row r="504" spans="1:12">
      <c r="A504">
        <v>378</v>
      </c>
      <c r="B504">
        <v>67</v>
      </c>
      <c r="C504">
        <v>7</v>
      </c>
      <c r="D504" t="s">
        <v>2390</v>
      </c>
      <c r="E504" s="7">
        <v>39521.04</v>
      </c>
      <c r="F504" s="7">
        <v>19.54</v>
      </c>
      <c r="G504">
        <v>59</v>
      </c>
      <c r="H504" t="s">
        <v>2666</v>
      </c>
      <c r="I504" t="s">
        <v>2383</v>
      </c>
      <c r="J504">
        <v>0</v>
      </c>
      <c r="K504" s="9">
        <f t="shared" si="14"/>
        <v>44652</v>
      </c>
      <c r="L504">
        <f t="shared" si="15"/>
        <v>3952104</v>
      </c>
    </row>
    <row r="505" spans="1:12">
      <c r="A505">
        <v>379</v>
      </c>
      <c r="B505">
        <v>786</v>
      </c>
      <c r="C505">
        <v>7</v>
      </c>
      <c r="D505" t="s">
        <v>2387</v>
      </c>
      <c r="E505" s="7">
        <v>97109.45</v>
      </c>
      <c r="F505" s="7">
        <v>12.22</v>
      </c>
      <c r="G505">
        <v>136</v>
      </c>
      <c r="H505" t="s">
        <v>2698</v>
      </c>
      <c r="I505" t="s">
        <v>2377</v>
      </c>
      <c r="J505">
        <v>0</v>
      </c>
      <c r="K505" s="9">
        <f t="shared" si="14"/>
        <v>45780</v>
      </c>
      <c r="L505">
        <f t="shared" si="15"/>
        <v>9710945</v>
      </c>
    </row>
    <row r="506" spans="1:12">
      <c r="A506">
        <v>380</v>
      </c>
      <c r="B506">
        <v>386</v>
      </c>
      <c r="C506">
        <v>7</v>
      </c>
      <c r="D506" t="s">
        <v>2390</v>
      </c>
      <c r="E506" s="7">
        <v>19620.98</v>
      </c>
      <c r="F506" s="7">
        <v>13.55</v>
      </c>
      <c r="G506">
        <v>83</v>
      </c>
      <c r="H506" t="s">
        <v>2699</v>
      </c>
      <c r="I506" t="s">
        <v>2377</v>
      </c>
      <c r="J506">
        <v>7</v>
      </c>
      <c r="K506" s="9">
        <f t="shared" si="14"/>
        <v>45428</v>
      </c>
      <c r="L506">
        <f t="shared" si="15"/>
        <v>1962098</v>
      </c>
    </row>
    <row r="507" spans="1:12">
      <c r="A507">
        <v>381</v>
      </c>
      <c r="B507">
        <v>981</v>
      </c>
      <c r="C507">
        <v>4</v>
      </c>
      <c r="D507" t="s">
        <v>2390</v>
      </c>
      <c r="E507" s="7">
        <v>19889.42</v>
      </c>
      <c r="F507" s="7">
        <v>5.28</v>
      </c>
      <c r="G507">
        <v>68</v>
      </c>
      <c r="H507" t="s">
        <v>2700</v>
      </c>
      <c r="I507" t="s">
        <v>2377</v>
      </c>
      <c r="J507">
        <v>62</v>
      </c>
      <c r="K507" s="9">
        <f t="shared" si="14"/>
        <v>44094</v>
      </c>
      <c r="L507">
        <f t="shared" si="15"/>
        <v>1988942</v>
      </c>
    </row>
    <row r="508" spans="1:12">
      <c r="A508">
        <v>382</v>
      </c>
      <c r="B508">
        <v>95</v>
      </c>
      <c r="C508">
        <v>3</v>
      </c>
      <c r="D508" t="s">
        <v>2376</v>
      </c>
      <c r="E508" s="7">
        <v>101976.77</v>
      </c>
      <c r="F508" s="7">
        <v>16.16</v>
      </c>
      <c r="G508">
        <v>34</v>
      </c>
      <c r="H508" t="s">
        <v>2701</v>
      </c>
      <c r="I508" t="s">
        <v>2377</v>
      </c>
      <c r="J508">
        <v>0</v>
      </c>
      <c r="K508" s="9">
        <f t="shared" si="14"/>
        <v>45672</v>
      </c>
      <c r="L508">
        <f t="shared" si="15"/>
        <v>10197677</v>
      </c>
    </row>
    <row r="509" spans="1:12">
      <c r="A509">
        <v>383</v>
      </c>
      <c r="B509">
        <v>155</v>
      </c>
      <c r="C509">
        <v>6</v>
      </c>
      <c r="D509" t="s">
        <v>2376</v>
      </c>
      <c r="E509" s="7">
        <v>63699.8</v>
      </c>
      <c r="F509" s="7">
        <v>19.17</v>
      </c>
      <c r="G509">
        <v>111</v>
      </c>
      <c r="H509" t="s">
        <v>2702</v>
      </c>
      <c r="I509" t="s">
        <v>2393</v>
      </c>
      <c r="J509">
        <v>153</v>
      </c>
      <c r="K509" s="9">
        <f t="shared" si="14"/>
        <v>45105</v>
      </c>
      <c r="L509">
        <f t="shared" si="15"/>
        <v>636998</v>
      </c>
    </row>
    <row r="510" spans="1:12">
      <c r="A510">
        <v>384</v>
      </c>
      <c r="B510">
        <v>21</v>
      </c>
      <c r="C510">
        <v>6</v>
      </c>
      <c r="D510" t="s">
        <v>2390</v>
      </c>
      <c r="E510" s="7">
        <v>36550.12</v>
      </c>
      <c r="F510" s="7">
        <v>15.09</v>
      </c>
      <c r="G510">
        <v>34</v>
      </c>
      <c r="H510" t="s">
        <v>961</v>
      </c>
      <c r="I510" t="s">
        <v>2377</v>
      </c>
      <c r="J510">
        <v>0</v>
      </c>
      <c r="K510" s="9">
        <f t="shared" si="14"/>
        <v>44898</v>
      </c>
      <c r="L510">
        <f t="shared" si="15"/>
        <v>3655012</v>
      </c>
    </row>
    <row r="511" spans="1:12">
      <c r="A511">
        <v>385</v>
      </c>
      <c r="B511">
        <v>357</v>
      </c>
      <c r="C511">
        <v>4</v>
      </c>
      <c r="D511" t="s">
        <v>2390</v>
      </c>
      <c r="E511" s="7">
        <v>35886.69</v>
      </c>
      <c r="F511" s="7">
        <v>17.58</v>
      </c>
      <c r="G511">
        <v>56</v>
      </c>
      <c r="H511" t="s">
        <v>2566</v>
      </c>
      <c r="I511" t="s">
        <v>2383</v>
      </c>
      <c r="J511">
        <v>0</v>
      </c>
      <c r="K511" s="9">
        <f t="shared" si="14"/>
        <v>45566</v>
      </c>
      <c r="L511">
        <f t="shared" si="15"/>
        <v>3588669</v>
      </c>
    </row>
    <row r="512" spans="1:12">
      <c r="A512">
        <v>386</v>
      </c>
      <c r="B512">
        <v>410</v>
      </c>
      <c r="C512">
        <v>6</v>
      </c>
      <c r="D512" t="s">
        <v>2376</v>
      </c>
      <c r="E512" s="7">
        <v>27213.44</v>
      </c>
      <c r="F512" s="7">
        <v>10.03</v>
      </c>
      <c r="G512">
        <v>30</v>
      </c>
      <c r="H512" t="s">
        <v>530</v>
      </c>
      <c r="I512" t="s">
        <v>2377</v>
      </c>
      <c r="J512">
        <v>0</v>
      </c>
      <c r="K512" s="9">
        <f t="shared" si="14"/>
        <v>44554</v>
      </c>
      <c r="L512">
        <f t="shared" si="15"/>
        <v>2721344</v>
      </c>
    </row>
    <row r="513" spans="1:12">
      <c r="A513">
        <v>387</v>
      </c>
      <c r="B513">
        <v>518</v>
      </c>
      <c r="C513">
        <v>1</v>
      </c>
      <c r="D513" t="s">
        <v>2376</v>
      </c>
      <c r="E513" s="7">
        <v>129109.15</v>
      </c>
      <c r="F513" s="7">
        <v>11.82</v>
      </c>
      <c r="G513">
        <v>89</v>
      </c>
      <c r="H513" t="s">
        <v>2571</v>
      </c>
      <c r="I513" t="s">
        <v>2377</v>
      </c>
      <c r="J513">
        <v>0</v>
      </c>
      <c r="K513" s="9">
        <f t="shared" si="14"/>
        <v>45319</v>
      </c>
      <c r="L513">
        <f t="shared" si="15"/>
        <v>12910915</v>
      </c>
    </row>
    <row r="514" spans="1:12">
      <c r="A514">
        <v>388</v>
      </c>
      <c r="B514">
        <v>371</v>
      </c>
      <c r="C514">
        <v>2</v>
      </c>
      <c r="D514" t="s">
        <v>2376</v>
      </c>
      <c r="E514" s="7">
        <v>101727.13</v>
      </c>
      <c r="F514" s="7">
        <v>17.32</v>
      </c>
      <c r="G514">
        <v>31</v>
      </c>
      <c r="H514" t="s">
        <v>2703</v>
      </c>
      <c r="I514" t="s">
        <v>2377</v>
      </c>
      <c r="J514">
        <v>0</v>
      </c>
      <c r="K514" s="9">
        <f t="shared" si="14"/>
        <v>44964</v>
      </c>
      <c r="L514">
        <f t="shared" si="15"/>
        <v>10172713</v>
      </c>
    </row>
    <row r="515" spans="1:12">
      <c r="A515">
        <v>389</v>
      </c>
      <c r="B515">
        <v>452</v>
      </c>
      <c r="C515">
        <v>1</v>
      </c>
      <c r="D515" t="s">
        <v>2387</v>
      </c>
      <c r="E515" s="7">
        <v>125307.44</v>
      </c>
      <c r="F515" s="7">
        <v>11.73</v>
      </c>
      <c r="G515">
        <v>298</v>
      </c>
      <c r="H515" t="s">
        <v>2550</v>
      </c>
      <c r="I515" t="s">
        <v>2377</v>
      </c>
      <c r="J515">
        <v>0</v>
      </c>
      <c r="K515" s="9">
        <f t="shared" ref="K515:K578" si="16">DATEVALUE(LEFT(H515,10))</f>
        <v>45400</v>
      </c>
      <c r="L515">
        <f t="shared" ref="L515:L578" si="17">_xlfn.NUMBERVALUE(E515,".",",")</f>
        <v>12530744</v>
      </c>
    </row>
    <row r="516" spans="1:12">
      <c r="A516">
        <v>390</v>
      </c>
      <c r="B516">
        <v>999</v>
      </c>
      <c r="C516">
        <v>6</v>
      </c>
      <c r="D516" t="s">
        <v>2385</v>
      </c>
      <c r="E516" s="7">
        <v>5360.38</v>
      </c>
      <c r="F516" s="7">
        <v>8.3</v>
      </c>
      <c r="G516">
        <v>12</v>
      </c>
      <c r="H516" t="s">
        <v>2633</v>
      </c>
      <c r="I516" t="s">
        <v>2377</v>
      </c>
      <c r="J516">
        <v>0</v>
      </c>
      <c r="K516" s="9">
        <f t="shared" si="16"/>
        <v>44434</v>
      </c>
      <c r="L516">
        <f t="shared" si="17"/>
        <v>536038</v>
      </c>
    </row>
    <row r="517" spans="1:12">
      <c r="A517">
        <v>391</v>
      </c>
      <c r="B517">
        <v>827</v>
      </c>
      <c r="C517">
        <v>3</v>
      </c>
      <c r="D517" t="s">
        <v>2390</v>
      </c>
      <c r="E517" s="7">
        <v>27483.96</v>
      </c>
      <c r="F517" s="7">
        <v>10.7</v>
      </c>
      <c r="G517">
        <v>58</v>
      </c>
      <c r="H517" t="s">
        <v>1370</v>
      </c>
      <c r="I517" t="s">
        <v>2377</v>
      </c>
      <c r="J517">
        <v>11</v>
      </c>
      <c r="K517" s="9">
        <f t="shared" si="16"/>
        <v>45017</v>
      </c>
      <c r="L517">
        <f t="shared" si="17"/>
        <v>2748396</v>
      </c>
    </row>
    <row r="518" spans="1:12">
      <c r="A518">
        <v>392</v>
      </c>
      <c r="B518">
        <v>958</v>
      </c>
      <c r="C518">
        <v>1</v>
      </c>
      <c r="D518" t="s">
        <v>2387</v>
      </c>
      <c r="E518" s="7">
        <v>89850.45</v>
      </c>
      <c r="F518" s="7">
        <v>21.85</v>
      </c>
      <c r="G518">
        <v>193</v>
      </c>
      <c r="H518" t="s">
        <v>2704</v>
      </c>
      <c r="I518" t="s">
        <v>2383</v>
      </c>
      <c r="J518">
        <v>0</v>
      </c>
      <c r="K518" s="9">
        <f t="shared" si="16"/>
        <v>44527</v>
      </c>
      <c r="L518">
        <f t="shared" si="17"/>
        <v>8985045</v>
      </c>
    </row>
    <row r="519" spans="1:12">
      <c r="A519">
        <v>393</v>
      </c>
      <c r="B519">
        <v>948</v>
      </c>
      <c r="C519">
        <v>6</v>
      </c>
      <c r="D519" t="s">
        <v>2379</v>
      </c>
      <c r="E519" s="7">
        <v>13885.08</v>
      </c>
      <c r="F519" s="7">
        <v>7.41</v>
      </c>
      <c r="G519">
        <v>43</v>
      </c>
      <c r="H519" t="s">
        <v>2705</v>
      </c>
      <c r="I519" t="s">
        <v>2377</v>
      </c>
      <c r="J519">
        <v>0</v>
      </c>
      <c r="K519" s="9">
        <f t="shared" si="16"/>
        <v>45474</v>
      </c>
      <c r="L519">
        <f t="shared" si="17"/>
        <v>1388508</v>
      </c>
    </row>
    <row r="520" spans="1:12">
      <c r="A520">
        <v>394</v>
      </c>
      <c r="B520">
        <v>669</v>
      </c>
      <c r="C520">
        <v>3</v>
      </c>
      <c r="D520" t="s">
        <v>2390</v>
      </c>
      <c r="E520" s="7">
        <v>37874.38</v>
      </c>
      <c r="F520" s="7">
        <v>5.72</v>
      </c>
      <c r="G520">
        <v>59</v>
      </c>
      <c r="H520" t="s">
        <v>2706</v>
      </c>
      <c r="I520" t="s">
        <v>2393</v>
      </c>
      <c r="J520">
        <v>144</v>
      </c>
      <c r="K520" s="9">
        <f t="shared" si="16"/>
        <v>44464</v>
      </c>
      <c r="L520">
        <f t="shared" si="17"/>
        <v>3787438</v>
      </c>
    </row>
    <row r="521" spans="1:12">
      <c r="A521">
        <v>395</v>
      </c>
      <c r="B521">
        <v>994</v>
      </c>
      <c r="C521">
        <v>3</v>
      </c>
      <c r="D521" t="s">
        <v>2390</v>
      </c>
      <c r="E521" s="7">
        <v>32073.81</v>
      </c>
      <c r="F521" s="7">
        <v>7.65</v>
      </c>
      <c r="G521">
        <v>27</v>
      </c>
      <c r="H521" t="s">
        <v>898</v>
      </c>
      <c r="I521" t="s">
        <v>2377</v>
      </c>
      <c r="J521">
        <v>0</v>
      </c>
      <c r="K521" s="9">
        <f t="shared" si="16"/>
        <v>44605</v>
      </c>
      <c r="L521">
        <f t="shared" si="17"/>
        <v>3207381</v>
      </c>
    </row>
    <row r="522" spans="1:12">
      <c r="A522">
        <v>396</v>
      </c>
      <c r="B522">
        <v>63</v>
      </c>
      <c r="C522">
        <v>4</v>
      </c>
      <c r="D522" t="s">
        <v>2379</v>
      </c>
      <c r="E522" s="7">
        <v>1147.93</v>
      </c>
      <c r="F522" s="7">
        <v>18.13</v>
      </c>
      <c r="G522">
        <v>43</v>
      </c>
      <c r="H522" t="s">
        <v>2707</v>
      </c>
      <c r="I522" t="s">
        <v>2377</v>
      </c>
      <c r="J522">
        <v>0</v>
      </c>
      <c r="K522" s="9">
        <f t="shared" si="16"/>
        <v>44834</v>
      </c>
      <c r="L522">
        <f t="shared" si="17"/>
        <v>114793</v>
      </c>
    </row>
    <row r="523" spans="1:12">
      <c r="A523">
        <v>397</v>
      </c>
      <c r="B523">
        <v>420</v>
      </c>
      <c r="C523">
        <v>4</v>
      </c>
      <c r="D523" t="s">
        <v>2390</v>
      </c>
      <c r="E523" s="7">
        <v>37090.39</v>
      </c>
      <c r="F523" s="7">
        <v>7.03</v>
      </c>
      <c r="G523">
        <v>44</v>
      </c>
      <c r="H523" t="s">
        <v>2708</v>
      </c>
      <c r="I523" t="s">
        <v>2377</v>
      </c>
      <c r="J523">
        <v>0</v>
      </c>
      <c r="K523" s="9">
        <f t="shared" si="16"/>
        <v>45620</v>
      </c>
      <c r="L523">
        <f t="shared" si="17"/>
        <v>3709039</v>
      </c>
    </row>
    <row r="524" spans="1:12">
      <c r="A524">
        <v>398</v>
      </c>
      <c r="B524">
        <v>582</v>
      </c>
      <c r="C524">
        <v>1</v>
      </c>
      <c r="D524" t="s">
        <v>2379</v>
      </c>
      <c r="E524" s="7">
        <v>3286.37</v>
      </c>
      <c r="F524" s="7">
        <v>20.42</v>
      </c>
      <c r="G524">
        <v>26</v>
      </c>
      <c r="H524" t="s">
        <v>2709</v>
      </c>
      <c r="I524" t="s">
        <v>2377</v>
      </c>
      <c r="J524">
        <v>18</v>
      </c>
      <c r="K524" s="9">
        <f t="shared" si="16"/>
        <v>44274</v>
      </c>
      <c r="L524">
        <f t="shared" si="17"/>
        <v>328637</v>
      </c>
    </row>
    <row r="525" spans="1:12">
      <c r="A525">
        <v>399</v>
      </c>
      <c r="B525">
        <v>808</v>
      </c>
      <c r="C525">
        <v>5</v>
      </c>
      <c r="D525" t="s">
        <v>2390</v>
      </c>
      <c r="E525" s="7">
        <v>22727.17</v>
      </c>
      <c r="F525" s="7">
        <v>21.44</v>
      </c>
      <c r="G525">
        <v>46</v>
      </c>
      <c r="H525" t="s">
        <v>2469</v>
      </c>
      <c r="I525" t="s">
        <v>2377</v>
      </c>
      <c r="J525">
        <v>82</v>
      </c>
      <c r="K525" s="9">
        <f t="shared" si="16"/>
        <v>44696</v>
      </c>
      <c r="L525">
        <f t="shared" si="17"/>
        <v>2272717</v>
      </c>
    </row>
    <row r="526" spans="1:12">
      <c r="A526">
        <v>400</v>
      </c>
      <c r="B526">
        <v>393</v>
      </c>
      <c r="C526">
        <v>4</v>
      </c>
      <c r="D526" t="s">
        <v>2385</v>
      </c>
      <c r="E526" s="7">
        <v>3527.72</v>
      </c>
      <c r="F526" s="7">
        <v>12.86</v>
      </c>
      <c r="G526">
        <v>31</v>
      </c>
      <c r="H526" t="s">
        <v>2710</v>
      </c>
      <c r="I526" t="s">
        <v>2383</v>
      </c>
      <c r="J526">
        <v>0</v>
      </c>
      <c r="K526" s="9">
        <f t="shared" si="16"/>
        <v>44007</v>
      </c>
      <c r="L526">
        <f t="shared" si="17"/>
        <v>352772</v>
      </c>
    </row>
    <row r="527" spans="1:12">
      <c r="A527">
        <v>401</v>
      </c>
      <c r="B527">
        <v>843</v>
      </c>
      <c r="C527">
        <v>2</v>
      </c>
      <c r="D527" t="s">
        <v>2385</v>
      </c>
      <c r="E527" s="7">
        <v>2035.73</v>
      </c>
      <c r="F527" s="7">
        <v>8.85</v>
      </c>
      <c r="G527">
        <v>12</v>
      </c>
      <c r="H527" t="s">
        <v>2711</v>
      </c>
      <c r="I527" t="s">
        <v>2377</v>
      </c>
      <c r="J527">
        <v>0</v>
      </c>
      <c r="K527" s="9">
        <f t="shared" si="16"/>
        <v>45220</v>
      </c>
      <c r="L527">
        <f t="shared" si="17"/>
        <v>203573</v>
      </c>
    </row>
    <row r="528" spans="1:12">
      <c r="A528">
        <v>402</v>
      </c>
      <c r="B528">
        <v>916</v>
      </c>
      <c r="C528">
        <v>6</v>
      </c>
      <c r="D528" t="s">
        <v>2390</v>
      </c>
      <c r="E528" s="7">
        <v>10004.13</v>
      </c>
      <c r="F528" s="7">
        <v>21.36</v>
      </c>
      <c r="G528">
        <v>60</v>
      </c>
      <c r="H528" t="s">
        <v>2712</v>
      </c>
      <c r="I528" t="s">
        <v>2377</v>
      </c>
      <c r="J528">
        <v>0</v>
      </c>
      <c r="K528" s="9">
        <f t="shared" si="16"/>
        <v>45202</v>
      </c>
      <c r="L528">
        <f t="shared" si="17"/>
        <v>1000413</v>
      </c>
    </row>
    <row r="529" spans="1:12">
      <c r="A529">
        <v>403</v>
      </c>
      <c r="B529">
        <v>337</v>
      </c>
      <c r="C529">
        <v>2</v>
      </c>
      <c r="D529" t="s">
        <v>2387</v>
      </c>
      <c r="E529" s="7">
        <v>72416.86</v>
      </c>
      <c r="F529" s="7">
        <v>16.23</v>
      </c>
      <c r="G529">
        <v>232</v>
      </c>
      <c r="H529" t="s">
        <v>2713</v>
      </c>
      <c r="I529" t="s">
        <v>2377</v>
      </c>
      <c r="J529">
        <v>0</v>
      </c>
      <c r="K529" s="9">
        <f t="shared" si="16"/>
        <v>45750</v>
      </c>
      <c r="L529">
        <f t="shared" si="17"/>
        <v>7241686</v>
      </c>
    </row>
    <row r="530" spans="1:12">
      <c r="A530">
        <v>404</v>
      </c>
      <c r="B530">
        <v>302</v>
      </c>
      <c r="C530">
        <v>2</v>
      </c>
      <c r="D530" t="s">
        <v>2390</v>
      </c>
      <c r="E530" s="7">
        <v>22019.8</v>
      </c>
      <c r="F530" s="7">
        <v>17.37</v>
      </c>
      <c r="G530">
        <v>69</v>
      </c>
      <c r="H530" t="s">
        <v>1479</v>
      </c>
      <c r="I530" t="s">
        <v>2377</v>
      </c>
      <c r="J530">
        <v>0</v>
      </c>
      <c r="K530" s="9">
        <f t="shared" si="16"/>
        <v>45001</v>
      </c>
      <c r="L530">
        <f t="shared" si="17"/>
        <v>220198</v>
      </c>
    </row>
    <row r="531" spans="1:12">
      <c r="A531">
        <v>405</v>
      </c>
      <c r="B531">
        <v>95</v>
      </c>
      <c r="C531">
        <v>3</v>
      </c>
      <c r="D531" t="s">
        <v>2379</v>
      </c>
      <c r="E531" s="7">
        <v>2595.35</v>
      </c>
      <c r="F531" s="7">
        <v>5.58</v>
      </c>
      <c r="G531">
        <v>30</v>
      </c>
      <c r="H531" t="s">
        <v>2714</v>
      </c>
      <c r="I531" t="s">
        <v>2393</v>
      </c>
      <c r="J531">
        <v>288</v>
      </c>
      <c r="K531" s="9">
        <f t="shared" si="16"/>
        <v>45210</v>
      </c>
      <c r="L531">
        <f t="shared" si="17"/>
        <v>259535</v>
      </c>
    </row>
    <row r="532" spans="1:12">
      <c r="A532">
        <v>406</v>
      </c>
      <c r="B532">
        <v>765</v>
      </c>
      <c r="C532">
        <v>7</v>
      </c>
      <c r="D532" t="s">
        <v>2379</v>
      </c>
      <c r="E532" s="7">
        <v>14769.74</v>
      </c>
      <c r="F532" s="7">
        <v>6.95</v>
      </c>
      <c r="G532">
        <v>56</v>
      </c>
      <c r="H532" t="s">
        <v>1918</v>
      </c>
      <c r="I532" t="s">
        <v>2377</v>
      </c>
      <c r="J532">
        <v>0</v>
      </c>
      <c r="K532" s="9">
        <f t="shared" si="16"/>
        <v>44369</v>
      </c>
      <c r="L532">
        <f t="shared" si="17"/>
        <v>1476974</v>
      </c>
    </row>
    <row r="533" spans="1:12">
      <c r="A533">
        <v>407</v>
      </c>
      <c r="B533">
        <v>554</v>
      </c>
      <c r="C533">
        <v>6</v>
      </c>
      <c r="D533" t="s">
        <v>2387</v>
      </c>
      <c r="E533" s="7">
        <v>167831.77</v>
      </c>
      <c r="F533" s="7">
        <v>12.11</v>
      </c>
      <c r="G533">
        <v>245</v>
      </c>
      <c r="H533" t="s">
        <v>2715</v>
      </c>
      <c r="I533" t="s">
        <v>2377</v>
      </c>
      <c r="J533">
        <v>16</v>
      </c>
      <c r="K533" s="9">
        <f t="shared" si="16"/>
        <v>45081</v>
      </c>
      <c r="L533">
        <f t="shared" si="17"/>
        <v>16783177</v>
      </c>
    </row>
    <row r="534" spans="1:12">
      <c r="A534">
        <v>408</v>
      </c>
      <c r="B534">
        <v>600</v>
      </c>
      <c r="C534">
        <v>3</v>
      </c>
      <c r="D534" t="s">
        <v>2385</v>
      </c>
      <c r="E534" s="7">
        <v>9563.88</v>
      </c>
      <c r="F534" s="7">
        <v>20.96</v>
      </c>
      <c r="G534">
        <v>14</v>
      </c>
      <c r="H534" t="s">
        <v>2660</v>
      </c>
      <c r="I534" t="s">
        <v>2377</v>
      </c>
      <c r="J534">
        <v>0</v>
      </c>
      <c r="K534" s="9">
        <f t="shared" si="16"/>
        <v>44162</v>
      </c>
      <c r="L534">
        <f t="shared" si="17"/>
        <v>956388</v>
      </c>
    </row>
    <row r="535" spans="1:12">
      <c r="A535">
        <v>409</v>
      </c>
      <c r="B535">
        <v>177</v>
      </c>
      <c r="C535">
        <v>1</v>
      </c>
      <c r="D535" t="s">
        <v>2387</v>
      </c>
      <c r="E535" s="7">
        <v>199498.07</v>
      </c>
      <c r="F535" s="7">
        <v>8.97</v>
      </c>
      <c r="G535">
        <v>208</v>
      </c>
      <c r="H535" t="s">
        <v>2716</v>
      </c>
      <c r="I535" t="s">
        <v>2377</v>
      </c>
      <c r="J535">
        <v>0</v>
      </c>
      <c r="K535" s="9">
        <f t="shared" si="16"/>
        <v>44008</v>
      </c>
      <c r="L535">
        <f t="shared" si="17"/>
        <v>19949807</v>
      </c>
    </row>
    <row r="536" spans="1:12">
      <c r="A536">
        <v>410</v>
      </c>
      <c r="B536">
        <v>133</v>
      </c>
      <c r="C536">
        <v>7</v>
      </c>
      <c r="D536" t="s">
        <v>2390</v>
      </c>
      <c r="E536" s="7">
        <v>32802</v>
      </c>
      <c r="F536" s="7">
        <v>5.25</v>
      </c>
      <c r="G536">
        <v>37</v>
      </c>
      <c r="H536" t="s">
        <v>2717</v>
      </c>
      <c r="I536" t="s">
        <v>2383</v>
      </c>
      <c r="J536">
        <v>0</v>
      </c>
      <c r="K536" s="9">
        <f t="shared" si="16"/>
        <v>45096</v>
      </c>
      <c r="L536">
        <f t="shared" si="17"/>
        <v>32802</v>
      </c>
    </row>
    <row r="537" spans="1:12">
      <c r="A537">
        <v>411</v>
      </c>
      <c r="B537">
        <v>315</v>
      </c>
      <c r="C537">
        <v>5</v>
      </c>
      <c r="D537" t="s">
        <v>2390</v>
      </c>
      <c r="E537" s="7">
        <v>16992.19</v>
      </c>
      <c r="F537" s="7">
        <v>8.5</v>
      </c>
      <c r="G537">
        <v>32</v>
      </c>
      <c r="H537" t="s">
        <v>2392</v>
      </c>
      <c r="I537" t="s">
        <v>2377</v>
      </c>
      <c r="J537">
        <v>0</v>
      </c>
      <c r="K537" s="9">
        <f t="shared" si="16"/>
        <v>44855</v>
      </c>
      <c r="L537">
        <f t="shared" si="17"/>
        <v>1699219</v>
      </c>
    </row>
    <row r="538" spans="1:12">
      <c r="A538">
        <v>412</v>
      </c>
      <c r="B538">
        <v>140</v>
      </c>
      <c r="C538">
        <v>1</v>
      </c>
      <c r="D538" t="s">
        <v>2387</v>
      </c>
      <c r="E538" s="7">
        <v>110255.4</v>
      </c>
      <c r="F538" s="7">
        <v>15.64</v>
      </c>
      <c r="G538">
        <v>194</v>
      </c>
      <c r="H538" t="s">
        <v>2718</v>
      </c>
      <c r="I538" t="s">
        <v>2383</v>
      </c>
      <c r="J538">
        <v>0</v>
      </c>
      <c r="K538" s="9">
        <f t="shared" si="16"/>
        <v>44113</v>
      </c>
      <c r="L538">
        <f t="shared" si="17"/>
        <v>1102554</v>
      </c>
    </row>
    <row r="539" spans="1:12">
      <c r="A539">
        <v>413</v>
      </c>
      <c r="B539">
        <v>742</v>
      </c>
      <c r="C539">
        <v>3</v>
      </c>
      <c r="D539" t="s">
        <v>2379</v>
      </c>
      <c r="E539" s="7">
        <v>1530.75</v>
      </c>
      <c r="F539" s="7">
        <v>13.25</v>
      </c>
      <c r="G539">
        <v>55</v>
      </c>
      <c r="H539" t="s">
        <v>2563</v>
      </c>
      <c r="I539" t="s">
        <v>2377</v>
      </c>
      <c r="J539">
        <v>0</v>
      </c>
      <c r="K539" s="9">
        <f t="shared" si="16"/>
        <v>44837</v>
      </c>
      <c r="L539">
        <f t="shared" si="17"/>
        <v>153075</v>
      </c>
    </row>
    <row r="540" spans="1:12">
      <c r="A540">
        <v>414</v>
      </c>
      <c r="B540">
        <v>237</v>
      </c>
      <c r="C540">
        <v>4</v>
      </c>
      <c r="D540" t="s">
        <v>2387</v>
      </c>
      <c r="E540" s="7">
        <v>77242.63</v>
      </c>
      <c r="F540" s="7">
        <v>15.93</v>
      </c>
      <c r="G540">
        <v>192</v>
      </c>
      <c r="H540" t="s">
        <v>2719</v>
      </c>
      <c r="I540" t="s">
        <v>2383</v>
      </c>
      <c r="J540">
        <v>0</v>
      </c>
      <c r="K540" s="9">
        <f t="shared" si="16"/>
        <v>45110</v>
      </c>
      <c r="L540">
        <f t="shared" si="17"/>
        <v>7724263</v>
      </c>
    </row>
    <row r="541" spans="1:12">
      <c r="A541">
        <v>415</v>
      </c>
      <c r="B541">
        <v>1000</v>
      </c>
      <c r="C541">
        <v>4</v>
      </c>
      <c r="D541" t="s">
        <v>2379</v>
      </c>
      <c r="E541" s="7">
        <v>12528.13</v>
      </c>
      <c r="F541" s="7">
        <v>6.7</v>
      </c>
      <c r="G541">
        <v>19</v>
      </c>
      <c r="H541" t="s">
        <v>2720</v>
      </c>
      <c r="I541" t="s">
        <v>2377</v>
      </c>
      <c r="J541">
        <v>0</v>
      </c>
      <c r="K541" s="9">
        <f t="shared" si="16"/>
        <v>44795</v>
      </c>
      <c r="L541">
        <f t="shared" si="17"/>
        <v>1252813</v>
      </c>
    </row>
    <row r="542" spans="1:12">
      <c r="A542">
        <v>416</v>
      </c>
      <c r="B542">
        <v>286</v>
      </c>
      <c r="C542">
        <v>7</v>
      </c>
      <c r="D542" t="s">
        <v>2387</v>
      </c>
      <c r="E542" s="7">
        <v>88058.38</v>
      </c>
      <c r="F542" s="7">
        <v>10.2</v>
      </c>
      <c r="G542">
        <v>229</v>
      </c>
      <c r="H542" t="s">
        <v>2721</v>
      </c>
      <c r="I542" t="s">
        <v>2377</v>
      </c>
      <c r="J542">
        <v>0</v>
      </c>
      <c r="K542" s="9">
        <f t="shared" si="16"/>
        <v>45831</v>
      </c>
      <c r="L542">
        <f t="shared" si="17"/>
        <v>8805838</v>
      </c>
    </row>
    <row r="543" spans="1:12">
      <c r="A543">
        <v>417</v>
      </c>
      <c r="B543">
        <v>843</v>
      </c>
      <c r="C543">
        <v>2</v>
      </c>
      <c r="D543" t="s">
        <v>2390</v>
      </c>
      <c r="E543" s="7">
        <v>13469.08</v>
      </c>
      <c r="F543" s="7">
        <v>9.42</v>
      </c>
      <c r="G543">
        <v>43</v>
      </c>
      <c r="H543" t="s">
        <v>2224</v>
      </c>
      <c r="I543" t="s">
        <v>2377</v>
      </c>
      <c r="J543">
        <v>0</v>
      </c>
      <c r="K543" s="9">
        <f t="shared" si="16"/>
        <v>45288</v>
      </c>
      <c r="L543">
        <f t="shared" si="17"/>
        <v>1346908</v>
      </c>
    </row>
    <row r="544" spans="1:12">
      <c r="A544">
        <v>418</v>
      </c>
      <c r="B544">
        <v>92</v>
      </c>
      <c r="C544">
        <v>4</v>
      </c>
      <c r="D544" t="s">
        <v>2379</v>
      </c>
      <c r="E544" s="7">
        <v>6673.94</v>
      </c>
      <c r="F544" s="7">
        <v>18.41</v>
      </c>
      <c r="G544">
        <v>37</v>
      </c>
      <c r="H544" t="s">
        <v>2536</v>
      </c>
      <c r="I544" t="s">
        <v>2377</v>
      </c>
      <c r="J544">
        <v>0</v>
      </c>
      <c r="K544" s="9">
        <f t="shared" si="16"/>
        <v>45523</v>
      </c>
      <c r="L544">
        <f t="shared" si="17"/>
        <v>667394</v>
      </c>
    </row>
    <row r="545" spans="1:12">
      <c r="A545">
        <v>419</v>
      </c>
      <c r="B545">
        <v>772</v>
      </c>
      <c r="C545">
        <v>2</v>
      </c>
      <c r="D545" t="s">
        <v>2385</v>
      </c>
      <c r="E545" s="7">
        <v>3552.66</v>
      </c>
      <c r="F545" s="7">
        <v>18.43</v>
      </c>
      <c r="G545">
        <v>21</v>
      </c>
      <c r="H545" t="s">
        <v>2722</v>
      </c>
      <c r="I545" t="s">
        <v>2383</v>
      </c>
      <c r="J545">
        <v>0</v>
      </c>
      <c r="K545" s="9">
        <f t="shared" si="16"/>
        <v>43981</v>
      </c>
      <c r="L545">
        <f t="shared" si="17"/>
        <v>355266</v>
      </c>
    </row>
    <row r="546" spans="1:12">
      <c r="A546">
        <v>420</v>
      </c>
      <c r="B546">
        <v>18</v>
      </c>
      <c r="C546">
        <v>6</v>
      </c>
      <c r="D546" t="s">
        <v>2385</v>
      </c>
      <c r="E546" s="7">
        <v>9555</v>
      </c>
      <c r="F546" s="7">
        <v>8.94</v>
      </c>
      <c r="G546">
        <v>20</v>
      </c>
      <c r="H546" t="s">
        <v>2723</v>
      </c>
      <c r="I546" t="s">
        <v>2383</v>
      </c>
      <c r="J546">
        <v>0</v>
      </c>
      <c r="K546" s="9">
        <f t="shared" si="16"/>
        <v>44797</v>
      </c>
      <c r="L546">
        <f t="shared" si="17"/>
        <v>9555</v>
      </c>
    </row>
    <row r="547" spans="1:12">
      <c r="A547">
        <v>421</v>
      </c>
      <c r="B547">
        <v>390</v>
      </c>
      <c r="C547">
        <v>4</v>
      </c>
      <c r="D547" t="s">
        <v>2390</v>
      </c>
      <c r="E547" s="7">
        <v>27832.25</v>
      </c>
      <c r="F547" s="7">
        <v>13.56</v>
      </c>
      <c r="G547">
        <v>46</v>
      </c>
      <c r="H547" t="s">
        <v>2724</v>
      </c>
      <c r="I547" t="s">
        <v>2377</v>
      </c>
      <c r="J547">
        <v>0</v>
      </c>
      <c r="K547" s="9">
        <f t="shared" si="16"/>
        <v>44955</v>
      </c>
      <c r="L547">
        <f t="shared" si="17"/>
        <v>2783225</v>
      </c>
    </row>
    <row r="548" spans="1:12">
      <c r="A548">
        <v>422</v>
      </c>
      <c r="B548">
        <v>776</v>
      </c>
      <c r="C548">
        <v>3</v>
      </c>
      <c r="D548" t="s">
        <v>2387</v>
      </c>
      <c r="E548" s="7">
        <v>51115.16</v>
      </c>
      <c r="F548" s="7">
        <v>19.03</v>
      </c>
      <c r="G548">
        <v>174</v>
      </c>
      <c r="H548" t="s">
        <v>418</v>
      </c>
      <c r="I548" t="s">
        <v>2377</v>
      </c>
      <c r="J548">
        <v>0</v>
      </c>
      <c r="K548" s="9">
        <f t="shared" si="16"/>
        <v>45615</v>
      </c>
      <c r="L548">
        <f t="shared" si="17"/>
        <v>5111516</v>
      </c>
    </row>
    <row r="549" spans="1:12">
      <c r="A549">
        <v>423</v>
      </c>
      <c r="B549">
        <v>224</v>
      </c>
      <c r="C549">
        <v>1</v>
      </c>
      <c r="D549" t="s">
        <v>2387</v>
      </c>
      <c r="E549" s="7">
        <v>61858.27</v>
      </c>
      <c r="F549" s="7">
        <v>21.28</v>
      </c>
      <c r="G549">
        <v>258</v>
      </c>
      <c r="H549" t="s">
        <v>2725</v>
      </c>
      <c r="I549" t="s">
        <v>2377</v>
      </c>
      <c r="J549">
        <v>0</v>
      </c>
      <c r="K549" s="9">
        <f t="shared" si="16"/>
        <v>44023</v>
      </c>
      <c r="L549">
        <f t="shared" si="17"/>
        <v>6185827</v>
      </c>
    </row>
    <row r="550" spans="1:12">
      <c r="A550">
        <v>424</v>
      </c>
      <c r="B550">
        <v>840</v>
      </c>
      <c r="C550">
        <v>3</v>
      </c>
      <c r="D550" t="s">
        <v>2376</v>
      </c>
      <c r="E550" s="7">
        <v>63694.48</v>
      </c>
      <c r="F550" s="7">
        <v>14.41</v>
      </c>
      <c r="G550">
        <v>83</v>
      </c>
      <c r="H550" t="s">
        <v>2726</v>
      </c>
      <c r="I550" t="s">
        <v>2377</v>
      </c>
      <c r="J550">
        <v>0</v>
      </c>
      <c r="K550" s="9">
        <f t="shared" si="16"/>
        <v>45320</v>
      </c>
      <c r="L550">
        <f t="shared" si="17"/>
        <v>6369448</v>
      </c>
    </row>
    <row r="551" spans="1:12">
      <c r="A551">
        <v>425</v>
      </c>
      <c r="B551">
        <v>210</v>
      </c>
      <c r="C551">
        <v>5</v>
      </c>
      <c r="D551" t="s">
        <v>2376</v>
      </c>
      <c r="E551" s="7">
        <v>134340.78</v>
      </c>
      <c r="F551" s="7">
        <v>7.4</v>
      </c>
      <c r="G551">
        <v>110</v>
      </c>
      <c r="H551" t="s">
        <v>1493</v>
      </c>
      <c r="I551" t="s">
        <v>2377</v>
      </c>
      <c r="J551">
        <v>55</v>
      </c>
      <c r="K551" s="9">
        <f t="shared" si="16"/>
        <v>44148</v>
      </c>
      <c r="L551">
        <f t="shared" si="17"/>
        <v>13434078</v>
      </c>
    </row>
    <row r="552" spans="1:12">
      <c r="A552">
        <v>426</v>
      </c>
      <c r="B552">
        <v>779</v>
      </c>
      <c r="C552">
        <v>7</v>
      </c>
      <c r="D552" t="s">
        <v>2387</v>
      </c>
      <c r="E552" s="7">
        <v>71980.51</v>
      </c>
      <c r="F552" s="7">
        <v>6.93</v>
      </c>
      <c r="G552">
        <v>213</v>
      </c>
      <c r="H552" t="s">
        <v>2727</v>
      </c>
      <c r="I552" t="s">
        <v>2377</v>
      </c>
      <c r="J552">
        <v>83</v>
      </c>
      <c r="K552" s="9">
        <f t="shared" si="16"/>
        <v>45458</v>
      </c>
      <c r="L552">
        <f t="shared" si="17"/>
        <v>7198051</v>
      </c>
    </row>
    <row r="553" spans="1:12">
      <c r="A553">
        <v>427</v>
      </c>
      <c r="B553">
        <v>529</v>
      </c>
      <c r="C553">
        <v>5</v>
      </c>
      <c r="D553" t="s">
        <v>2379</v>
      </c>
      <c r="E553" s="7">
        <v>5585.34</v>
      </c>
      <c r="F553" s="7">
        <v>6.43</v>
      </c>
      <c r="G553">
        <v>35</v>
      </c>
      <c r="H553" t="s">
        <v>1121</v>
      </c>
      <c r="I553" t="s">
        <v>2393</v>
      </c>
      <c r="J553">
        <v>352</v>
      </c>
      <c r="K553" s="9">
        <f t="shared" si="16"/>
        <v>44289</v>
      </c>
      <c r="L553">
        <f t="shared" si="17"/>
        <v>558534</v>
      </c>
    </row>
    <row r="554" spans="1:12">
      <c r="A554">
        <v>428</v>
      </c>
      <c r="B554">
        <v>33</v>
      </c>
      <c r="C554">
        <v>4</v>
      </c>
      <c r="D554" t="s">
        <v>2387</v>
      </c>
      <c r="E554" s="7">
        <v>95295.96</v>
      </c>
      <c r="F554" s="7">
        <v>8.26</v>
      </c>
      <c r="G554">
        <v>352</v>
      </c>
      <c r="H554" t="s">
        <v>2728</v>
      </c>
      <c r="I554" t="s">
        <v>2383</v>
      </c>
      <c r="J554">
        <v>0</v>
      </c>
      <c r="K554" s="9">
        <f t="shared" si="16"/>
        <v>45808</v>
      </c>
      <c r="L554">
        <f t="shared" si="17"/>
        <v>9529596</v>
      </c>
    </row>
    <row r="555" spans="1:12">
      <c r="A555">
        <v>429</v>
      </c>
      <c r="B555">
        <v>887</v>
      </c>
      <c r="C555">
        <v>7</v>
      </c>
      <c r="D555" t="s">
        <v>2387</v>
      </c>
      <c r="E555" s="7">
        <v>194961.19</v>
      </c>
      <c r="F555" s="7">
        <v>11.57</v>
      </c>
      <c r="G555">
        <v>131</v>
      </c>
      <c r="H555" t="s">
        <v>2174</v>
      </c>
      <c r="I555" t="s">
        <v>2383</v>
      </c>
      <c r="J555">
        <v>0</v>
      </c>
      <c r="K555" s="9">
        <f t="shared" si="16"/>
        <v>45431</v>
      </c>
      <c r="L555">
        <f t="shared" si="17"/>
        <v>19496119</v>
      </c>
    </row>
    <row r="556" spans="1:12">
      <c r="A556">
        <v>430</v>
      </c>
      <c r="B556">
        <v>835</v>
      </c>
      <c r="C556">
        <v>5</v>
      </c>
      <c r="D556" t="s">
        <v>2390</v>
      </c>
      <c r="E556" s="7">
        <v>31090.94</v>
      </c>
      <c r="F556" s="7">
        <v>8.55</v>
      </c>
      <c r="G556">
        <v>44</v>
      </c>
      <c r="H556" t="s">
        <v>257</v>
      </c>
      <c r="I556" t="s">
        <v>2377</v>
      </c>
      <c r="J556">
        <v>0</v>
      </c>
      <c r="K556" s="9">
        <f t="shared" si="16"/>
        <v>45601</v>
      </c>
      <c r="L556">
        <f t="shared" si="17"/>
        <v>3109094</v>
      </c>
    </row>
    <row r="557" spans="1:12">
      <c r="A557">
        <v>431</v>
      </c>
      <c r="B557">
        <v>638</v>
      </c>
      <c r="C557">
        <v>2</v>
      </c>
      <c r="D557" t="s">
        <v>2385</v>
      </c>
      <c r="E557" s="7">
        <v>1607.28</v>
      </c>
      <c r="F557" s="7">
        <v>10.01</v>
      </c>
      <c r="G557">
        <v>32</v>
      </c>
      <c r="H557" t="s">
        <v>2729</v>
      </c>
      <c r="I557" t="s">
        <v>2377</v>
      </c>
      <c r="J557">
        <v>59</v>
      </c>
      <c r="K557" s="9">
        <f t="shared" si="16"/>
        <v>45206</v>
      </c>
      <c r="L557">
        <f t="shared" si="17"/>
        <v>160728</v>
      </c>
    </row>
    <row r="558" spans="1:12">
      <c r="A558">
        <v>432</v>
      </c>
      <c r="B558">
        <v>913</v>
      </c>
      <c r="C558">
        <v>4</v>
      </c>
      <c r="D558" t="s">
        <v>2385</v>
      </c>
      <c r="E558" s="7">
        <v>4710.18</v>
      </c>
      <c r="F558" s="7">
        <v>9.33</v>
      </c>
      <c r="G558">
        <v>9</v>
      </c>
      <c r="H558" t="s">
        <v>2730</v>
      </c>
      <c r="I558" t="s">
        <v>2377</v>
      </c>
      <c r="J558">
        <v>0</v>
      </c>
      <c r="K558" s="9">
        <f t="shared" si="16"/>
        <v>43924</v>
      </c>
      <c r="L558">
        <f t="shared" si="17"/>
        <v>471018</v>
      </c>
    </row>
    <row r="559" spans="1:12">
      <c r="A559">
        <v>433</v>
      </c>
      <c r="B559">
        <v>329</v>
      </c>
      <c r="C559">
        <v>5</v>
      </c>
      <c r="D559" t="s">
        <v>2387</v>
      </c>
      <c r="E559" s="7">
        <v>115608.51</v>
      </c>
      <c r="F559" s="7">
        <v>15.33</v>
      </c>
      <c r="G559">
        <v>239</v>
      </c>
      <c r="H559" t="s">
        <v>2582</v>
      </c>
      <c r="I559" t="s">
        <v>2393</v>
      </c>
      <c r="J559">
        <v>147</v>
      </c>
      <c r="K559" s="9">
        <f t="shared" si="16"/>
        <v>45640</v>
      </c>
      <c r="L559">
        <f t="shared" si="17"/>
        <v>11560851</v>
      </c>
    </row>
    <row r="560" spans="1:12">
      <c r="A560">
        <v>434</v>
      </c>
      <c r="B560">
        <v>250</v>
      </c>
      <c r="C560">
        <v>2</v>
      </c>
      <c r="D560" t="s">
        <v>2376</v>
      </c>
      <c r="E560" s="7">
        <v>89742.01</v>
      </c>
      <c r="F560" s="7">
        <v>10.97</v>
      </c>
      <c r="G560">
        <v>58</v>
      </c>
      <c r="H560" t="s">
        <v>1319</v>
      </c>
      <c r="I560" t="s">
        <v>2377</v>
      </c>
      <c r="J560">
        <v>0</v>
      </c>
      <c r="K560" s="9">
        <f t="shared" si="16"/>
        <v>44115</v>
      </c>
      <c r="L560">
        <f t="shared" si="17"/>
        <v>8974201</v>
      </c>
    </row>
    <row r="561" spans="1:12">
      <c r="A561">
        <v>435</v>
      </c>
      <c r="B561">
        <v>150</v>
      </c>
      <c r="C561">
        <v>2</v>
      </c>
      <c r="D561" t="s">
        <v>2385</v>
      </c>
      <c r="E561" s="7">
        <v>6170.29</v>
      </c>
      <c r="F561" s="7">
        <v>11.66</v>
      </c>
      <c r="G561">
        <v>25</v>
      </c>
      <c r="H561" t="s">
        <v>2731</v>
      </c>
      <c r="I561" t="s">
        <v>2377</v>
      </c>
      <c r="J561">
        <v>0</v>
      </c>
      <c r="K561" s="9">
        <f t="shared" si="16"/>
        <v>44044</v>
      </c>
      <c r="L561">
        <f t="shared" si="17"/>
        <v>617029</v>
      </c>
    </row>
    <row r="562" spans="1:12">
      <c r="A562">
        <v>436</v>
      </c>
      <c r="B562">
        <v>104</v>
      </c>
      <c r="C562">
        <v>3</v>
      </c>
      <c r="D562" t="s">
        <v>2390</v>
      </c>
      <c r="E562" s="7">
        <v>13608.15</v>
      </c>
      <c r="F562" s="7">
        <v>19.35</v>
      </c>
      <c r="G562">
        <v>62</v>
      </c>
      <c r="H562" t="s">
        <v>2602</v>
      </c>
      <c r="I562" t="s">
        <v>2377</v>
      </c>
      <c r="J562">
        <v>0</v>
      </c>
      <c r="K562" s="9">
        <f t="shared" si="16"/>
        <v>44364</v>
      </c>
      <c r="L562">
        <f t="shared" si="17"/>
        <v>1360815</v>
      </c>
    </row>
    <row r="563" spans="1:12">
      <c r="A563">
        <v>437</v>
      </c>
      <c r="B563">
        <v>835</v>
      </c>
      <c r="C563">
        <v>5</v>
      </c>
      <c r="D563" t="s">
        <v>2376</v>
      </c>
      <c r="E563" s="7">
        <v>112112.83</v>
      </c>
      <c r="F563" s="7">
        <v>7.87</v>
      </c>
      <c r="G563">
        <v>64</v>
      </c>
      <c r="H563" t="s">
        <v>2086</v>
      </c>
      <c r="I563" t="s">
        <v>2383</v>
      </c>
      <c r="J563">
        <v>0</v>
      </c>
      <c r="K563" s="9">
        <f t="shared" si="16"/>
        <v>45482</v>
      </c>
      <c r="L563">
        <f t="shared" si="17"/>
        <v>11211283</v>
      </c>
    </row>
    <row r="564" spans="1:12">
      <c r="A564">
        <v>438</v>
      </c>
      <c r="B564">
        <v>115</v>
      </c>
      <c r="C564">
        <v>1</v>
      </c>
      <c r="D564" t="s">
        <v>2385</v>
      </c>
      <c r="E564" s="7">
        <v>4468.87</v>
      </c>
      <c r="F564" s="7">
        <v>5.62</v>
      </c>
      <c r="G564">
        <v>27</v>
      </c>
      <c r="H564" t="s">
        <v>2732</v>
      </c>
      <c r="I564" t="s">
        <v>2377</v>
      </c>
      <c r="J564">
        <v>0</v>
      </c>
      <c r="K564" s="9">
        <f t="shared" si="16"/>
        <v>44516</v>
      </c>
      <c r="L564">
        <f t="shared" si="17"/>
        <v>446887</v>
      </c>
    </row>
    <row r="565" spans="1:12">
      <c r="A565">
        <v>439</v>
      </c>
      <c r="B565">
        <v>62</v>
      </c>
      <c r="C565">
        <v>2</v>
      </c>
      <c r="D565" t="s">
        <v>2385</v>
      </c>
      <c r="E565" s="7">
        <v>880.47</v>
      </c>
      <c r="F565" s="7">
        <v>15.99</v>
      </c>
      <c r="G565">
        <v>29</v>
      </c>
      <c r="H565" t="s">
        <v>2733</v>
      </c>
      <c r="I565" t="s">
        <v>2383</v>
      </c>
      <c r="J565">
        <v>0</v>
      </c>
      <c r="K565" s="9">
        <f t="shared" si="16"/>
        <v>44138</v>
      </c>
      <c r="L565">
        <f t="shared" si="17"/>
        <v>88047</v>
      </c>
    </row>
    <row r="566" spans="1:12">
      <c r="A566">
        <v>440</v>
      </c>
      <c r="B566">
        <v>465</v>
      </c>
      <c r="C566">
        <v>7</v>
      </c>
      <c r="D566" t="s">
        <v>2390</v>
      </c>
      <c r="E566" s="7">
        <v>24720.94</v>
      </c>
      <c r="F566" s="7">
        <v>7.39</v>
      </c>
      <c r="G566">
        <v>60</v>
      </c>
      <c r="H566" t="s">
        <v>555</v>
      </c>
      <c r="I566" t="s">
        <v>2377</v>
      </c>
      <c r="J566">
        <v>0</v>
      </c>
      <c r="K566" s="9">
        <f t="shared" si="16"/>
        <v>44737</v>
      </c>
      <c r="L566">
        <f t="shared" si="17"/>
        <v>2472094</v>
      </c>
    </row>
    <row r="567" spans="1:12">
      <c r="A567">
        <v>441</v>
      </c>
      <c r="B567">
        <v>807</v>
      </c>
      <c r="C567">
        <v>4</v>
      </c>
      <c r="D567" t="s">
        <v>2387</v>
      </c>
      <c r="E567" s="7">
        <v>137823.71</v>
      </c>
      <c r="F567" s="7">
        <v>20.72</v>
      </c>
      <c r="G567">
        <v>178</v>
      </c>
      <c r="H567" t="s">
        <v>2734</v>
      </c>
      <c r="I567" t="s">
        <v>2393</v>
      </c>
      <c r="J567">
        <v>198</v>
      </c>
      <c r="K567" s="9">
        <f t="shared" si="16"/>
        <v>44874</v>
      </c>
      <c r="L567">
        <f t="shared" si="17"/>
        <v>13782371</v>
      </c>
    </row>
    <row r="568" spans="1:12">
      <c r="A568">
        <v>442</v>
      </c>
      <c r="B568">
        <v>935</v>
      </c>
      <c r="C568">
        <v>1</v>
      </c>
      <c r="D568" t="s">
        <v>2387</v>
      </c>
      <c r="E568" s="7">
        <v>103464.02</v>
      </c>
      <c r="F568" s="7">
        <v>16.76</v>
      </c>
      <c r="G568">
        <v>198</v>
      </c>
      <c r="H568" t="s">
        <v>927</v>
      </c>
      <c r="I568" t="s">
        <v>2383</v>
      </c>
      <c r="J568">
        <v>0</v>
      </c>
      <c r="K568" s="9">
        <f t="shared" si="16"/>
        <v>45303</v>
      </c>
      <c r="L568">
        <f t="shared" si="17"/>
        <v>10346402</v>
      </c>
    </row>
    <row r="569" spans="1:12">
      <c r="A569">
        <v>443</v>
      </c>
      <c r="B569">
        <v>958</v>
      </c>
      <c r="C569">
        <v>1</v>
      </c>
      <c r="D569" t="s">
        <v>2385</v>
      </c>
      <c r="E569" s="7">
        <v>582.25</v>
      </c>
      <c r="F569" s="7">
        <v>21.31</v>
      </c>
      <c r="G569">
        <v>19</v>
      </c>
      <c r="H569" t="s">
        <v>696</v>
      </c>
      <c r="I569" t="s">
        <v>2393</v>
      </c>
      <c r="J569">
        <v>133</v>
      </c>
      <c r="K569" s="9">
        <f t="shared" si="16"/>
        <v>44408</v>
      </c>
      <c r="L569">
        <f t="shared" si="17"/>
        <v>58225</v>
      </c>
    </row>
    <row r="570" spans="1:12">
      <c r="A570">
        <v>444</v>
      </c>
      <c r="B570">
        <v>966</v>
      </c>
      <c r="C570">
        <v>1</v>
      </c>
      <c r="D570" t="s">
        <v>2387</v>
      </c>
      <c r="E570" s="7">
        <v>103559.9</v>
      </c>
      <c r="F570" s="7">
        <v>19.44</v>
      </c>
      <c r="G570">
        <v>215</v>
      </c>
      <c r="H570" t="s">
        <v>2735</v>
      </c>
      <c r="I570" t="s">
        <v>2377</v>
      </c>
      <c r="J570">
        <v>0</v>
      </c>
      <c r="K570" s="9">
        <f t="shared" si="16"/>
        <v>45720</v>
      </c>
      <c r="L570">
        <f t="shared" si="17"/>
        <v>1035599</v>
      </c>
    </row>
    <row r="571" spans="1:12">
      <c r="A571">
        <v>445</v>
      </c>
      <c r="B571">
        <v>652</v>
      </c>
      <c r="C571">
        <v>3</v>
      </c>
      <c r="D571" t="s">
        <v>2387</v>
      </c>
      <c r="E571" s="7">
        <v>125290.4</v>
      </c>
      <c r="F571" s="7">
        <v>16.13</v>
      </c>
      <c r="G571">
        <v>279</v>
      </c>
      <c r="H571" t="s">
        <v>2736</v>
      </c>
      <c r="I571" t="s">
        <v>2377</v>
      </c>
      <c r="J571">
        <v>38</v>
      </c>
      <c r="K571" s="9">
        <f t="shared" si="16"/>
        <v>44947</v>
      </c>
      <c r="L571">
        <f t="shared" si="17"/>
        <v>1252904</v>
      </c>
    </row>
    <row r="572" spans="1:12">
      <c r="A572">
        <v>446</v>
      </c>
      <c r="B572">
        <v>128</v>
      </c>
      <c r="C572">
        <v>1</v>
      </c>
      <c r="D572" t="s">
        <v>2390</v>
      </c>
      <c r="E572" s="7">
        <v>19743.18</v>
      </c>
      <c r="F572" s="7">
        <v>11.46</v>
      </c>
      <c r="G572">
        <v>52</v>
      </c>
      <c r="H572" t="s">
        <v>2452</v>
      </c>
      <c r="I572" t="s">
        <v>2383</v>
      </c>
      <c r="J572">
        <v>0</v>
      </c>
      <c r="K572" s="9">
        <f t="shared" si="16"/>
        <v>45697</v>
      </c>
      <c r="L572">
        <f t="shared" si="17"/>
        <v>1974318</v>
      </c>
    </row>
    <row r="573" spans="1:12">
      <c r="A573">
        <v>447</v>
      </c>
      <c r="B573">
        <v>327</v>
      </c>
      <c r="C573">
        <v>2</v>
      </c>
      <c r="D573" t="s">
        <v>2390</v>
      </c>
      <c r="E573" s="7">
        <v>39109.22</v>
      </c>
      <c r="F573" s="7">
        <v>12.28</v>
      </c>
      <c r="G573">
        <v>58</v>
      </c>
      <c r="H573" t="s">
        <v>2512</v>
      </c>
      <c r="I573" t="s">
        <v>2377</v>
      </c>
      <c r="J573">
        <v>0</v>
      </c>
      <c r="K573" s="9">
        <f t="shared" si="16"/>
        <v>44730</v>
      </c>
      <c r="L573">
        <f t="shared" si="17"/>
        <v>3910922</v>
      </c>
    </row>
    <row r="574" spans="1:12">
      <c r="A574">
        <v>448</v>
      </c>
      <c r="B574">
        <v>839</v>
      </c>
      <c r="C574">
        <v>4</v>
      </c>
      <c r="D574" t="s">
        <v>2390</v>
      </c>
      <c r="E574" s="7">
        <v>39479.64</v>
      </c>
      <c r="F574" s="7">
        <v>19.72</v>
      </c>
      <c r="G574">
        <v>29</v>
      </c>
      <c r="H574" t="s">
        <v>167</v>
      </c>
      <c r="I574" t="s">
        <v>2377</v>
      </c>
      <c r="J574">
        <v>12</v>
      </c>
      <c r="K574" s="9">
        <f t="shared" si="16"/>
        <v>45549</v>
      </c>
      <c r="L574">
        <f t="shared" si="17"/>
        <v>3947964</v>
      </c>
    </row>
    <row r="575" spans="1:12">
      <c r="A575">
        <v>449</v>
      </c>
      <c r="B575">
        <v>568</v>
      </c>
      <c r="C575">
        <v>5</v>
      </c>
      <c r="D575" t="s">
        <v>2387</v>
      </c>
      <c r="E575" s="7">
        <v>197270.93</v>
      </c>
      <c r="F575" s="7">
        <v>5.67</v>
      </c>
      <c r="G575">
        <v>179</v>
      </c>
      <c r="H575" t="s">
        <v>685</v>
      </c>
      <c r="I575" t="s">
        <v>2377</v>
      </c>
      <c r="J575">
        <v>0</v>
      </c>
      <c r="K575" s="9">
        <f t="shared" si="16"/>
        <v>45520</v>
      </c>
      <c r="L575">
        <f t="shared" si="17"/>
        <v>19727093</v>
      </c>
    </row>
    <row r="576" spans="1:12">
      <c r="A576">
        <v>450</v>
      </c>
      <c r="B576">
        <v>270</v>
      </c>
      <c r="C576">
        <v>7</v>
      </c>
      <c r="D576" t="s">
        <v>2376</v>
      </c>
      <c r="E576" s="7">
        <v>76585.92</v>
      </c>
      <c r="F576" s="7">
        <v>20.75</v>
      </c>
      <c r="G576">
        <v>84</v>
      </c>
      <c r="H576" t="s">
        <v>1457</v>
      </c>
      <c r="I576" t="s">
        <v>2377</v>
      </c>
      <c r="J576">
        <v>0</v>
      </c>
      <c r="K576" s="9">
        <f t="shared" si="16"/>
        <v>43848</v>
      </c>
      <c r="L576">
        <f t="shared" si="17"/>
        <v>7658592</v>
      </c>
    </row>
    <row r="577" spans="1:12">
      <c r="A577">
        <v>451</v>
      </c>
      <c r="B577">
        <v>330</v>
      </c>
      <c r="C577">
        <v>7</v>
      </c>
      <c r="D577" t="s">
        <v>2385</v>
      </c>
      <c r="E577" s="7">
        <v>3135.21</v>
      </c>
      <c r="F577" s="7">
        <v>16.25</v>
      </c>
      <c r="G577">
        <v>17</v>
      </c>
      <c r="H577" t="s">
        <v>2737</v>
      </c>
      <c r="I577" t="s">
        <v>2377</v>
      </c>
      <c r="J577">
        <v>0</v>
      </c>
      <c r="K577" s="9">
        <f t="shared" si="16"/>
        <v>45050</v>
      </c>
      <c r="L577">
        <f t="shared" si="17"/>
        <v>313521</v>
      </c>
    </row>
    <row r="578" spans="1:12">
      <c r="A578">
        <v>452</v>
      </c>
      <c r="B578">
        <v>486</v>
      </c>
      <c r="C578">
        <v>3</v>
      </c>
      <c r="D578" t="s">
        <v>2376</v>
      </c>
      <c r="E578" s="7">
        <v>87710.73</v>
      </c>
      <c r="F578" s="7">
        <v>13.54</v>
      </c>
      <c r="G578">
        <v>56</v>
      </c>
      <c r="H578" t="s">
        <v>636</v>
      </c>
      <c r="I578" t="s">
        <v>2377</v>
      </c>
      <c r="J578">
        <v>0</v>
      </c>
      <c r="K578" s="9">
        <f t="shared" si="16"/>
        <v>44053</v>
      </c>
      <c r="L578">
        <f t="shared" si="17"/>
        <v>8771073</v>
      </c>
    </row>
    <row r="579" spans="1:12">
      <c r="A579">
        <v>453</v>
      </c>
      <c r="B579">
        <v>281</v>
      </c>
      <c r="C579">
        <v>7</v>
      </c>
      <c r="D579" t="s">
        <v>2390</v>
      </c>
      <c r="E579" s="7">
        <v>31179.62</v>
      </c>
      <c r="F579" s="7">
        <v>18.11</v>
      </c>
      <c r="G579">
        <v>49</v>
      </c>
      <c r="H579" t="s">
        <v>2623</v>
      </c>
      <c r="I579" t="s">
        <v>2377</v>
      </c>
      <c r="J579">
        <v>0</v>
      </c>
      <c r="K579" s="9">
        <f t="shared" ref="K579:K642" si="18">DATEVALUE(LEFT(H579,10))</f>
        <v>44292</v>
      </c>
      <c r="L579">
        <f t="shared" ref="L579:L642" si="19">_xlfn.NUMBERVALUE(E579,".",",")</f>
        <v>3117962</v>
      </c>
    </row>
    <row r="580" spans="1:12">
      <c r="A580">
        <v>454</v>
      </c>
      <c r="B580">
        <v>789</v>
      </c>
      <c r="C580">
        <v>5</v>
      </c>
      <c r="D580" t="s">
        <v>2387</v>
      </c>
      <c r="E580" s="7">
        <v>64354.52</v>
      </c>
      <c r="F580" s="7">
        <v>10.69</v>
      </c>
      <c r="G580">
        <v>209</v>
      </c>
      <c r="H580" t="s">
        <v>182</v>
      </c>
      <c r="I580" t="s">
        <v>2377</v>
      </c>
      <c r="J580">
        <v>0</v>
      </c>
      <c r="K580" s="9">
        <f t="shared" si="18"/>
        <v>45169</v>
      </c>
      <c r="L580">
        <f t="shared" si="19"/>
        <v>6435452</v>
      </c>
    </row>
    <row r="581" spans="1:12">
      <c r="A581">
        <v>455</v>
      </c>
      <c r="B581">
        <v>954</v>
      </c>
      <c r="C581">
        <v>5</v>
      </c>
      <c r="D581" t="s">
        <v>2390</v>
      </c>
      <c r="E581" s="7">
        <v>16172.53</v>
      </c>
      <c r="F581" s="7">
        <v>18.66</v>
      </c>
      <c r="G581">
        <v>55</v>
      </c>
      <c r="H581" t="s">
        <v>758</v>
      </c>
      <c r="I581" t="s">
        <v>2383</v>
      </c>
      <c r="J581">
        <v>0</v>
      </c>
      <c r="K581" s="9">
        <f t="shared" si="18"/>
        <v>44908</v>
      </c>
      <c r="L581">
        <f t="shared" si="19"/>
        <v>1617253</v>
      </c>
    </row>
    <row r="582" spans="1:12">
      <c r="A582">
        <v>456</v>
      </c>
      <c r="B582">
        <v>54</v>
      </c>
      <c r="C582">
        <v>5</v>
      </c>
      <c r="D582" t="s">
        <v>2376</v>
      </c>
      <c r="E582" s="7">
        <v>85345.54</v>
      </c>
      <c r="F582" s="7">
        <v>14.2</v>
      </c>
      <c r="G582">
        <v>83</v>
      </c>
      <c r="H582" t="s">
        <v>2501</v>
      </c>
      <c r="I582" t="s">
        <v>2393</v>
      </c>
      <c r="J582">
        <v>278</v>
      </c>
      <c r="K582" s="9">
        <f t="shared" si="18"/>
        <v>45743</v>
      </c>
      <c r="L582">
        <f t="shared" si="19"/>
        <v>8534554</v>
      </c>
    </row>
    <row r="583" spans="1:12">
      <c r="A583">
        <v>457</v>
      </c>
      <c r="B583">
        <v>551</v>
      </c>
      <c r="C583">
        <v>7</v>
      </c>
      <c r="D583" t="s">
        <v>2387</v>
      </c>
      <c r="E583" s="7">
        <v>73945.92</v>
      </c>
      <c r="F583" s="7">
        <v>16.86</v>
      </c>
      <c r="G583">
        <v>140</v>
      </c>
      <c r="H583" t="s">
        <v>2738</v>
      </c>
      <c r="I583" t="s">
        <v>2377</v>
      </c>
      <c r="J583">
        <v>0</v>
      </c>
      <c r="K583" s="9">
        <f t="shared" si="18"/>
        <v>44310</v>
      </c>
      <c r="L583">
        <f t="shared" si="19"/>
        <v>7394592</v>
      </c>
    </row>
    <row r="584" spans="1:12">
      <c r="A584">
        <v>458</v>
      </c>
      <c r="B584">
        <v>119</v>
      </c>
      <c r="C584">
        <v>5</v>
      </c>
      <c r="D584" t="s">
        <v>2385</v>
      </c>
      <c r="E584" s="7">
        <v>4044.33</v>
      </c>
      <c r="F584" s="7">
        <v>21.94</v>
      </c>
      <c r="G584">
        <v>28</v>
      </c>
      <c r="H584" t="s">
        <v>137</v>
      </c>
      <c r="I584" t="s">
        <v>2383</v>
      </c>
      <c r="J584">
        <v>0</v>
      </c>
      <c r="K584" s="9">
        <f t="shared" si="18"/>
        <v>44381</v>
      </c>
      <c r="L584">
        <f t="shared" si="19"/>
        <v>404433</v>
      </c>
    </row>
    <row r="585" spans="1:12">
      <c r="A585">
        <v>459</v>
      </c>
      <c r="B585">
        <v>411</v>
      </c>
      <c r="C585">
        <v>5</v>
      </c>
      <c r="D585" t="s">
        <v>2390</v>
      </c>
      <c r="E585" s="7">
        <v>12118.22</v>
      </c>
      <c r="F585" s="7">
        <v>20.8</v>
      </c>
      <c r="G585">
        <v>70</v>
      </c>
      <c r="H585" t="s">
        <v>2739</v>
      </c>
      <c r="I585" t="s">
        <v>2377</v>
      </c>
      <c r="J585">
        <v>0</v>
      </c>
      <c r="K585" s="9">
        <f t="shared" si="18"/>
        <v>44444</v>
      </c>
      <c r="L585">
        <f t="shared" si="19"/>
        <v>1211822</v>
      </c>
    </row>
    <row r="586" spans="1:12">
      <c r="A586">
        <v>460</v>
      </c>
      <c r="B586">
        <v>749</v>
      </c>
      <c r="C586">
        <v>3</v>
      </c>
      <c r="D586" t="s">
        <v>2387</v>
      </c>
      <c r="E586" s="7">
        <v>177715.77</v>
      </c>
      <c r="F586" s="7">
        <v>21.33</v>
      </c>
      <c r="G586">
        <v>212</v>
      </c>
      <c r="H586" t="s">
        <v>2553</v>
      </c>
      <c r="I586" t="s">
        <v>2377</v>
      </c>
      <c r="J586">
        <v>0</v>
      </c>
      <c r="K586" s="9">
        <f t="shared" si="18"/>
        <v>45283</v>
      </c>
      <c r="L586">
        <f t="shared" si="19"/>
        <v>17771577</v>
      </c>
    </row>
    <row r="587" spans="1:12">
      <c r="A587">
        <v>461</v>
      </c>
      <c r="B587">
        <v>262</v>
      </c>
      <c r="C587">
        <v>3</v>
      </c>
      <c r="D587" t="s">
        <v>2385</v>
      </c>
      <c r="E587" s="7">
        <v>2084.63</v>
      </c>
      <c r="F587" s="7">
        <v>6.23</v>
      </c>
      <c r="G587">
        <v>11</v>
      </c>
      <c r="H587" t="s">
        <v>1957</v>
      </c>
      <c r="I587" t="s">
        <v>2377</v>
      </c>
      <c r="J587">
        <v>0</v>
      </c>
      <c r="K587" s="9">
        <f t="shared" si="18"/>
        <v>44981</v>
      </c>
      <c r="L587">
        <f t="shared" si="19"/>
        <v>208463</v>
      </c>
    </row>
    <row r="588" spans="1:12">
      <c r="A588">
        <v>462</v>
      </c>
      <c r="B588">
        <v>889</v>
      </c>
      <c r="C588">
        <v>3</v>
      </c>
      <c r="D588" t="s">
        <v>2385</v>
      </c>
      <c r="E588" s="7">
        <v>7574.87</v>
      </c>
      <c r="F588" s="7">
        <v>13.73</v>
      </c>
      <c r="G588">
        <v>6</v>
      </c>
      <c r="H588" t="s">
        <v>1449</v>
      </c>
      <c r="I588" t="s">
        <v>2377</v>
      </c>
      <c r="J588">
        <v>0</v>
      </c>
      <c r="K588" s="9">
        <f t="shared" si="18"/>
        <v>43986</v>
      </c>
      <c r="L588">
        <f t="shared" si="19"/>
        <v>757487</v>
      </c>
    </row>
    <row r="589" spans="1:12">
      <c r="A589">
        <v>463</v>
      </c>
      <c r="B589">
        <v>493</v>
      </c>
      <c r="C589">
        <v>2</v>
      </c>
      <c r="D589" t="s">
        <v>2385</v>
      </c>
      <c r="E589" s="7">
        <v>3149.56</v>
      </c>
      <c r="F589" s="7">
        <v>19.4</v>
      </c>
      <c r="G589">
        <v>23</v>
      </c>
      <c r="H589" t="s">
        <v>2476</v>
      </c>
      <c r="I589" t="s">
        <v>2377</v>
      </c>
      <c r="J589">
        <v>0</v>
      </c>
      <c r="K589" s="9">
        <f t="shared" si="18"/>
        <v>45035</v>
      </c>
      <c r="L589">
        <f t="shared" si="19"/>
        <v>314956</v>
      </c>
    </row>
    <row r="590" spans="1:12">
      <c r="A590">
        <v>464</v>
      </c>
      <c r="B590">
        <v>608</v>
      </c>
      <c r="C590">
        <v>6</v>
      </c>
      <c r="D590" t="s">
        <v>2387</v>
      </c>
      <c r="E590" s="7">
        <v>131669.6</v>
      </c>
      <c r="F590" s="7">
        <v>12.16</v>
      </c>
      <c r="G590">
        <v>131</v>
      </c>
      <c r="H590" t="s">
        <v>1376</v>
      </c>
      <c r="I590" t="s">
        <v>2377</v>
      </c>
      <c r="J590">
        <v>0</v>
      </c>
      <c r="K590" s="9">
        <f t="shared" si="18"/>
        <v>44640</v>
      </c>
      <c r="L590">
        <f t="shared" si="19"/>
        <v>1316696</v>
      </c>
    </row>
    <row r="591" spans="1:12">
      <c r="A591">
        <v>465</v>
      </c>
      <c r="B591">
        <v>73</v>
      </c>
      <c r="C591">
        <v>6</v>
      </c>
      <c r="D591" t="s">
        <v>2387</v>
      </c>
      <c r="E591" s="7">
        <v>133336.09</v>
      </c>
      <c r="F591" s="7">
        <v>14.68</v>
      </c>
      <c r="G591">
        <v>320</v>
      </c>
      <c r="H591" t="s">
        <v>2740</v>
      </c>
      <c r="I591" t="s">
        <v>2377</v>
      </c>
      <c r="J591">
        <v>0</v>
      </c>
      <c r="K591" s="9">
        <f t="shared" si="18"/>
        <v>44929</v>
      </c>
      <c r="L591">
        <f t="shared" si="19"/>
        <v>13333609</v>
      </c>
    </row>
    <row r="592" spans="1:12">
      <c r="A592">
        <v>466</v>
      </c>
      <c r="B592">
        <v>371</v>
      </c>
      <c r="C592">
        <v>2</v>
      </c>
      <c r="D592" t="s">
        <v>2385</v>
      </c>
      <c r="E592" s="7">
        <v>8059.97</v>
      </c>
      <c r="F592" s="7">
        <v>11.52</v>
      </c>
      <c r="G592">
        <v>19</v>
      </c>
      <c r="H592" t="s">
        <v>2672</v>
      </c>
      <c r="I592" t="s">
        <v>2377</v>
      </c>
      <c r="J592">
        <v>0</v>
      </c>
      <c r="K592" s="9">
        <f t="shared" si="18"/>
        <v>45810</v>
      </c>
      <c r="L592">
        <f t="shared" si="19"/>
        <v>805997</v>
      </c>
    </row>
    <row r="593" spans="1:12">
      <c r="A593">
        <v>467</v>
      </c>
      <c r="B593">
        <v>962</v>
      </c>
      <c r="C593">
        <v>4</v>
      </c>
      <c r="D593" t="s">
        <v>2387</v>
      </c>
      <c r="E593" s="7">
        <v>196246.94</v>
      </c>
      <c r="F593" s="7">
        <v>10.5</v>
      </c>
      <c r="G593">
        <v>313</v>
      </c>
      <c r="H593" t="s">
        <v>2741</v>
      </c>
      <c r="I593" t="s">
        <v>2377</v>
      </c>
      <c r="J593">
        <v>0</v>
      </c>
      <c r="K593" s="9">
        <f t="shared" si="18"/>
        <v>44686</v>
      </c>
      <c r="L593">
        <f t="shared" si="19"/>
        <v>19624694</v>
      </c>
    </row>
    <row r="594" spans="1:12">
      <c r="A594">
        <v>468</v>
      </c>
      <c r="B594">
        <v>971</v>
      </c>
      <c r="C594">
        <v>7</v>
      </c>
      <c r="D594" t="s">
        <v>2376</v>
      </c>
      <c r="E594" s="7">
        <v>49895</v>
      </c>
      <c r="F594" s="7">
        <v>21.6</v>
      </c>
      <c r="G594">
        <v>65</v>
      </c>
      <c r="H594" t="s">
        <v>2630</v>
      </c>
      <c r="I594" t="s">
        <v>2393</v>
      </c>
      <c r="J594">
        <v>354</v>
      </c>
      <c r="K594" s="9">
        <f t="shared" si="18"/>
        <v>45593</v>
      </c>
      <c r="L594">
        <f t="shared" si="19"/>
        <v>49895</v>
      </c>
    </row>
    <row r="595" spans="1:12">
      <c r="A595">
        <v>469</v>
      </c>
      <c r="B595">
        <v>76</v>
      </c>
      <c r="C595">
        <v>4</v>
      </c>
      <c r="D595" t="s">
        <v>2390</v>
      </c>
      <c r="E595" s="7">
        <v>35391.49</v>
      </c>
      <c r="F595" s="7">
        <v>15.62</v>
      </c>
      <c r="G595">
        <v>28</v>
      </c>
      <c r="H595" t="s">
        <v>2742</v>
      </c>
      <c r="I595" t="s">
        <v>2377</v>
      </c>
      <c r="J595">
        <v>0</v>
      </c>
      <c r="K595" s="9">
        <f t="shared" si="18"/>
        <v>45107</v>
      </c>
      <c r="L595">
        <f t="shared" si="19"/>
        <v>3539149</v>
      </c>
    </row>
    <row r="596" spans="1:12">
      <c r="A596">
        <v>470</v>
      </c>
      <c r="B596">
        <v>779</v>
      </c>
      <c r="C596">
        <v>7</v>
      </c>
      <c r="D596" t="s">
        <v>2387</v>
      </c>
      <c r="E596" s="7">
        <v>55039.13</v>
      </c>
      <c r="F596" s="7">
        <v>14.96</v>
      </c>
      <c r="G596">
        <v>175</v>
      </c>
      <c r="H596" t="s">
        <v>875</v>
      </c>
      <c r="I596" t="s">
        <v>2377</v>
      </c>
      <c r="J596">
        <v>0</v>
      </c>
      <c r="K596" s="9">
        <f t="shared" si="18"/>
        <v>45381</v>
      </c>
      <c r="L596">
        <f t="shared" si="19"/>
        <v>5503913</v>
      </c>
    </row>
    <row r="597" spans="1:12">
      <c r="A597">
        <v>471</v>
      </c>
      <c r="B597">
        <v>148</v>
      </c>
      <c r="C597">
        <v>5</v>
      </c>
      <c r="D597" t="s">
        <v>2379</v>
      </c>
      <c r="E597" s="7">
        <v>12974.6</v>
      </c>
      <c r="F597" s="7">
        <v>19.1</v>
      </c>
      <c r="G597">
        <v>46</v>
      </c>
      <c r="H597" t="s">
        <v>2743</v>
      </c>
      <c r="I597" t="s">
        <v>2377</v>
      </c>
      <c r="J597">
        <v>76</v>
      </c>
      <c r="K597" s="9">
        <f t="shared" si="18"/>
        <v>43904</v>
      </c>
      <c r="L597">
        <f t="shared" si="19"/>
        <v>129746</v>
      </c>
    </row>
    <row r="598" spans="1:12">
      <c r="A598">
        <v>472</v>
      </c>
      <c r="B598">
        <v>786</v>
      </c>
      <c r="C598">
        <v>7</v>
      </c>
      <c r="D598" t="s">
        <v>2390</v>
      </c>
      <c r="E598" s="7">
        <v>25460.64</v>
      </c>
      <c r="F598" s="7">
        <v>9.07</v>
      </c>
      <c r="G598">
        <v>49</v>
      </c>
      <c r="H598" t="s">
        <v>2744</v>
      </c>
      <c r="I598" t="s">
        <v>2377</v>
      </c>
      <c r="J598">
        <v>0</v>
      </c>
      <c r="K598" s="9">
        <f t="shared" si="18"/>
        <v>44352</v>
      </c>
      <c r="L598">
        <f t="shared" si="19"/>
        <v>2546064</v>
      </c>
    </row>
    <row r="599" spans="1:12">
      <c r="A599">
        <v>473</v>
      </c>
      <c r="B599">
        <v>652</v>
      </c>
      <c r="C599">
        <v>3</v>
      </c>
      <c r="D599" t="s">
        <v>2379</v>
      </c>
      <c r="E599" s="7">
        <v>1114.55</v>
      </c>
      <c r="F599" s="7">
        <v>21.88</v>
      </c>
      <c r="G599">
        <v>39</v>
      </c>
      <c r="H599" t="s">
        <v>2745</v>
      </c>
      <c r="I599" t="s">
        <v>2383</v>
      </c>
      <c r="J599">
        <v>0</v>
      </c>
      <c r="K599" s="9">
        <f t="shared" si="18"/>
        <v>44042</v>
      </c>
      <c r="L599">
        <f t="shared" si="19"/>
        <v>111455</v>
      </c>
    </row>
    <row r="600" spans="1:12">
      <c r="A600">
        <v>474</v>
      </c>
      <c r="B600">
        <v>206</v>
      </c>
      <c r="C600">
        <v>1</v>
      </c>
      <c r="D600" t="s">
        <v>2387</v>
      </c>
      <c r="E600" s="7">
        <v>55769.19</v>
      </c>
      <c r="F600" s="7">
        <v>8.37</v>
      </c>
      <c r="G600">
        <v>338</v>
      </c>
      <c r="H600" t="s">
        <v>2731</v>
      </c>
      <c r="I600" t="s">
        <v>2377</v>
      </c>
      <c r="J600">
        <v>21</v>
      </c>
      <c r="K600" s="9">
        <f t="shared" si="18"/>
        <v>44044</v>
      </c>
      <c r="L600">
        <f t="shared" si="19"/>
        <v>5576919</v>
      </c>
    </row>
    <row r="601" spans="1:12">
      <c r="A601">
        <v>475</v>
      </c>
      <c r="B601">
        <v>86</v>
      </c>
      <c r="C601">
        <v>1</v>
      </c>
      <c r="D601" t="s">
        <v>2390</v>
      </c>
      <c r="E601" s="7">
        <v>33773.71</v>
      </c>
      <c r="F601" s="7">
        <v>9.37</v>
      </c>
      <c r="G601">
        <v>78</v>
      </c>
      <c r="H601" t="s">
        <v>579</v>
      </c>
      <c r="I601" t="s">
        <v>2393</v>
      </c>
      <c r="J601">
        <v>113</v>
      </c>
      <c r="K601" s="9">
        <f t="shared" si="18"/>
        <v>43838</v>
      </c>
      <c r="L601">
        <f t="shared" si="19"/>
        <v>3377371</v>
      </c>
    </row>
    <row r="602" spans="1:12">
      <c r="A602">
        <v>476</v>
      </c>
      <c r="B602">
        <v>186</v>
      </c>
      <c r="C602">
        <v>5</v>
      </c>
      <c r="D602" t="s">
        <v>2379</v>
      </c>
      <c r="E602" s="7">
        <v>1699.59</v>
      </c>
      <c r="F602" s="7">
        <v>17.62</v>
      </c>
      <c r="G602">
        <v>53</v>
      </c>
      <c r="H602" t="s">
        <v>2746</v>
      </c>
      <c r="I602" t="s">
        <v>2393</v>
      </c>
      <c r="J602">
        <v>289</v>
      </c>
      <c r="K602" s="9">
        <f t="shared" si="18"/>
        <v>44452</v>
      </c>
      <c r="L602">
        <f t="shared" si="19"/>
        <v>169959</v>
      </c>
    </row>
    <row r="603" spans="1:12">
      <c r="A603">
        <v>477</v>
      </c>
      <c r="B603">
        <v>561</v>
      </c>
      <c r="C603">
        <v>1</v>
      </c>
      <c r="D603" t="s">
        <v>2390</v>
      </c>
      <c r="E603" s="7">
        <v>14643.41</v>
      </c>
      <c r="F603" s="7">
        <v>18.26</v>
      </c>
      <c r="G603">
        <v>69</v>
      </c>
      <c r="H603" t="s">
        <v>2746</v>
      </c>
      <c r="I603" t="s">
        <v>2377</v>
      </c>
      <c r="J603">
        <v>0</v>
      </c>
      <c r="K603" s="9">
        <f t="shared" si="18"/>
        <v>44452</v>
      </c>
      <c r="L603">
        <f t="shared" si="19"/>
        <v>1464341</v>
      </c>
    </row>
    <row r="604" spans="1:12">
      <c r="A604">
        <v>478</v>
      </c>
      <c r="B604">
        <v>894</v>
      </c>
      <c r="C604">
        <v>5</v>
      </c>
      <c r="D604" t="s">
        <v>2379</v>
      </c>
      <c r="E604" s="7">
        <v>1386.89</v>
      </c>
      <c r="F604" s="7">
        <v>17.8</v>
      </c>
      <c r="G604">
        <v>13</v>
      </c>
      <c r="H604" t="s">
        <v>77</v>
      </c>
      <c r="I604" t="s">
        <v>2377</v>
      </c>
      <c r="J604">
        <v>0</v>
      </c>
      <c r="K604" s="9">
        <f t="shared" si="18"/>
        <v>44154</v>
      </c>
      <c r="L604">
        <f t="shared" si="19"/>
        <v>138689</v>
      </c>
    </row>
    <row r="605" spans="1:12">
      <c r="A605">
        <v>479</v>
      </c>
      <c r="B605">
        <v>569</v>
      </c>
      <c r="C605">
        <v>3</v>
      </c>
      <c r="D605" t="s">
        <v>2390</v>
      </c>
      <c r="E605" s="7">
        <v>18885.26</v>
      </c>
      <c r="F605" s="7">
        <v>9.49</v>
      </c>
      <c r="G605">
        <v>53</v>
      </c>
      <c r="H605" t="s">
        <v>2747</v>
      </c>
      <c r="I605" t="s">
        <v>2377</v>
      </c>
      <c r="J605">
        <v>0</v>
      </c>
      <c r="K605" s="9">
        <f t="shared" si="18"/>
        <v>44587</v>
      </c>
      <c r="L605">
        <f t="shared" si="19"/>
        <v>1888526</v>
      </c>
    </row>
    <row r="606" spans="1:12">
      <c r="A606">
        <v>480</v>
      </c>
      <c r="B606">
        <v>156</v>
      </c>
      <c r="C606">
        <v>6</v>
      </c>
      <c r="D606" t="s">
        <v>2387</v>
      </c>
      <c r="E606" s="7">
        <v>124536.98</v>
      </c>
      <c r="F606" s="7">
        <v>12.06</v>
      </c>
      <c r="G606">
        <v>296</v>
      </c>
      <c r="H606" t="s">
        <v>2711</v>
      </c>
      <c r="I606" t="s">
        <v>2393</v>
      </c>
      <c r="J606">
        <v>246</v>
      </c>
      <c r="K606" s="9">
        <f t="shared" si="18"/>
        <v>45220</v>
      </c>
      <c r="L606">
        <f t="shared" si="19"/>
        <v>12453698</v>
      </c>
    </row>
    <row r="607" spans="1:12">
      <c r="A607">
        <v>481</v>
      </c>
      <c r="B607">
        <v>278</v>
      </c>
      <c r="C607">
        <v>6</v>
      </c>
      <c r="D607" t="s">
        <v>2387</v>
      </c>
      <c r="E607" s="7">
        <v>194566.98</v>
      </c>
      <c r="F607" s="7">
        <v>17.71</v>
      </c>
      <c r="G607">
        <v>332</v>
      </c>
      <c r="H607" t="s">
        <v>1427</v>
      </c>
      <c r="I607" t="s">
        <v>2383</v>
      </c>
      <c r="J607">
        <v>0</v>
      </c>
      <c r="K607" s="9">
        <f t="shared" si="18"/>
        <v>44775</v>
      </c>
      <c r="L607">
        <f t="shared" si="19"/>
        <v>19456698</v>
      </c>
    </row>
    <row r="608" spans="1:12">
      <c r="A608">
        <v>482</v>
      </c>
      <c r="B608">
        <v>980</v>
      </c>
      <c r="C608">
        <v>5</v>
      </c>
      <c r="D608" t="s">
        <v>2385</v>
      </c>
      <c r="E608" s="7">
        <v>8414.1</v>
      </c>
      <c r="F608" s="7">
        <v>5.17</v>
      </c>
      <c r="G608">
        <v>7</v>
      </c>
      <c r="H608" t="s">
        <v>2660</v>
      </c>
      <c r="I608" t="s">
        <v>2377</v>
      </c>
      <c r="J608">
        <v>0</v>
      </c>
      <c r="K608" s="9">
        <f t="shared" si="18"/>
        <v>44162</v>
      </c>
      <c r="L608">
        <f t="shared" si="19"/>
        <v>84141</v>
      </c>
    </row>
    <row r="609" spans="1:12">
      <c r="A609">
        <v>483</v>
      </c>
      <c r="B609">
        <v>755</v>
      </c>
      <c r="C609">
        <v>3</v>
      </c>
      <c r="D609" t="s">
        <v>2385</v>
      </c>
      <c r="E609" s="7">
        <v>4206.28</v>
      </c>
      <c r="F609" s="7">
        <v>5.11</v>
      </c>
      <c r="G609">
        <v>17</v>
      </c>
      <c r="H609" t="s">
        <v>1925</v>
      </c>
      <c r="I609" t="s">
        <v>2377</v>
      </c>
      <c r="J609">
        <v>0</v>
      </c>
      <c r="K609" s="9">
        <f t="shared" si="18"/>
        <v>45208</v>
      </c>
      <c r="L609">
        <f t="shared" si="19"/>
        <v>420628</v>
      </c>
    </row>
    <row r="610" spans="1:12">
      <c r="A610">
        <v>484</v>
      </c>
      <c r="B610">
        <v>716</v>
      </c>
      <c r="C610">
        <v>2</v>
      </c>
      <c r="D610" t="s">
        <v>2390</v>
      </c>
      <c r="E610" s="7">
        <v>30544.64</v>
      </c>
      <c r="F610" s="7">
        <v>8.32</v>
      </c>
      <c r="G610">
        <v>54</v>
      </c>
      <c r="H610" t="s">
        <v>2748</v>
      </c>
      <c r="I610" t="s">
        <v>2377</v>
      </c>
      <c r="J610">
        <v>16</v>
      </c>
      <c r="K610" s="9">
        <f t="shared" si="18"/>
        <v>43834</v>
      </c>
      <c r="L610">
        <f t="shared" si="19"/>
        <v>3054464</v>
      </c>
    </row>
    <row r="611" spans="1:12">
      <c r="A611">
        <v>485</v>
      </c>
      <c r="B611">
        <v>772</v>
      </c>
      <c r="C611">
        <v>2</v>
      </c>
      <c r="D611" t="s">
        <v>2385</v>
      </c>
      <c r="E611" s="7">
        <v>778.95</v>
      </c>
      <c r="F611" s="7">
        <v>15.74</v>
      </c>
      <c r="G611">
        <v>21</v>
      </c>
      <c r="H611" t="s">
        <v>2749</v>
      </c>
      <c r="I611" t="s">
        <v>2383</v>
      </c>
      <c r="J611">
        <v>0</v>
      </c>
      <c r="K611" s="9">
        <f t="shared" si="18"/>
        <v>45526</v>
      </c>
      <c r="L611">
        <f t="shared" si="19"/>
        <v>77895</v>
      </c>
    </row>
    <row r="612" spans="1:12">
      <c r="A612">
        <v>486</v>
      </c>
      <c r="B612">
        <v>461</v>
      </c>
      <c r="C612">
        <v>6</v>
      </c>
      <c r="D612" t="s">
        <v>2387</v>
      </c>
      <c r="E612" s="7">
        <v>109719.1</v>
      </c>
      <c r="F612" s="7">
        <v>12.3</v>
      </c>
      <c r="G612">
        <v>241</v>
      </c>
      <c r="H612" t="s">
        <v>2750</v>
      </c>
      <c r="I612" t="s">
        <v>2377</v>
      </c>
      <c r="J612">
        <v>0</v>
      </c>
      <c r="K612" s="9">
        <f t="shared" si="18"/>
        <v>44620</v>
      </c>
      <c r="L612">
        <f t="shared" si="19"/>
        <v>1097191</v>
      </c>
    </row>
    <row r="613" spans="1:12">
      <c r="A613">
        <v>487</v>
      </c>
      <c r="B613">
        <v>136</v>
      </c>
      <c r="C613">
        <v>2</v>
      </c>
      <c r="D613" t="s">
        <v>2390</v>
      </c>
      <c r="E613" s="7">
        <v>35788.19</v>
      </c>
      <c r="F613" s="7">
        <v>6.73</v>
      </c>
      <c r="G613">
        <v>68</v>
      </c>
      <c r="H613" t="s">
        <v>318</v>
      </c>
      <c r="I613" t="s">
        <v>2377</v>
      </c>
      <c r="J613">
        <v>0</v>
      </c>
      <c r="K613" s="9">
        <f t="shared" si="18"/>
        <v>45645</v>
      </c>
      <c r="L613">
        <f t="shared" si="19"/>
        <v>3578819</v>
      </c>
    </row>
    <row r="614" spans="1:12">
      <c r="A614">
        <v>488</v>
      </c>
      <c r="B614">
        <v>575</v>
      </c>
      <c r="C614">
        <v>6</v>
      </c>
      <c r="D614" t="s">
        <v>2376</v>
      </c>
      <c r="E614" s="7">
        <v>80363.56</v>
      </c>
      <c r="F614" s="7">
        <v>17.74</v>
      </c>
      <c r="G614">
        <v>20</v>
      </c>
      <c r="H614" t="s">
        <v>2751</v>
      </c>
      <c r="I614" t="s">
        <v>2383</v>
      </c>
      <c r="J614">
        <v>0</v>
      </c>
      <c r="K614" s="9">
        <f t="shared" si="18"/>
        <v>45344</v>
      </c>
      <c r="L614">
        <f t="shared" si="19"/>
        <v>8036356</v>
      </c>
    </row>
    <row r="615" spans="1:12">
      <c r="A615">
        <v>489</v>
      </c>
      <c r="B615">
        <v>151</v>
      </c>
      <c r="C615">
        <v>6</v>
      </c>
      <c r="D615" t="s">
        <v>2379</v>
      </c>
      <c r="E615" s="7">
        <v>12542.7</v>
      </c>
      <c r="F615" s="7">
        <v>13.68</v>
      </c>
      <c r="G615">
        <v>10</v>
      </c>
      <c r="H615" t="s">
        <v>295</v>
      </c>
      <c r="I615" t="s">
        <v>2383</v>
      </c>
      <c r="J615">
        <v>0</v>
      </c>
      <c r="K615" s="9">
        <f t="shared" si="18"/>
        <v>45430</v>
      </c>
      <c r="L615">
        <f t="shared" si="19"/>
        <v>125427</v>
      </c>
    </row>
    <row r="616" spans="1:12">
      <c r="A616">
        <v>490</v>
      </c>
      <c r="B616">
        <v>807</v>
      </c>
      <c r="C616">
        <v>4</v>
      </c>
      <c r="D616" t="s">
        <v>2390</v>
      </c>
      <c r="E616" s="7">
        <v>13247.46</v>
      </c>
      <c r="F616" s="7">
        <v>19.92</v>
      </c>
      <c r="G616">
        <v>71</v>
      </c>
      <c r="H616" t="s">
        <v>2752</v>
      </c>
      <c r="I616" t="s">
        <v>2377</v>
      </c>
      <c r="J616">
        <v>0</v>
      </c>
      <c r="K616" s="9">
        <f t="shared" si="18"/>
        <v>44704</v>
      </c>
      <c r="L616">
        <f t="shared" si="19"/>
        <v>1324746</v>
      </c>
    </row>
    <row r="617" spans="1:12">
      <c r="A617">
        <v>491</v>
      </c>
      <c r="B617">
        <v>156</v>
      </c>
      <c r="C617">
        <v>6</v>
      </c>
      <c r="D617" t="s">
        <v>2385</v>
      </c>
      <c r="E617" s="7">
        <v>7579.69</v>
      </c>
      <c r="F617" s="7">
        <v>9.11</v>
      </c>
      <c r="G617">
        <v>23</v>
      </c>
      <c r="H617" t="s">
        <v>2753</v>
      </c>
      <c r="I617" t="s">
        <v>2393</v>
      </c>
      <c r="J617">
        <v>304</v>
      </c>
      <c r="K617" s="9">
        <f t="shared" si="18"/>
        <v>44426</v>
      </c>
      <c r="L617">
        <f t="shared" si="19"/>
        <v>757969</v>
      </c>
    </row>
    <row r="618" spans="1:12">
      <c r="A618">
        <v>492</v>
      </c>
      <c r="B618">
        <v>381</v>
      </c>
      <c r="C618">
        <v>5</v>
      </c>
      <c r="D618" t="s">
        <v>2376</v>
      </c>
      <c r="E618" s="7">
        <v>97130.03</v>
      </c>
      <c r="F618" s="7">
        <v>6.89</v>
      </c>
      <c r="G618">
        <v>61</v>
      </c>
      <c r="H618" t="s">
        <v>2754</v>
      </c>
      <c r="I618" t="s">
        <v>2377</v>
      </c>
      <c r="J618">
        <v>0</v>
      </c>
      <c r="K618" s="9">
        <f t="shared" si="18"/>
        <v>44332</v>
      </c>
      <c r="L618">
        <f t="shared" si="19"/>
        <v>9713003</v>
      </c>
    </row>
    <row r="619" spans="1:12">
      <c r="A619">
        <v>493</v>
      </c>
      <c r="B619">
        <v>1</v>
      </c>
      <c r="C619">
        <v>2</v>
      </c>
      <c r="D619" t="s">
        <v>2387</v>
      </c>
      <c r="E619" s="7">
        <v>51292.23</v>
      </c>
      <c r="F619" s="7">
        <v>5.29</v>
      </c>
      <c r="G619">
        <v>236</v>
      </c>
      <c r="H619" t="s">
        <v>331</v>
      </c>
      <c r="I619" t="s">
        <v>2377</v>
      </c>
      <c r="J619">
        <v>71</v>
      </c>
      <c r="K619" s="9">
        <f t="shared" si="18"/>
        <v>44284</v>
      </c>
      <c r="L619">
        <f t="shared" si="19"/>
        <v>5129223</v>
      </c>
    </row>
    <row r="620" spans="1:12">
      <c r="A620">
        <v>494</v>
      </c>
      <c r="B620">
        <v>300</v>
      </c>
      <c r="C620">
        <v>3</v>
      </c>
      <c r="D620" t="s">
        <v>2390</v>
      </c>
      <c r="E620" s="7">
        <v>31877.7</v>
      </c>
      <c r="F620" s="7">
        <v>8.08</v>
      </c>
      <c r="G620">
        <v>34</v>
      </c>
      <c r="H620" t="s">
        <v>1717</v>
      </c>
      <c r="I620" t="s">
        <v>2377</v>
      </c>
      <c r="J620">
        <v>29</v>
      </c>
      <c r="K620" s="9">
        <f t="shared" si="18"/>
        <v>44497</v>
      </c>
      <c r="L620">
        <f t="shared" si="19"/>
        <v>318777</v>
      </c>
    </row>
    <row r="621" spans="1:12">
      <c r="A621">
        <v>495</v>
      </c>
      <c r="B621">
        <v>395</v>
      </c>
      <c r="C621">
        <v>6</v>
      </c>
      <c r="D621" t="s">
        <v>2376</v>
      </c>
      <c r="E621" s="7">
        <v>69186.91</v>
      </c>
      <c r="F621" s="7">
        <v>14.07</v>
      </c>
      <c r="G621">
        <v>82</v>
      </c>
      <c r="H621" t="s">
        <v>2577</v>
      </c>
      <c r="I621" t="s">
        <v>2383</v>
      </c>
      <c r="J621">
        <v>0</v>
      </c>
      <c r="K621" s="9">
        <f t="shared" si="18"/>
        <v>44305</v>
      </c>
      <c r="L621">
        <f t="shared" si="19"/>
        <v>6918691</v>
      </c>
    </row>
    <row r="622" spans="1:12">
      <c r="A622">
        <v>496</v>
      </c>
      <c r="B622">
        <v>258</v>
      </c>
      <c r="C622">
        <v>5</v>
      </c>
      <c r="D622" t="s">
        <v>2390</v>
      </c>
      <c r="E622" s="7">
        <v>14345.28</v>
      </c>
      <c r="F622" s="7">
        <v>8.1</v>
      </c>
      <c r="G622">
        <v>69</v>
      </c>
      <c r="H622" t="s">
        <v>2755</v>
      </c>
      <c r="I622" t="s">
        <v>2383</v>
      </c>
      <c r="J622">
        <v>0</v>
      </c>
      <c r="K622" s="9">
        <f t="shared" si="18"/>
        <v>44958</v>
      </c>
      <c r="L622">
        <f t="shared" si="19"/>
        <v>1434528</v>
      </c>
    </row>
    <row r="623" spans="1:12">
      <c r="A623">
        <v>497</v>
      </c>
      <c r="B623">
        <v>341</v>
      </c>
      <c r="C623">
        <v>2</v>
      </c>
      <c r="D623" t="s">
        <v>2387</v>
      </c>
      <c r="E623" s="7">
        <v>91057.31</v>
      </c>
      <c r="F623" s="7">
        <v>16.24</v>
      </c>
      <c r="G623">
        <v>334</v>
      </c>
      <c r="H623" t="s">
        <v>2589</v>
      </c>
      <c r="I623" t="s">
        <v>2377</v>
      </c>
      <c r="J623">
        <v>0</v>
      </c>
      <c r="K623" s="9">
        <f t="shared" si="18"/>
        <v>44502</v>
      </c>
      <c r="L623">
        <f t="shared" si="19"/>
        <v>9105731</v>
      </c>
    </row>
    <row r="624" spans="1:12">
      <c r="A624">
        <v>498</v>
      </c>
      <c r="B624">
        <v>150</v>
      </c>
      <c r="C624">
        <v>2</v>
      </c>
      <c r="D624" t="s">
        <v>2385</v>
      </c>
      <c r="E624" s="7">
        <v>3531.25</v>
      </c>
      <c r="F624" s="7">
        <v>13.12</v>
      </c>
      <c r="G624">
        <v>18</v>
      </c>
      <c r="H624" t="s">
        <v>2756</v>
      </c>
      <c r="I624" t="s">
        <v>2377</v>
      </c>
      <c r="J624">
        <v>0</v>
      </c>
      <c r="K624" s="9">
        <f t="shared" si="18"/>
        <v>44308</v>
      </c>
      <c r="L624">
        <f t="shared" si="19"/>
        <v>353125</v>
      </c>
    </row>
    <row r="625" spans="1:12">
      <c r="A625">
        <v>499</v>
      </c>
      <c r="B625">
        <v>65</v>
      </c>
      <c r="C625">
        <v>2</v>
      </c>
      <c r="D625" t="s">
        <v>2385</v>
      </c>
      <c r="E625" s="7">
        <v>2039.78</v>
      </c>
      <c r="F625" s="7">
        <v>20.38</v>
      </c>
      <c r="G625">
        <v>20</v>
      </c>
      <c r="H625" t="s">
        <v>2757</v>
      </c>
      <c r="I625" t="s">
        <v>2393</v>
      </c>
      <c r="J625">
        <v>336</v>
      </c>
      <c r="K625" s="9">
        <f t="shared" si="18"/>
        <v>45675</v>
      </c>
      <c r="L625">
        <f t="shared" si="19"/>
        <v>203978</v>
      </c>
    </row>
    <row r="626" spans="1:12">
      <c r="A626">
        <v>500</v>
      </c>
      <c r="B626">
        <v>383</v>
      </c>
      <c r="C626">
        <v>6</v>
      </c>
      <c r="D626" t="s">
        <v>2390</v>
      </c>
      <c r="E626" s="7">
        <v>29879.78</v>
      </c>
      <c r="F626" s="7">
        <v>11.95</v>
      </c>
      <c r="G626">
        <v>70</v>
      </c>
      <c r="H626" t="s">
        <v>2533</v>
      </c>
      <c r="I626" t="s">
        <v>2383</v>
      </c>
      <c r="J626">
        <v>0</v>
      </c>
      <c r="K626" s="9">
        <f t="shared" si="18"/>
        <v>45470</v>
      </c>
      <c r="L626">
        <f t="shared" si="19"/>
        <v>2987978</v>
      </c>
    </row>
    <row r="627" spans="1:12">
      <c r="A627">
        <v>501</v>
      </c>
      <c r="B627">
        <v>147</v>
      </c>
      <c r="C627">
        <v>6</v>
      </c>
      <c r="D627" t="s">
        <v>2379</v>
      </c>
      <c r="E627" s="7">
        <v>8143.71</v>
      </c>
      <c r="F627" s="7">
        <v>19.25</v>
      </c>
      <c r="G627">
        <v>40</v>
      </c>
      <c r="H627" t="s">
        <v>2758</v>
      </c>
      <c r="I627" t="s">
        <v>2383</v>
      </c>
      <c r="J627">
        <v>0</v>
      </c>
      <c r="K627" s="9">
        <f t="shared" si="18"/>
        <v>44866</v>
      </c>
      <c r="L627">
        <f t="shared" si="19"/>
        <v>814371</v>
      </c>
    </row>
    <row r="628" spans="1:12">
      <c r="A628">
        <v>502</v>
      </c>
      <c r="B628">
        <v>614</v>
      </c>
      <c r="C628">
        <v>2</v>
      </c>
      <c r="D628" t="s">
        <v>2390</v>
      </c>
      <c r="E628" s="7">
        <v>17638.58</v>
      </c>
      <c r="F628" s="7">
        <v>7.13</v>
      </c>
      <c r="G628">
        <v>66</v>
      </c>
      <c r="H628" t="s">
        <v>167</v>
      </c>
      <c r="I628" t="s">
        <v>2383</v>
      </c>
      <c r="J628">
        <v>0</v>
      </c>
      <c r="K628" s="9">
        <f t="shared" si="18"/>
        <v>45549</v>
      </c>
      <c r="L628">
        <f t="shared" si="19"/>
        <v>1763858</v>
      </c>
    </row>
    <row r="629" spans="1:12">
      <c r="A629">
        <v>878</v>
      </c>
      <c r="B629">
        <v>708</v>
      </c>
      <c r="C629">
        <v>2</v>
      </c>
      <c r="D629" t="s">
        <v>2387</v>
      </c>
      <c r="E629" s="7">
        <v>193333.15</v>
      </c>
      <c r="F629" s="7">
        <v>17.37</v>
      </c>
      <c r="G629">
        <v>343</v>
      </c>
      <c r="H629" t="s">
        <v>2759</v>
      </c>
      <c r="I629" t="s">
        <v>2377</v>
      </c>
      <c r="J629">
        <v>0</v>
      </c>
      <c r="K629" s="9">
        <f t="shared" si="18"/>
        <v>44742</v>
      </c>
      <c r="L629">
        <f t="shared" si="19"/>
        <v>19333315</v>
      </c>
    </row>
    <row r="630" spans="1:12">
      <c r="A630">
        <v>879</v>
      </c>
      <c r="B630">
        <v>1</v>
      </c>
      <c r="C630">
        <v>2</v>
      </c>
      <c r="D630" t="s">
        <v>2376</v>
      </c>
      <c r="E630" s="7">
        <v>45363.59</v>
      </c>
      <c r="F630" s="7">
        <v>15.66</v>
      </c>
      <c r="G630">
        <v>81</v>
      </c>
      <c r="H630" t="s">
        <v>2760</v>
      </c>
      <c r="I630" t="s">
        <v>2377</v>
      </c>
      <c r="J630">
        <v>0</v>
      </c>
      <c r="K630" s="9">
        <f t="shared" si="18"/>
        <v>44968</v>
      </c>
      <c r="L630">
        <f t="shared" si="19"/>
        <v>4536359</v>
      </c>
    </row>
    <row r="631" spans="1:12">
      <c r="A631">
        <v>880</v>
      </c>
      <c r="B631">
        <v>273</v>
      </c>
      <c r="C631">
        <v>1</v>
      </c>
      <c r="D631" t="s">
        <v>2376</v>
      </c>
      <c r="E631" s="7">
        <v>132730.44</v>
      </c>
      <c r="F631" s="7">
        <v>8.48</v>
      </c>
      <c r="G631">
        <v>37</v>
      </c>
      <c r="H631" t="s">
        <v>2579</v>
      </c>
      <c r="I631" t="s">
        <v>2377</v>
      </c>
      <c r="J631">
        <v>0</v>
      </c>
      <c r="K631" s="9">
        <f t="shared" si="18"/>
        <v>45741</v>
      </c>
      <c r="L631">
        <f t="shared" si="19"/>
        <v>13273044</v>
      </c>
    </row>
    <row r="632" spans="1:12">
      <c r="A632">
        <v>881</v>
      </c>
      <c r="B632">
        <v>911</v>
      </c>
      <c r="C632">
        <v>3</v>
      </c>
      <c r="D632" t="s">
        <v>2387</v>
      </c>
      <c r="E632" s="7">
        <v>140005.61</v>
      </c>
      <c r="F632" s="7">
        <v>7.4</v>
      </c>
      <c r="G632">
        <v>229</v>
      </c>
      <c r="H632" t="s">
        <v>2487</v>
      </c>
      <c r="I632" t="s">
        <v>2383</v>
      </c>
      <c r="J632">
        <v>0</v>
      </c>
      <c r="K632" s="9">
        <f t="shared" si="18"/>
        <v>44922</v>
      </c>
      <c r="L632">
        <f t="shared" si="19"/>
        <v>14000561</v>
      </c>
    </row>
    <row r="633" spans="1:12">
      <c r="A633">
        <v>882</v>
      </c>
      <c r="B633">
        <v>724</v>
      </c>
      <c r="C633">
        <v>4</v>
      </c>
      <c r="D633" t="s">
        <v>2387</v>
      </c>
      <c r="E633" s="7">
        <v>147609.96</v>
      </c>
      <c r="F633" s="7">
        <v>9.05</v>
      </c>
      <c r="G633">
        <v>327</v>
      </c>
      <c r="H633" t="s">
        <v>2761</v>
      </c>
      <c r="I633" t="s">
        <v>2377</v>
      </c>
      <c r="J633">
        <v>0</v>
      </c>
      <c r="K633" s="9">
        <f t="shared" si="18"/>
        <v>44744</v>
      </c>
      <c r="L633">
        <f t="shared" si="19"/>
        <v>14760996</v>
      </c>
    </row>
    <row r="634" spans="1:12">
      <c r="A634">
        <v>883</v>
      </c>
      <c r="B634">
        <v>332</v>
      </c>
      <c r="C634">
        <v>7</v>
      </c>
      <c r="D634" t="s">
        <v>2376</v>
      </c>
      <c r="E634" s="7">
        <v>61605.36</v>
      </c>
      <c r="F634" s="7">
        <v>13.26</v>
      </c>
      <c r="G634">
        <v>83</v>
      </c>
      <c r="H634" t="s">
        <v>2762</v>
      </c>
      <c r="I634" t="s">
        <v>2377</v>
      </c>
      <c r="J634">
        <v>0</v>
      </c>
      <c r="K634" s="9">
        <f t="shared" si="18"/>
        <v>45676</v>
      </c>
      <c r="L634">
        <f t="shared" si="19"/>
        <v>6160536</v>
      </c>
    </row>
    <row r="635" spans="1:12">
      <c r="A635">
        <v>884</v>
      </c>
      <c r="B635">
        <v>934</v>
      </c>
      <c r="C635">
        <v>2</v>
      </c>
      <c r="D635" t="s">
        <v>2376</v>
      </c>
      <c r="E635" s="7">
        <v>149318.05</v>
      </c>
      <c r="F635" s="7">
        <v>16.06</v>
      </c>
      <c r="G635">
        <v>61</v>
      </c>
      <c r="H635" t="s">
        <v>2763</v>
      </c>
      <c r="I635" t="s">
        <v>2377</v>
      </c>
      <c r="J635">
        <v>55</v>
      </c>
      <c r="K635" s="9">
        <f t="shared" si="18"/>
        <v>44987</v>
      </c>
      <c r="L635">
        <f t="shared" si="19"/>
        <v>14931805</v>
      </c>
    </row>
    <row r="636" spans="1:12">
      <c r="A636">
        <v>885</v>
      </c>
      <c r="B636">
        <v>110</v>
      </c>
      <c r="C636">
        <v>7</v>
      </c>
      <c r="D636" t="s">
        <v>2379</v>
      </c>
      <c r="E636" s="7">
        <v>6423.15</v>
      </c>
      <c r="F636" s="7">
        <v>21.96</v>
      </c>
      <c r="G636">
        <v>52</v>
      </c>
      <c r="H636" t="s">
        <v>2764</v>
      </c>
      <c r="I636" t="s">
        <v>2377</v>
      </c>
      <c r="J636">
        <v>40</v>
      </c>
      <c r="K636" s="9">
        <f t="shared" si="18"/>
        <v>45789</v>
      </c>
      <c r="L636">
        <f t="shared" si="19"/>
        <v>642315</v>
      </c>
    </row>
    <row r="637" spans="1:12">
      <c r="A637">
        <v>886</v>
      </c>
      <c r="B637">
        <v>62</v>
      </c>
      <c r="C637">
        <v>2</v>
      </c>
      <c r="D637" t="s">
        <v>2385</v>
      </c>
      <c r="E637" s="7">
        <v>1280.77</v>
      </c>
      <c r="F637" s="7">
        <v>21.97</v>
      </c>
      <c r="G637">
        <v>12</v>
      </c>
      <c r="H637" t="s">
        <v>223</v>
      </c>
      <c r="I637" t="s">
        <v>2377</v>
      </c>
      <c r="J637">
        <v>47</v>
      </c>
      <c r="K637" s="9">
        <f t="shared" si="18"/>
        <v>44000</v>
      </c>
      <c r="L637">
        <f t="shared" si="19"/>
        <v>128077</v>
      </c>
    </row>
    <row r="638" spans="1:12">
      <c r="A638">
        <v>887</v>
      </c>
      <c r="B638">
        <v>721</v>
      </c>
      <c r="C638">
        <v>4</v>
      </c>
      <c r="D638" t="s">
        <v>2387</v>
      </c>
      <c r="E638" s="7">
        <v>146876.81</v>
      </c>
      <c r="F638" s="7">
        <v>12.59</v>
      </c>
      <c r="G638">
        <v>123</v>
      </c>
      <c r="H638" t="s">
        <v>2451</v>
      </c>
      <c r="I638" t="s">
        <v>2377</v>
      </c>
      <c r="J638">
        <v>10</v>
      </c>
      <c r="K638" s="9">
        <f t="shared" si="18"/>
        <v>45178</v>
      </c>
      <c r="L638">
        <f t="shared" si="19"/>
        <v>14687681</v>
      </c>
    </row>
    <row r="639" spans="1:12">
      <c r="A639">
        <v>888</v>
      </c>
      <c r="B639">
        <v>718</v>
      </c>
      <c r="C639">
        <v>2</v>
      </c>
      <c r="D639" t="s">
        <v>2376</v>
      </c>
      <c r="E639" s="7">
        <v>125793.5</v>
      </c>
      <c r="F639" s="7">
        <v>7.07</v>
      </c>
      <c r="G639">
        <v>48</v>
      </c>
      <c r="H639" t="s">
        <v>2765</v>
      </c>
      <c r="I639" t="s">
        <v>2377</v>
      </c>
      <c r="J639">
        <v>40</v>
      </c>
      <c r="K639" s="9">
        <f t="shared" si="18"/>
        <v>44245</v>
      </c>
      <c r="L639">
        <f t="shared" si="19"/>
        <v>1257935</v>
      </c>
    </row>
    <row r="640" spans="1:12">
      <c r="A640">
        <v>889</v>
      </c>
      <c r="B640">
        <v>614</v>
      </c>
      <c r="C640">
        <v>2</v>
      </c>
      <c r="D640" t="s">
        <v>2376</v>
      </c>
      <c r="E640" s="7">
        <v>64755.13</v>
      </c>
      <c r="F640" s="7">
        <v>11.49</v>
      </c>
      <c r="G640">
        <v>43</v>
      </c>
      <c r="H640" t="s">
        <v>1587</v>
      </c>
      <c r="I640" t="s">
        <v>2377</v>
      </c>
      <c r="J640">
        <v>61</v>
      </c>
      <c r="K640" s="9">
        <f t="shared" si="18"/>
        <v>44911</v>
      </c>
      <c r="L640">
        <f t="shared" si="19"/>
        <v>6475513</v>
      </c>
    </row>
    <row r="641" spans="1:12">
      <c r="A641">
        <v>890</v>
      </c>
      <c r="B641">
        <v>841</v>
      </c>
      <c r="C641">
        <v>7</v>
      </c>
      <c r="D641" t="s">
        <v>2387</v>
      </c>
      <c r="E641" s="7">
        <v>172199.02</v>
      </c>
      <c r="F641" s="7">
        <v>7.99</v>
      </c>
      <c r="G641">
        <v>244</v>
      </c>
      <c r="H641" t="s">
        <v>1108</v>
      </c>
      <c r="I641" t="s">
        <v>2377</v>
      </c>
      <c r="J641">
        <v>0</v>
      </c>
      <c r="K641" s="9">
        <f t="shared" si="18"/>
        <v>45385</v>
      </c>
      <c r="L641">
        <f t="shared" si="19"/>
        <v>17219902</v>
      </c>
    </row>
    <row r="642" spans="1:12">
      <c r="A642">
        <v>891</v>
      </c>
      <c r="B642">
        <v>547</v>
      </c>
      <c r="C642">
        <v>5</v>
      </c>
      <c r="D642" t="s">
        <v>2390</v>
      </c>
      <c r="E642" s="7">
        <v>11570.23</v>
      </c>
      <c r="F642" s="7">
        <v>13.43</v>
      </c>
      <c r="G642">
        <v>60</v>
      </c>
      <c r="H642" t="s">
        <v>1072</v>
      </c>
      <c r="I642" t="s">
        <v>2383</v>
      </c>
      <c r="J642">
        <v>0</v>
      </c>
      <c r="K642" s="9">
        <f t="shared" si="18"/>
        <v>45006</v>
      </c>
      <c r="L642">
        <f t="shared" si="19"/>
        <v>1157023</v>
      </c>
    </row>
    <row r="643" spans="1:12">
      <c r="A643">
        <v>892</v>
      </c>
      <c r="B643">
        <v>790</v>
      </c>
      <c r="C643">
        <v>4</v>
      </c>
      <c r="D643" t="s">
        <v>2376</v>
      </c>
      <c r="E643" s="7">
        <v>37408.81</v>
      </c>
      <c r="F643" s="7">
        <v>10.36</v>
      </c>
      <c r="G643">
        <v>82</v>
      </c>
      <c r="H643" t="s">
        <v>2453</v>
      </c>
      <c r="I643" t="s">
        <v>2377</v>
      </c>
      <c r="J643">
        <v>0</v>
      </c>
      <c r="K643" s="9">
        <f t="shared" ref="K643:K706" si="20">DATEVALUE(LEFT(H643,10))</f>
        <v>45811</v>
      </c>
      <c r="L643">
        <f t="shared" ref="L643:L706" si="21">_xlfn.NUMBERVALUE(E643,".",",")</f>
        <v>3740881</v>
      </c>
    </row>
    <row r="644" spans="1:12">
      <c r="A644">
        <v>893</v>
      </c>
      <c r="B644">
        <v>727</v>
      </c>
      <c r="C644">
        <v>2</v>
      </c>
      <c r="D644" t="s">
        <v>2390</v>
      </c>
      <c r="E644" s="7">
        <v>20913.37</v>
      </c>
      <c r="F644" s="7">
        <v>6.09</v>
      </c>
      <c r="G644">
        <v>50</v>
      </c>
      <c r="H644" t="s">
        <v>66</v>
      </c>
      <c r="I644" t="s">
        <v>2377</v>
      </c>
      <c r="J644">
        <v>0</v>
      </c>
      <c r="K644" s="9">
        <f t="shared" si="20"/>
        <v>44409</v>
      </c>
      <c r="L644">
        <f t="shared" si="21"/>
        <v>2091337</v>
      </c>
    </row>
    <row r="645" spans="1:12">
      <c r="A645">
        <v>894</v>
      </c>
      <c r="B645">
        <v>854</v>
      </c>
      <c r="C645">
        <v>5</v>
      </c>
      <c r="D645" t="s">
        <v>2379</v>
      </c>
      <c r="E645" s="7">
        <v>7802.35</v>
      </c>
      <c r="F645" s="7">
        <v>8.92</v>
      </c>
      <c r="G645">
        <v>34</v>
      </c>
      <c r="H645" t="s">
        <v>2766</v>
      </c>
      <c r="I645" t="s">
        <v>2393</v>
      </c>
      <c r="J645">
        <v>363</v>
      </c>
      <c r="K645" s="9">
        <f t="shared" si="20"/>
        <v>45602</v>
      </c>
      <c r="L645">
        <f t="shared" si="21"/>
        <v>780235</v>
      </c>
    </row>
    <row r="646" spans="1:12">
      <c r="A646">
        <v>895</v>
      </c>
      <c r="B646">
        <v>360</v>
      </c>
      <c r="C646">
        <v>3</v>
      </c>
      <c r="D646" t="s">
        <v>2379</v>
      </c>
      <c r="E646" s="7">
        <v>4264.04</v>
      </c>
      <c r="F646" s="7">
        <v>17.74</v>
      </c>
      <c r="G646">
        <v>50</v>
      </c>
      <c r="H646" t="s">
        <v>2767</v>
      </c>
      <c r="I646" t="s">
        <v>2377</v>
      </c>
      <c r="J646">
        <v>0</v>
      </c>
      <c r="K646" s="9">
        <f t="shared" si="20"/>
        <v>45221</v>
      </c>
      <c r="L646">
        <f t="shared" si="21"/>
        <v>426404</v>
      </c>
    </row>
    <row r="647" spans="1:12">
      <c r="A647">
        <v>896</v>
      </c>
      <c r="B647">
        <v>458</v>
      </c>
      <c r="C647">
        <v>6</v>
      </c>
      <c r="D647" t="s">
        <v>2379</v>
      </c>
      <c r="E647" s="7">
        <v>14242.6</v>
      </c>
      <c r="F647" s="7">
        <v>13.93</v>
      </c>
      <c r="G647">
        <v>43</v>
      </c>
      <c r="H647" t="s">
        <v>2768</v>
      </c>
      <c r="I647" t="s">
        <v>2393</v>
      </c>
      <c r="J647">
        <v>205</v>
      </c>
      <c r="K647" s="9">
        <f t="shared" si="20"/>
        <v>44037</v>
      </c>
      <c r="L647">
        <f t="shared" si="21"/>
        <v>142426</v>
      </c>
    </row>
    <row r="648" spans="1:12">
      <c r="A648">
        <v>897</v>
      </c>
      <c r="B648">
        <v>270</v>
      </c>
      <c r="C648">
        <v>7</v>
      </c>
      <c r="D648" t="s">
        <v>2379</v>
      </c>
      <c r="E648" s="7">
        <v>4509.47</v>
      </c>
      <c r="F648" s="7">
        <v>12.89</v>
      </c>
      <c r="G648">
        <v>37</v>
      </c>
      <c r="H648" t="s">
        <v>266</v>
      </c>
      <c r="I648" t="s">
        <v>2377</v>
      </c>
      <c r="J648">
        <v>4</v>
      </c>
      <c r="K648" s="9">
        <f t="shared" si="20"/>
        <v>43876</v>
      </c>
      <c r="L648">
        <f t="shared" si="21"/>
        <v>450947</v>
      </c>
    </row>
    <row r="649" spans="1:12">
      <c r="A649">
        <v>898</v>
      </c>
      <c r="B649">
        <v>776</v>
      </c>
      <c r="C649">
        <v>3</v>
      </c>
      <c r="D649" t="s">
        <v>2379</v>
      </c>
      <c r="E649" s="7">
        <v>12782.51</v>
      </c>
      <c r="F649" s="7">
        <v>13.92</v>
      </c>
      <c r="G649">
        <v>26</v>
      </c>
      <c r="H649" t="s">
        <v>2769</v>
      </c>
      <c r="I649" t="s">
        <v>2377</v>
      </c>
      <c r="J649">
        <v>0</v>
      </c>
      <c r="K649" s="9">
        <f t="shared" si="20"/>
        <v>45346</v>
      </c>
      <c r="L649">
        <f t="shared" si="21"/>
        <v>1278251</v>
      </c>
    </row>
    <row r="650" spans="1:12">
      <c r="A650">
        <v>899</v>
      </c>
      <c r="B650">
        <v>368</v>
      </c>
      <c r="C650">
        <v>1</v>
      </c>
      <c r="D650" t="s">
        <v>2379</v>
      </c>
      <c r="E650" s="7">
        <v>1910.04</v>
      </c>
      <c r="F650" s="7">
        <v>17.71</v>
      </c>
      <c r="G650">
        <v>42</v>
      </c>
      <c r="H650" t="s">
        <v>2475</v>
      </c>
      <c r="I650" t="s">
        <v>2377</v>
      </c>
      <c r="J650">
        <v>0</v>
      </c>
      <c r="K650" s="9">
        <f t="shared" si="20"/>
        <v>44275</v>
      </c>
      <c r="L650">
        <f t="shared" si="21"/>
        <v>191004</v>
      </c>
    </row>
    <row r="651" spans="1:12">
      <c r="A651">
        <v>900</v>
      </c>
      <c r="B651">
        <v>350</v>
      </c>
      <c r="C651">
        <v>5</v>
      </c>
      <c r="D651" t="s">
        <v>2387</v>
      </c>
      <c r="E651" s="7">
        <v>138402.04</v>
      </c>
      <c r="F651" s="7">
        <v>8.25</v>
      </c>
      <c r="G651">
        <v>213</v>
      </c>
      <c r="H651" t="s">
        <v>2671</v>
      </c>
      <c r="I651" t="s">
        <v>2377</v>
      </c>
      <c r="J651">
        <v>0</v>
      </c>
      <c r="K651" s="9">
        <f t="shared" si="20"/>
        <v>45351</v>
      </c>
      <c r="L651">
        <f t="shared" si="21"/>
        <v>13840204</v>
      </c>
    </row>
    <row r="652" spans="1:12">
      <c r="A652">
        <v>901</v>
      </c>
      <c r="B652">
        <v>737</v>
      </c>
      <c r="C652">
        <v>3</v>
      </c>
      <c r="D652" t="s">
        <v>2387</v>
      </c>
      <c r="E652" s="7">
        <v>154211.85</v>
      </c>
      <c r="F652" s="7">
        <v>13.49</v>
      </c>
      <c r="G652">
        <v>337</v>
      </c>
      <c r="H652" t="s">
        <v>2770</v>
      </c>
      <c r="I652" t="s">
        <v>2377</v>
      </c>
      <c r="J652">
        <v>0</v>
      </c>
      <c r="K652" s="9">
        <f t="shared" si="20"/>
        <v>43992</v>
      </c>
      <c r="L652">
        <f t="shared" si="21"/>
        <v>15421185</v>
      </c>
    </row>
    <row r="653" spans="1:12">
      <c r="A653">
        <v>902</v>
      </c>
      <c r="B653">
        <v>868</v>
      </c>
      <c r="C653">
        <v>7</v>
      </c>
      <c r="D653" t="s">
        <v>2379</v>
      </c>
      <c r="E653" s="7">
        <v>2789.52</v>
      </c>
      <c r="F653" s="7">
        <v>21.45</v>
      </c>
      <c r="G653">
        <v>17</v>
      </c>
      <c r="H653" t="s">
        <v>2771</v>
      </c>
      <c r="I653" t="s">
        <v>2383</v>
      </c>
      <c r="J653">
        <v>0</v>
      </c>
      <c r="K653" s="9">
        <f t="shared" si="20"/>
        <v>44938</v>
      </c>
      <c r="L653">
        <f t="shared" si="21"/>
        <v>278952</v>
      </c>
    </row>
    <row r="654" spans="1:12">
      <c r="A654">
        <v>903</v>
      </c>
      <c r="B654">
        <v>846</v>
      </c>
      <c r="C654">
        <v>1</v>
      </c>
      <c r="D654" t="s">
        <v>2390</v>
      </c>
      <c r="E654" s="7">
        <v>32388.89</v>
      </c>
      <c r="F654" s="7">
        <v>19.46</v>
      </c>
      <c r="G654">
        <v>36</v>
      </c>
      <c r="H654" t="s">
        <v>2772</v>
      </c>
      <c r="I654" t="s">
        <v>2377</v>
      </c>
      <c r="J654">
        <v>0</v>
      </c>
      <c r="K654" s="9">
        <f t="shared" si="20"/>
        <v>44160</v>
      </c>
      <c r="L654">
        <f t="shared" si="21"/>
        <v>3238889</v>
      </c>
    </row>
    <row r="655" spans="1:12">
      <c r="A655">
        <v>904</v>
      </c>
      <c r="B655">
        <v>800</v>
      </c>
      <c r="C655">
        <v>3</v>
      </c>
      <c r="D655" t="s">
        <v>2390</v>
      </c>
      <c r="E655" s="7">
        <v>13572</v>
      </c>
      <c r="F655" s="7">
        <v>8.64</v>
      </c>
      <c r="G655">
        <v>75</v>
      </c>
      <c r="H655" t="s">
        <v>2773</v>
      </c>
      <c r="I655" t="s">
        <v>2377</v>
      </c>
      <c r="J655">
        <v>0</v>
      </c>
      <c r="K655" s="9">
        <f t="shared" si="20"/>
        <v>44469</v>
      </c>
      <c r="L655">
        <f t="shared" si="21"/>
        <v>13572</v>
      </c>
    </row>
    <row r="656" spans="1:12">
      <c r="A656">
        <v>905</v>
      </c>
      <c r="B656">
        <v>513</v>
      </c>
      <c r="C656">
        <v>5</v>
      </c>
      <c r="D656" t="s">
        <v>2376</v>
      </c>
      <c r="E656" s="7">
        <v>89725.91</v>
      </c>
      <c r="F656" s="7">
        <v>5.41</v>
      </c>
      <c r="G656">
        <v>42</v>
      </c>
      <c r="H656" t="s">
        <v>2774</v>
      </c>
      <c r="I656" t="s">
        <v>2377</v>
      </c>
      <c r="J656">
        <v>0</v>
      </c>
      <c r="K656" s="9">
        <f t="shared" si="20"/>
        <v>45507</v>
      </c>
      <c r="L656">
        <f t="shared" si="21"/>
        <v>8972591</v>
      </c>
    </row>
    <row r="657" spans="1:12">
      <c r="A657">
        <v>906</v>
      </c>
      <c r="B657">
        <v>235</v>
      </c>
      <c r="C657">
        <v>2</v>
      </c>
      <c r="D657" t="s">
        <v>2387</v>
      </c>
      <c r="E657" s="7">
        <v>78923.82</v>
      </c>
      <c r="F657" s="7">
        <v>17.16</v>
      </c>
      <c r="G657">
        <v>335</v>
      </c>
      <c r="H657" t="s">
        <v>2775</v>
      </c>
      <c r="I657" t="s">
        <v>2377</v>
      </c>
      <c r="J657">
        <v>0</v>
      </c>
      <c r="K657" s="9">
        <f t="shared" si="20"/>
        <v>45383</v>
      </c>
      <c r="L657">
        <f t="shared" si="21"/>
        <v>7892382</v>
      </c>
    </row>
    <row r="658" spans="1:12">
      <c r="A658">
        <v>907</v>
      </c>
      <c r="B658">
        <v>769</v>
      </c>
      <c r="C658">
        <v>3</v>
      </c>
      <c r="D658" t="s">
        <v>2385</v>
      </c>
      <c r="E658" s="7">
        <v>8041.34</v>
      </c>
      <c r="F658" s="7">
        <v>11.05</v>
      </c>
      <c r="G658">
        <v>13</v>
      </c>
      <c r="H658" t="s">
        <v>530</v>
      </c>
      <c r="I658" t="s">
        <v>2377</v>
      </c>
      <c r="J658">
        <v>0</v>
      </c>
      <c r="K658" s="9">
        <f t="shared" si="20"/>
        <v>44554</v>
      </c>
      <c r="L658">
        <f t="shared" si="21"/>
        <v>804134</v>
      </c>
    </row>
    <row r="659" spans="1:12">
      <c r="A659">
        <v>908</v>
      </c>
      <c r="B659">
        <v>121</v>
      </c>
      <c r="C659">
        <v>1</v>
      </c>
      <c r="D659" t="s">
        <v>2390</v>
      </c>
      <c r="E659" s="7">
        <v>25588.86</v>
      </c>
      <c r="F659" s="7">
        <v>18.9</v>
      </c>
      <c r="G659">
        <v>31</v>
      </c>
      <c r="H659" t="s">
        <v>2457</v>
      </c>
      <c r="I659" t="s">
        <v>2377</v>
      </c>
      <c r="J659">
        <v>0</v>
      </c>
      <c r="K659" s="9">
        <f t="shared" si="20"/>
        <v>44410</v>
      </c>
      <c r="L659">
        <f t="shared" si="21"/>
        <v>2558886</v>
      </c>
    </row>
    <row r="660" spans="1:12">
      <c r="A660">
        <v>909</v>
      </c>
      <c r="B660">
        <v>610</v>
      </c>
      <c r="C660">
        <v>3</v>
      </c>
      <c r="D660" t="s">
        <v>2387</v>
      </c>
      <c r="E660" s="7">
        <v>111732.9</v>
      </c>
      <c r="F660" s="7">
        <v>18.65</v>
      </c>
      <c r="G660">
        <v>178</v>
      </c>
      <c r="H660" t="s">
        <v>827</v>
      </c>
      <c r="I660" t="s">
        <v>2377</v>
      </c>
      <c r="J660">
        <v>49</v>
      </c>
      <c r="K660" s="9">
        <f t="shared" si="20"/>
        <v>44031</v>
      </c>
      <c r="L660">
        <f t="shared" si="21"/>
        <v>1117329</v>
      </c>
    </row>
    <row r="661" spans="1:12">
      <c r="A661">
        <v>910</v>
      </c>
      <c r="B661">
        <v>955</v>
      </c>
      <c r="C661">
        <v>5</v>
      </c>
      <c r="D661" t="s">
        <v>2387</v>
      </c>
      <c r="E661" s="7">
        <v>134901.53</v>
      </c>
      <c r="F661" s="7">
        <v>15.29</v>
      </c>
      <c r="G661">
        <v>345</v>
      </c>
      <c r="H661" t="s">
        <v>2776</v>
      </c>
      <c r="I661" t="s">
        <v>2377</v>
      </c>
      <c r="J661">
        <v>0</v>
      </c>
      <c r="K661" s="9">
        <f t="shared" si="20"/>
        <v>45693</v>
      </c>
      <c r="L661">
        <f t="shared" si="21"/>
        <v>13490153</v>
      </c>
    </row>
    <row r="662" spans="1:12">
      <c r="A662">
        <v>911</v>
      </c>
      <c r="B662">
        <v>968</v>
      </c>
      <c r="C662">
        <v>3</v>
      </c>
      <c r="D662" t="s">
        <v>2387</v>
      </c>
      <c r="E662" s="7">
        <v>135456.99</v>
      </c>
      <c r="F662" s="7">
        <v>13.62</v>
      </c>
      <c r="G662">
        <v>282</v>
      </c>
      <c r="H662" t="s">
        <v>2777</v>
      </c>
      <c r="I662" t="s">
        <v>2377</v>
      </c>
      <c r="J662">
        <v>8</v>
      </c>
      <c r="K662" s="9">
        <f t="shared" si="20"/>
        <v>45286</v>
      </c>
      <c r="L662">
        <f t="shared" si="21"/>
        <v>13545699</v>
      </c>
    </row>
    <row r="663" spans="1:12">
      <c r="A663">
        <v>912</v>
      </c>
      <c r="B663">
        <v>404</v>
      </c>
      <c r="C663">
        <v>3</v>
      </c>
      <c r="D663" t="s">
        <v>2376</v>
      </c>
      <c r="E663" s="7">
        <v>36138.61</v>
      </c>
      <c r="F663" s="7">
        <v>16.71</v>
      </c>
      <c r="G663">
        <v>112</v>
      </c>
      <c r="H663" t="s">
        <v>2778</v>
      </c>
      <c r="I663" t="s">
        <v>2377</v>
      </c>
      <c r="J663">
        <v>0</v>
      </c>
      <c r="K663" s="9">
        <f t="shared" si="20"/>
        <v>45525</v>
      </c>
      <c r="L663">
        <f t="shared" si="21"/>
        <v>3613861</v>
      </c>
    </row>
    <row r="664" spans="1:12">
      <c r="A664">
        <v>913</v>
      </c>
      <c r="B664">
        <v>139</v>
      </c>
      <c r="C664">
        <v>3</v>
      </c>
      <c r="D664" t="s">
        <v>2379</v>
      </c>
      <c r="E664" s="7">
        <v>13223.72</v>
      </c>
      <c r="F664" s="7">
        <v>19.14</v>
      </c>
      <c r="G664">
        <v>37</v>
      </c>
      <c r="H664" t="s">
        <v>1965</v>
      </c>
      <c r="I664" t="s">
        <v>2383</v>
      </c>
      <c r="J664">
        <v>0</v>
      </c>
      <c r="K664" s="9">
        <f t="shared" si="20"/>
        <v>44470</v>
      </c>
      <c r="L664">
        <f t="shared" si="21"/>
        <v>1322372</v>
      </c>
    </row>
    <row r="665" spans="1:12">
      <c r="A665">
        <v>914</v>
      </c>
      <c r="B665">
        <v>896</v>
      </c>
      <c r="C665">
        <v>1</v>
      </c>
      <c r="D665" t="s">
        <v>2376</v>
      </c>
      <c r="E665" s="7">
        <v>58114.68</v>
      </c>
      <c r="F665" s="7">
        <v>8.85</v>
      </c>
      <c r="G665">
        <v>116</v>
      </c>
      <c r="H665" t="s">
        <v>2779</v>
      </c>
      <c r="I665" t="s">
        <v>2377</v>
      </c>
      <c r="J665">
        <v>0</v>
      </c>
      <c r="K665" s="9">
        <f t="shared" si="20"/>
        <v>44454</v>
      </c>
      <c r="L665">
        <f t="shared" si="21"/>
        <v>5811468</v>
      </c>
    </row>
    <row r="666" spans="1:12">
      <c r="A666">
        <v>915</v>
      </c>
      <c r="B666">
        <v>647</v>
      </c>
      <c r="C666">
        <v>6</v>
      </c>
      <c r="D666" t="s">
        <v>2379</v>
      </c>
      <c r="E666" s="7">
        <v>7936.92</v>
      </c>
      <c r="F666" s="7">
        <v>6.8</v>
      </c>
      <c r="G666">
        <v>48</v>
      </c>
      <c r="H666" t="s">
        <v>2780</v>
      </c>
      <c r="I666" t="s">
        <v>2377</v>
      </c>
      <c r="J666">
        <v>0</v>
      </c>
      <c r="K666" s="9">
        <f t="shared" si="20"/>
        <v>44939</v>
      </c>
      <c r="L666">
        <f t="shared" si="21"/>
        <v>793692</v>
      </c>
    </row>
    <row r="667" spans="1:12">
      <c r="A667">
        <v>916</v>
      </c>
      <c r="B667">
        <v>815</v>
      </c>
      <c r="C667">
        <v>2</v>
      </c>
      <c r="D667" t="s">
        <v>2387</v>
      </c>
      <c r="E667" s="7">
        <v>189088.4</v>
      </c>
      <c r="F667" s="7">
        <v>9.7</v>
      </c>
      <c r="G667">
        <v>127</v>
      </c>
      <c r="H667" t="s">
        <v>2781</v>
      </c>
      <c r="I667" t="s">
        <v>2383</v>
      </c>
      <c r="J667">
        <v>0</v>
      </c>
      <c r="K667" s="9">
        <f t="shared" si="20"/>
        <v>45686</v>
      </c>
      <c r="L667">
        <f t="shared" si="21"/>
        <v>1890884</v>
      </c>
    </row>
    <row r="668" spans="1:12">
      <c r="A668">
        <v>917</v>
      </c>
      <c r="B668">
        <v>560</v>
      </c>
      <c r="C668">
        <v>3</v>
      </c>
      <c r="D668" t="s">
        <v>2390</v>
      </c>
      <c r="E668" s="7">
        <v>10709.15</v>
      </c>
      <c r="F668" s="7">
        <v>8.32</v>
      </c>
      <c r="G668">
        <v>72</v>
      </c>
      <c r="H668" t="s">
        <v>2782</v>
      </c>
      <c r="I668" t="s">
        <v>2383</v>
      </c>
      <c r="J668">
        <v>0</v>
      </c>
      <c r="K668" s="9">
        <f t="shared" si="20"/>
        <v>45356</v>
      </c>
      <c r="L668">
        <f t="shared" si="21"/>
        <v>1070915</v>
      </c>
    </row>
    <row r="669" spans="1:12">
      <c r="A669">
        <v>918</v>
      </c>
      <c r="B669">
        <v>130</v>
      </c>
      <c r="C669">
        <v>5</v>
      </c>
      <c r="D669" t="s">
        <v>2385</v>
      </c>
      <c r="E669" s="7">
        <v>9086.41</v>
      </c>
      <c r="F669" s="7">
        <v>15.94</v>
      </c>
      <c r="G669">
        <v>31</v>
      </c>
      <c r="H669" t="s">
        <v>2783</v>
      </c>
      <c r="I669" t="s">
        <v>2377</v>
      </c>
      <c r="J669">
        <v>25</v>
      </c>
      <c r="K669" s="9">
        <f t="shared" si="20"/>
        <v>45302</v>
      </c>
      <c r="L669">
        <f t="shared" si="21"/>
        <v>908641</v>
      </c>
    </row>
    <row r="670" spans="1:12">
      <c r="A670">
        <v>919</v>
      </c>
      <c r="B670">
        <v>733</v>
      </c>
      <c r="C670">
        <v>3</v>
      </c>
      <c r="D670" t="s">
        <v>2387</v>
      </c>
      <c r="E670" s="7">
        <v>100566.93</v>
      </c>
      <c r="F670" s="7">
        <v>5.6</v>
      </c>
      <c r="G670">
        <v>340</v>
      </c>
      <c r="H670" t="s">
        <v>2784</v>
      </c>
      <c r="I670" t="s">
        <v>2377</v>
      </c>
      <c r="J670">
        <v>0</v>
      </c>
      <c r="K670" s="9">
        <f t="shared" si="20"/>
        <v>44315</v>
      </c>
      <c r="L670">
        <f t="shared" si="21"/>
        <v>10056693</v>
      </c>
    </row>
    <row r="671" spans="1:12">
      <c r="A671">
        <v>920</v>
      </c>
      <c r="B671">
        <v>420</v>
      </c>
      <c r="C671">
        <v>4</v>
      </c>
      <c r="D671" t="s">
        <v>2390</v>
      </c>
      <c r="E671" s="7">
        <v>22269.01</v>
      </c>
      <c r="F671" s="7">
        <v>19.74</v>
      </c>
      <c r="G671">
        <v>78</v>
      </c>
      <c r="H671" t="s">
        <v>2785</v>
      </c>
      <c r="I671" t="s">
        <v>2377</v>
      </c>
      <c r="J671">
        <v>0</v>
      </c>
      <c r="K671" s="9">
        <f t="shared" si="20"/>
        <v>45348</v>
      </c>
      <c r="L671">
        <f t="shared" si="21"/>
        <v>2226901</v>
      </c>
    </row>
    <row r="672" spans="1:12">
      <c r="A672">
        <v>921</v>
      </c>
      <c r="B672">
        <v>135</v>
      </c>
      <c r="C672">
        <v>6</v>
      </c>
      <c r="D672" t="s">
        <v>2385</v>
      </c>
      <c r="E672" s="7">
        <v>1486.47</v>
      </c>
      <c r="F672" s="7">
        <v>21.77</v>
      </c>
      <c r="G672">
        <v>10</v>
      </c>
      <c r="H672" t="s">
        <v>54</v>
      </c>
      <c r="I672" t="s">
        <v>2377</v>
      </c>
      <c r="J672">
        <v>49</v>
      </c>
      <c r="K672" s="9">
        <f t="shared" si="20"/>
        <v>44225</v>
      </c>
      <c r="L672">
        <f t="shared" si="21"/>
        <v>148647</v>
      </c>
    </row>
    <row r="673" spans="1:12">
      <c r="A673">
        <v>922</v>
      </c>
      <c r="B673">
        <v>553</v>
      </c>
      <c r="C673">
        <v>4</v>
      </c>
      <c r="D673" t="s">
        <v>2387</v>
      </c>
      <c r="E673" s="7">
        <v>129314.31</v>
      </c>
      <c r="F673" s="7">
        <v>14.94</v>
      </c>
      <c r="G673">
        <v>153</v>
      </c>
      <c r="H673" t="s">
        <v>2121</v>
      </c>
      <c r="I673" t="s">
        <v>2377</v>
      </c>
      <c r="J673">
        <v>0</v>
      </c>
      <c r="K673" s="9">
        <f t="shared" si="20"/>
        <v>45651</v>
      </c>
      <c r="L673">
        <f t="shared" si="21"/>
        <v>12931431</v>
      </c>
    </row>
    <row r="674" spans="1:12">
      <c r="A674">
        <v>923</v>
      </c>
      <c r="B674">
        <v>421</v>
      </c>
      <c r="C674">
        <v>2</v>
      </c>
      <c r="D674" t="s">
        <v>2376</v>
      </c>
      <c r="E674" s="7">
        <v>28395.56</v>
      </c>
      <c r="F674" s="7">
        <v>11.83</v>
      </c>
      <c r="G674">
        <v>67</v>
      </c>
      <c r="H674" t="s">
        <v>2786</v>
      </c>
      <c r="I674" t="s">
        <v>2393</v>
      </c>
      <c r="J674">
        <v>216</v>
      </c>
      <c r="K674" s="9">
        <f t="shared" si="20"/>
        <v>44803</v>
      </c>
      <c r="L674">
        <f t="shared" si="21"/>
        <v>2839556</v>
      </c>
    </row>
    <row r="675" spans="1:12">
      <c r="A675">
        <v>924</v>
      </c>
      <c r="B675">
        <v>531</v>
      </c>
      <c r="C675">
        <v>1</v>
      </c>
      <c r="D675" t="s">
        <v>2376</v>
      </c>
      <c r="E675" s="7">
        <v>28124.9</v>
      </c>
      <c r="F675" s="7">
        <v>6.38</v>
      </c>
      <c r="G675">
        <v>67</v>
      </c>
      <c r="H675" t="s">
        <v>2787</v>
      </c>
      <c r="I675" t="s">
        <v>2393</v>
      </c>
      <c r="J675">
        <v>308</v>
      </c>
      <c r="K675" s="9">
        <f t="shared" si="20"/>
        <v>44913</v>
      </c>
      <c r="L675">
        <f t="shared" si="21"/>
        <v>281249</v>
      </c>
    </row>
    <row r="676" spans="1:12">
      <c r="A676">
        <v>925</v>
      </c>
      <c r="B676">
        <v>967</v>
      </c>
      <c r="C676">
        <v>4</v>
      </c>
      <c r="D676" t="s">
        <v>2376</v>
      </c>
      <c r="E676" s="7">
        <v>113521.57</v>
      </c>
      <c r="F676" s="7">
        <v>14.54</v>
      </c>
      <c r="G676">
        <v>37</v>
      </c>
      <c r="H676" t="s">
        <v>2788</v>
      </c>
      <c r="I676" t="s">
        <v>2377</v>
      </c>
      <c r="J676">
        <v>0</v>
      </c>
      <c r="K676" s="9">
        <f t="shared" si="20"/>
        <v>44606</v>
      </c>
      <c r="L676">
        <f t="shared" si="21"/>
        <v>11352157</v>
      </c>
    </row>
    <row r="677" spans="1:12">
      <c r="A677">
        <v>926</v>
      </c>
      <c r="B677">
        <v>477</v>
      </c>
      <c r="C677">
        <v>1</v>
      </c>
      <c r="D677" t="s">
        <v>2390</v>
      </c>
      <c r="E677" s="7">
        <v>13650.39</v>
      </c>
      <c r="F677" s="7">
        <v>11.54</v>
      </c>
      <c r="G677">
        <v>73</v>
      </c>
      <c r="H677" t="s">
        <v>2789</v>
      </c>
      <c r="I677" t="s">
        <v>2377</v>
      </c>
      <c r="J677">
        <v>0</v>
      </c>
      <c r="K677" s="9">
        <f t="shared" si="20"/>
        <v>45077</v>
      </c>
      <c r="L677">
        <f t="shared" si="21"/>
        <v>1365039</v>
      </c>
    </row>
    <row r="678" spans="1:12">
      <c r="A678">
        <v>927</v>
      </c>
      <c r="B678">
        <v>293</v>
      </c>
      <c r="C678">
        <v>2</v>
      </c>
      <c r="D678" t="s">
        <v>2385</v>
      </c>
      <c r="E678" s="7">
        <v>4155.1</v>
      </c>
      <c r="F678" s="7">
        <v>16.56</v>
      </c>
      <c r="G678">
        <v>10</v>
      </c>
      <c r="H678" t="s">
        <v>2790</v>
      </c>
      <c r="I678" t="s">
        <v>2377</v>
      </c>
      <c r="J678">
        <v>0</v>
      </c>
      <c r="K678" s="9">
        <f t="shared" si="20"/>
        <v>44610</v>
      </c>
      <c r="L678">
        <f t="shared" si="21"/>
        <v>41551</v>
      </c>
    </row>
    <row r="679" spans="1:12">
      <c r="A679">
        <v>928</v>
      </c>
      <c r="B679">
        <v>817</v>
      </c>
      <c r="C679">
        <v>7</v>
      </c>
      <c r="D679" t="s">
        <v>2390</v>
      </c>
      <c r="E679" s="7">
        <v>24065.89</v>
      </c>
      <c r="F679" s="7">
        <v>6.16</v>
      </c>
      <c r="G679">
        <v>40</v>
      </c>
      <c r="H679" t="s">
        <v>636</v>
      </c>
      <c r="I679" t="s">
        <v>2377</v>
      </c>
      <c r="J679">
        <v>0</v>
      </c>
      <c r="K679" s="9">
        <f t="shared" si="20"/>
        <v>44053</v>
      </c>
      <c r="L679">
        <f t="shared" si="21"/>
        <v>2406589</v>
      </c>
    </row>
    <row r="680" spans="1:12">
      <c r="A680">
        <v>929</v>
      </c>
      <c r="B680">
        <v>944</v>
      </c>
      <c r="C680">
        <v>2</v>
      </c>
      <c r="D680" t="s">
        <v>2390</v>
      </c>
      <c r="E680" s="7">
        <v>19935.6</v>
      </c>
      <c r="F680" s="7">
        <v>9.98</v>
      </c>
      <c r="G680">
        <v>32</v>
      </c>
      <c r="H680" t="s">
        <v>1389</v>
      </c>
      <c r="I680" t="s">
        <v>2377</v>
      </c>
      <c r="J680">
        <v>0</v>
      </c>
      <c r="K680" s="9">
        <f t="shared" si="20"/>
        <v>44423</v>
      </c>
      <c r="L680">
        <f t="shared" si="21"/>
        <v>199356</v>
      </c>
    </row>
    <row r="681" spans="1:12">
      <c r="A681">
        <v>930</v>
      </c>
      <c r="B681">
        <v>296</v>
      </c>
      <c r="C681">
        <v>3</v>
      </c>
      <c r="D681" t="s">
        <v>2390</v>
      </c>
      <c r="E681" s="7">
        <v>18995.13</v>
      </c>
      <c r="F681" s="7">
        <v>6.79</v>
      </c>
      <c r="G681">
        <v>71</v>
      </c>
      <c r="H681" t="s">
        <v>2791</v>
      </c>
      <c r="I681" t="s">
        <v>2377</v>
      </c>
      <c r="J681">
        <v>0</v>
      </c>
      <c r="K681" s="9">
        <f t="shared" si="20"/>
        <v>44442</v>
      </c>
      <c r="L681">
        <f t="shared" si="21"/>
        <v>1899513</v>
      </c>
    </row>
    <row r="682" spans="1:12">
      <c r="A682">
        <v>931</v>
      </c>
      <c r="B682">
        <v>680</v>
      </c>
      <c r="C682">
        <v>1</v>
      </c>
      <c r="D682" t="s">
        <v>2390</v>
      </c>
      <c r="E682" s="7">
        <v>29551.1</v>
      </c>
      <c r="F682" s="7">
        <v>20.76</v>
      </c>
      <c r="G682">
        <v>69</v>
      </c>
      <c r="H682" t="s">
        <v>2792</v>
      </c>
      <c r="I682" t="s">
        <v>2377</v>
      </c>
      <c r="J682">
        <v>0</v>
      </c>
      <c r="K682" s="9">
        <f t="shared" si="20"/>
        <v>45024</v>
      </c>
      <c r="L682">
        <f t="shared" si="21"/>
        <v>295511</v>
      </c>
    </row>
    <row r="683" spans="1:12">
      <c r="A683">
        <v>932</v>
      </c>
      <c r="B683">
        <v>29</v>
      </c>
      <c r="C683">
        <v>7</v>
      </c>
      <c r="D683" t="s">
        <v>2390</v>
      </c>
      <c r="E683" s="7">
        <v>24311.86</v>
      </c>
      <c r="F683" s="7">
        <v>13.45</v>
      </c>
      <c r="G683">
        <v>61</v>
      </c>
      <c r="H683" t="s">
        <v>2655</v>
      </c>
      <c r="I683" t="s">
        <v>2377</v>
      </c>
      <c r="J683">
        <v>0</v>
      </c>
      <c r="K683" s="9">
        <f t="shared" si="20"/>
        <v>45091</v>
      </c>
      <c r="L683">
        <f t="shared" si="21"/>
        <v>2431186</v>
      </c>
    </row>
    <row r="684" spans="1:12">
      <c r="A684">
        <v>933</v>
      </c>
      <c r="B684">
        <v>697</v>
      </c>
      <c r="C684">
        <v>5</v>
      </c>
      <c r="D684" t="s">
        <v>2379</v>
      </c>
      <c r="E684" s="7">
        <v>14600.76</v>
      </c>
      <c r="F684" s="7">
        <v>20.57</v>
      </c>
      <c r="G684">
        <v>42</v>
      </c>
      <c r="H684" t="s">
        <v>2630</v>
      </c>
      <c r="I684" t="s">
        <v>2377</v>
      </c>
      <c r="J684">
        <v>0</v>
      </c>
      <c r="K684" s="9">
        <f t="shared" si="20"/>
        <v>45593</v>
      </c>
      <c r="L684">
        <f t="shared" si="21"/>
        <v>1460076</v>
      </c>
    </row>
    <row r="685" spans="1:12">
      <c r="A685">
        <v>934</v>
      </c>
      <c r="B685">
        <v>209</v>
      </c>
      <c r="C685">
        <v>2</v>
      </c>
      <c r="D685" t="s">
        <v>2376</v>
      </c>
      <c r="E685" s="7">
        <v>142681.28</v>
      </c>
      <c r="F685" s="7">
        <v>16.78</v>
      </c>
      <c r="G685">
        <v>96</v>
      </c>
      <c r="H685" t="s">
        <v>1206</v>
      </c>
      <c r="I685" t="s">
        <v>2377</v>
      </c>
      <c r="J685">
        <v>0</v>
      </c>
      <c r="K685" s="9">
        <f t="shared" si="20"/>
        <v>45236</v>
      </c>
      <c r="L685">
        <f t="shared" si="21"/>
        <v>14268128</v>
      </c>
    </row>
    <row r="686" spans="1:12">
      <c r="A686">
        <v>935</v>
      </c>
      <c r="B686">
        <v>671</v>
      </c>
      <c r="C686">
        <v>7</v>
      </c>
      <c r="D686" t="s">
        <v>2387</v>
      </c>
      <c r="E686" s="7">
        <v>55896.51</v>
      </c>
      <c r="F686" s="7">
        <v>16.99</v>
      </c>
      <c r="G686">
        <v>358</v>
      </c>
      <c r="H686" t="s">
        <v>2703</v>
      </c>
      <c r="I686" t="s">
        <v>2377</v>
      </c>
      <c r="J686">
        <v>0</v>
      </c>
      <c r="K686" s="9">
        <f t="shared" si="20"/>
        <v>44964</v>
      </c>
      <c r="L686">
        <f t="shared" si="21"/>
        <v>5589651</v>
      </c>
    </row>
    <row r="687" spans="1:12">
      <c r="A687">
        <v>936</v>
      </c>
      <c r="B687">
        <v>470</v>
      </c>
      <c r="C687">
        <v>2</v>
      </c>
      <c r="D687" t="s">
        <v>2385</v>
      </c>
      <c r="E687" s="7">
        <v>7862.75</v>
      </c>
      <c r="F687" s="7">
        <v>20.68</v>
      </c>
      <c r="G687">
        <v>29</v>
      </c>
      <c r="H687" t="s">
        <v>2793</v>
      </c>
      <c r="I687" t="s">
        <v>2377</v>
      </c>
      <c r="J687">
        <v>0</v>
      </c>
      <c r="K687" s="9">
        <f t="shared" si="20"/>
        <v>45266</v>
      </c>
      <c r="L687">
        <f t="shared" si="21"/>
        <v>786275</v>
      </c>
    </row>
    <row r="688" spans="1:12">
      <c r="A688">
        <v>937</v>
      </c>
      <c r="B688">
        <v>791</v>
      </c>
      <c r="C688">
        <v>1</v>
      </c>
      <c r="D688" t="s">
        <v>2390</v>
      </c>
      <c r="E688" s="7">
        <v>22833.73</v>
      </c>
      <c r="F688" s="7">
        <v>8.1</v>
      </c>
      <c r="G688">
        <v>25</v>
      </c>
      <c r="H688" t="s">
        <v>2794</v>
      </c>
      <c r="I688" t="s">
        <v>2377</v>
      </c>
      <c r="J688">
        <v>0</v>
      </c>
      <c r="K688" s="9">
        <f t="shared" si="20"/>
        <v>45120</v>
      </c>
      <c r="L688">
        <f t="shared" si="21"/>
        <v>2283373</v>
      </c>
    </row>
    <row r="689" spans="1:12">
      <c r="A689">
        <v>938</v>
      </c>
      <c r="B689">
        <v>176</v>
      </c>
      <c r="C689">
        <v>5</v>
      </c>
      <c r="D689" t="s">
        <v>2379</v>
      </c>
      <c r="E689" s="7">
        <v>8650.81</v>
      </c>
      <c r="F689" s="7">
        <v>10.01</v>
      </c>
      <c r="G689">
        <v>39</v>
      </c>
      <c r="H689" t="s">
        <v>2474</v>
      </c>
      <c r="I689" t="s">
        <v>2377</v>
      </c>
      <c r="J689">
        <v>0</v>
      </c>
      <c r="K689" s="9">
        <f t="shared" si="20"/>
        <v>44764</v>
      </c>
      <c r="L689">
        <f t="shared" si="21"/>
        <v>865081</v>
      </c>
    </row>
    <row r="690" spans="1:12">
      <c r="A690">
        <v>939</v>
      </c>
      <c r="B690">
        <v>397</v>
      </c>
      <c r="C690">
        <v>2</v>
      </c>
      <c r="D690" t="s">
        <v>2379</v>
      </c>
      <c r="E690" s="7">
        <v>9745.88</v>
      </c>
      <c r="F690" s="7">
        <v>8.27</v>
      </c>
      <c r="G690">
        <v>16</v>
      </c>
      <c r="H690" t="s">
        <v>2795</v>
      </c>
      <c r="I690" t="s">
        <v>2377</v>
      </c>
      <c r="J690">
        <v>0</v>
      </c>
      <c r="K690" s="9">
        <f t="shared" si="20"/>
        <v>44765</v>
      </c>
      <c r="L690">
        <f t="shared" si="21"/>
        <v>974588</v>
      </c>
    </row>
    <row r="691" spans="1:12">
      <c r="A691">
        <v>940</v>
      </c>
      <c r="B691">
        <v>433</v>
      </c>
      <c r="C691">
        <v>2</v>
      </c>
      <c r="D691" t="s">
        <v>2376</v>
      </c>
      <c r="E691" s="7">
        <v>80769.6</v>
      </c>
      <c r="F691" s="7">
        <v>15.08</v>
      </c>
      <c r="G691">
        <v>102</v>
      </c>
      <c r="H691" t="s">
        <v>2796</v>
      </c>
      <c r="I691" t="s">
        <v>2377</v>
      </c>
      <c r="J691">
        <v>0</v>
      </c>
      <c r="K691" s="9">
        <f t="shared" si="20"/>
        <v>45548</v>
      </c>
      <c r="L691">
        <f t="shared" si="21"/>
        <v>807696</v>
      </c>
    </row>
    <row r="692" spans="1:12">
      <c r="A692">
        <v>941</v>
      </c>
      <c r="B692">
        <v>44</v>
      </c>
      <c r="C692">
        <v>5</v>
      </c>
      <c r="D692" t="s">
        <v>2390</v>
      </c>
      <c r="E692" s="7">
        <v>33799.54</v>
      </c>
      <c r="F692" s="7">
        <v>10.83</v>
      </c>
      <c r="G692">
        <v>76</v>
      </c>
      <c r="H692" t="s">
        <v>2797</v>
      </c>
      <c r="I692" t="s">
        <v>2377</v>
      </c>
      <c r="J692">
        <v>0</v>
      </c>
      <c r="K692" s="9">
        <f t="shared" si="20"/>
        <v>45151</v>
      </c>
      <c r="L692">
        <f t="shared" si="21"/>
        <v>3379954</v>
      </c>
    </row>
    <row r="693" spans="1:12">
      <c r="A693">
        <v>942</v>
      </c>
      <c r="B693">
        <v>793</v>
      </c>
      <c r="C693">
        <v>7</v>
      </c>
      <c r="D693" t="s">
        <v>2379</v>
      </c>
      <c r="E693" s="7">
        <v>9617.26</v>
      </c>
      <c r="F693" s="7">
        <v>5.5</v>
      </c>
      <c r="G693">
        <v>59</v>
      </c>
      <c r="H693" t="s">
        <v>1479</v>
      </c>
      <c r="I693" t="s">
        <v>2377</v>
      </c>
      <c r="J693">
        <v>0</v>
      </c>
      <c r="K693" s="9">
        <f t="shared" si="20"/>
        <v>45001</v>
      </c>
      <c r="L693">
        <f t="shared" si="21"/>
        <v>961726</v>
      </c>
    </row>
    <row r="694" spans="1:12">
      <c r="A694">
        <v>943</v>
      </c>
      <c r="B694">
        <v>432</v>
      </c>
      <c r="C694">
        <v>1</v>
      </c>
      <c r="D694" t="s">
        <v>2390</v>
      </c>
      <c r="E694" s="7">
        <v>39740.81</v>
      </c>
      <c r="F694" s="7">
        <v>8.07</v>
      </c>
      <c r="G694">
        <v>30</v>
      </c>
      <c r="H694" t="s">
        <v>2798</v>
      </c>
      <c r="I694" t="s">
        <v>2377</v>
      </c>
      <c r="J694">
        <v>0</v>
      </c>
      <c r="K694" s="9">
        <f t="shared" si="20"/>
        <v>45252</v>
      </c>
      <c r="L694">
        <f t="shared" si="21"/>
        <v>3974081</v>
      </c>
    </row>
    <row r="695" spans="1:12">
      <c r="A695">
        <v>944</v>
      </c>
      <c r="B695">
        <v>62</v>
      </c>
      <c r="C695">
        <v>2</v>
      </c>
      <c r="D695" t="s">
        <v>2385</v>
      </c>
      <c r="E695" s="7">
        <v>8664.71</v>
      </c>
      <c r="F695" s="7">
        <v>13.46</v>
      </c>
      <c r="G695">
        <v>29</v>
      </c>
      <c r="H695" t="s">
        <v>2416</v>
      </c>
      <c r="I695" t="s">
        <v>2383</v>
      </c>
      <c r="J695">
        <v>0</v>
      </c>
      <c r="K695" s="9">
        <f t="shared" si="20"/>
        <v>45823</v>
      </c>
      <c r="L695">
        <f t="shared" si="21"/>
        <v>866471</v>
      </c>
    </row>
    <row r="696" spans="1:12">
      <c r="A696">
        <v>945</v>
      </c>
      <c r="B696">
        <v>220</v>
      </c>
      <c r="C696">
        <v>3</v>
      </c>
      <c r="D696" t="s">
        <v>2387</v>
      </c>
      <c r="E696" s="7">
        <v>102908.3</v>
      </c>
      <c r="F696" s="7">
        <v>15.83</v>
      </c>
      <c r="G696">
        <v>238</v>
      </c>
      <c r="H696" t="s">
        <v>2799</v>
      </c>
      <c r="I696" t="s">
        <v>2377</v>
      </c>
      <c r="J696">
        <v>0</v>
      </c>
      <c r="K696" s="9">
        <f t="shared" si="20"/>
        <v>44077</v>
      </c>
      <c r="L696">
        <f t="shared" si="21"/>
        <v>1029083</v>
      </c>
    </row>
    <row r="697" spans="1:12">
      <c r="A697">
        <v>946</v>
      </c>
      <c r="B697">
        <v>190</v>
      </c>
      <c r="C697">
        <v>2</v>
      </c>
      <c r="D697" t="s">
        <v>2387</v>
      </c>
      <c r="E697" s="7">
        <v>86033.72</v>
      </c>
      <c r="F697" s="7">
        <v>8.76</v>
      </c>
      <c r="G697">
        <v>168</v>
      </c>
      <c r="H697" t="s">
        <v>740</v>
      </c>
      <c r="I697" t="s">
        <v>2377</v>
      </c>
      <c r="J697">
        <v>77</v>
      </c>
      <c r="K697" s="9">
        <f t="shared" si="20"/>
        <v>43928</v>
      </c>
      <c r="L697">
        <f t="shared" si="21"/>
        <v>8603372</v>
      </c>
    </row>
    <row r="698" spans="1:12">
      <c r="A698">
        <v>947</v>
      </c>
      <c r="B698">
        <v>147</v>
      </c>
      <c r="C698">
        <v>6</v>
      </c>
      <c r="D698" t="s">
        <v>2379</v>
      </c>
      <c r="E698" s="7">
        <v>14344.48</v>
      </c>
      <c r="F698" s="7">
        <v>14.58</v>
      </c>
      <c r="G698">
        <v>47</v>
      </c>
      <c r="H698" t="s">
        <v>2484</v>
      </c>
      <c r="I698" t="s">
        <v>2377</v>
      </c>
      <c r="J698">
        <v>30</v>
      </c>
      <c r="K698" s="9">
        <f t="shared" si="20"/>
        <v>45314</v>
      </c>
      <c r="L698">
        <f t="shared" si="21"/>
        <v>1434448</v>
      </c>
    </row>
    <row r="699" spans="1:12">
      <c r="A699">
        <v>948</v>
      </c>
      <c r="B699">
        <v>666</v>
      </c>
      <c r="C699">
        <v>3</v>
      </c>
      <c r="D699" t="s">
        <v>2379</v>
      </c>
      <c r="E699" s="7">
        <v>12769.49</v>
      </c>
      <c r="F699" s="7">
        <v>9.62</v>
      </c>
      <c r="G699">
        <v>41</v>
      </c>
      <c r="H699" t="s">
        <v>1614</v>
      </c>
      <c r="I699" t="s">
        <v>2383</v>
      </c>
      <c r="J699">
        <v>0</v>
      </c>
      <c r="K699" s="9">
        <f t="shared" si="20"/>
        <v>43962</v>
      </c>
      <c r="L699">
        <f t="shared" si="21"/>
        <v>1276949</v>
      </c>
    </row>
    <row r="700" spans="1:12">
      <c r="A700">
        <v>949</v>
      </c>
      <c r="B700">
        <v>939</v>
      </c>
      <c r="C700">
        <v>1</v>
      </c>
      <c r="D700" t="s">
        <v>2387</v>
      </c>
      <c r="E700" s="7">
        <v>145530.71</v>
      </c>
      <c r="F700" s="7">
        <v>9.22</v>
      </c>
      <c r="G700">
        <v>156</v>
      </c>
      <c r="H700" t="s">
        <v>2396</v>
      </c>
      <c r="I700" t="s">
        <v>2377</v>
      </c>
      <c r="J700">
        <v>0</v>
      </c>
      <c r="K700" s="9">
        <f t="shared" si="20"/>
        <v>44265</v>
      </c>
      <c r="L700">
        <f t="shared" si="21"/>
        <v>14553071</v>
      </c>
    </row>
    <row r="701" spans="1:12">
      <c r="A701">
        <v>950</v>
      </c>
      <c r="B701">
        <v>640</v>
      </c>
      <c r="C701">
        <v>2</v>
      </c>
      <c r="D701" t="s">
        <v>2387</v>
      </c>
      <c r="E701" s="7">
        <v>100434.83</v>
      </c>
      <c r="F701" s="7">
        <v>18.11</v>
      </c>
      <c r="G701">
        <v>174</v>
      </c>
      <c r="H701" t="s">
        <v>2800</v>
      </c>
      <c r="I701" t="s">
        <v>2377</v>
      </c>
      <c r="J701">
        <v>0</v>
      </c>
      <c r="K701" s="9">
        <f t="shared" si="20"/>
        <v>44214</v>
      </c>
      <c r="L701">
        <f t="shared" si="21"/>
        <v>10043483</v>
      </c>
    </row>
    <row r="702" spans="1:12">
      <c r="A702">
        <v>951</v>
      </c>
      <c r="B702">
        <v>391</v>
      </c>
      <c r="C702">
        <v>7</v>
      </c>
      <c r="D702" t="s">
        <v>2376</v>
      </c>
      <c r="E702" s="7">
        <v>91309.95</v>
      </c>
      <c r="F702" s="7">
        <v>17.43</v>
      </c>
      <c r="G702">
        <v>18</v>
      </c>
      <c r="H702" t="s">
        <v>2801</v>
      </c>
      <c r="I702" t="s">
        <v>2377</v>
      </c>
      <c r="J702">
        <v>0</v>
      </c>
      <c r="K702" s="9">
        <f t="shared" si="20"/>
        <v>44049</v>
      </c>
      <c r="L702">
        <f t="shared" si="21"/>
        <v>9130995</v>
      </c>
    </row>
    <row r="703" spans="1:12">
      <c r="A703">
        <v>952</v>
      </c>
      <c r="B703">
        <v>19</v>
      </c>
      <c r="C703">
        <v>2</v>
      </c>
      <c r="D703" t="s">
        <v>2387</v>
      </c>
      <c r="E703" s="7">
        <v>121697.23</v>
      </c>
      <c r="F703" s="7">
        <v>20.93</v>
      </c>
      <c r="G703">
        <v>305</v>
      </c>
      <c r="H703" t="s">
        <v>1961</v>
      </c>
      <c r="I703" t="s">
        <v>2377</v>
      </c>
      <c r="J703">
        <v>31</v>
      </c>
      <c r="K703" s="9">
        <f t="shared" si="20"/>
        <v>45057</v>
      </c>
      <c r="L703">
        <f t="shared" si="21"/>
        <v>12169723</v>
      </c>
    </row>
    <row r="704" spans="1:12">
      <c r="A704">
        <v>953</v>
      </c>
      <c r="B704">
        <v>839</v>
      </c>
      <c r="C704">
        <v>4</v>
      </c>
      <c r="D704" t="s">
        <v>2390</v>
      </c>
      <c r="E704" s="7">
        <v>17496.36</v>
      </c>
      <c r="F704" s="7">
        <v>6.52</v>
      </c>
      <c r="G704">
        <v>40</v>
      </c>
      <c r="H704" t="s">
        <v>2802</v>
      </c>
      <c r="I704" t="s">
        <v>2383</v>
      </c>
      <c r="J704">
        <v>0</v>
      </c>
      <c r="K704" s="9">
        <f t="shared" si="20"/>
        <v>44695</v>
      </c>
      <c r="L704">
        <f t="shared" si="21"/>
        <v>1749636</v>
      </c>
    </row>
    <row r="705" spans="1:12">
      <c r="A705">
        <v>954</v>
      </c>
      <c r="B705">
        <v>653</v>
      </c>
      <c r="C705">
        <v>4</v>
      </c>
      <c r="D705" t="s">
        <v>2390</v>
      </c>
      <c r="E705" s="7">
        <v>8077.29</v>
      </c>
      <c r="F705" s="7">
        <v>20.81</v>
      </c>
      <c r="G705">
        <v>44</v>
      </c>
      <c r="H705" t="s">
        <v>428</v>
      </c>
      <c r="I705" t="s">
        <v>2377</v>
      </c>
      <c r="J705">
        <v>0</v>
      </c>
      <c r="K705" s="9">
        <f t="shared" si="20"/>
        <v>44451</v>
      </c>
      <c r="L705">
        <f t="shared" si="21"/>
        <v>807729</v>
      </c>
    </row>
    <row r="706" spans="1:12">
      <c r="A706">
        <v>955</v>
      </c>
      <c r="B706">
        <v>479</v>
      </c>
      <c r="C706">
        <v>2</v>
      </c>
      <c r="D706" t="s">
        <v>2387</v>
      </c>
      <c r="E706" s="7">
        <v>185339.43</v>
      </c>
      <c r="F706" s="7">
        <v>11.47</v>
      </c>
      <c r="G706">
        <v>211</v>
      </c>
      <c r="H706" t="s">
        <v>1723</v>
      </c>
      <c r="I706" t="s">
        <v>2377</v>
      </c>
      <c r="J706">
        <v>0</v>
      </c>
      <c r="K706" s="9">
        <f t="shared" si="20"/>
        <v>44612</v>
      </c>
      <c r="L706">
        <f t="shared" si="21"/>
        <v>18533943</v>
      </c>
    </row>
    <row r="707" spans="1:12">
      <c r="A707">
        <v>956</v>
      </c>
      <c r="B707">
        <v>258</v>
      </c>
      <c r="C707">
        <v>5</v>
      </c>
      <c r="D707" t="s">
        <v>2387</v>
      </c>
      <c r="E707" s="7">
        <v>188791.09</v>
      </c>
      <c r="F707" s="7">
        <v>19.06</v>
      </c>
      <c r="G707">
        <v>164</v>
      </c>
      <c r="H707" t="s">
        <v>2803</v>
      </c>
      <c r="I707" t="s">
        <v>2377</v>
      </c>
      <c r="J707">
        <v>0</v>
      </c>
      <c r="K707" s="9">
        <f t="shared" ref="K707:K770" si="22">DATEVALUE(LEFT(H707,10))</f>
        <v>43957</v>
      </c>
      <c r="L707">
        <f t="shared" ref="L707:L770" si="23">_xlfn.NUMBERVALUE(E707,".",",")</f>
        <v>18879109</v>
      </c>
    </row>
    <row r="708" spans="1:12">
      <c r="A708">
        <v>957</v>
      </c>
      <c r="B708">
        <v>32</v>
      </c>
      <c r="C708">
        <v>2</v>
      </c>
      <c r="D708" t="s">
        <v>2376</v>
      </c>
      <c r="E708" s="7">
        <v>88367.47</v>
      </c>
      <c r="F708" s="7">
        <v>9.77</v>
      </c>
      <c r="G708">
        <v>17</v>
      </c>
      <c r="H708" t="s">
        <v>2080</v>
      </c>
      <c r="I708" t="s">
        <v>2393</v>
      </c>
      <c r="J708">
        <v>101</v>
      </c>
      <c r="K708" s="9">
        <f t="shared" si="22"/>
        <v>44870</v>
      </c>
      <c r="L708">
        <f t="shared" si="23"/>
        <v>8836747</v>
      </c>
    </row>
    <row r="709" spans="1:12">
      <c r="A709">
        <v>958</v>
      </c>
      <c r="B709">
        <v>103</v>
      </c>
      <c r="C709">
        <v>3</v>
      </c>
      <c r="D709" t="s">
        <v>2379</v>
      </c>
      <c r="E709" s="7">
        <v>6548.08</v>
      </c>
      <c r="F709" s="7">
        <v>12.1</v>
      </c>
      <c r="G709">
        <v>41</v>
      </c>
      <c r="H709" t="s">
        <v>2804</v>
      </c>
      <c r="I709" t="s">
        <v>2377</v>
      </c>
      <c r="J709">
        <v>0</v>
      </c>
      <c r="K709" s="9">
        <f t="shared" si="22"/>
        <v>45109</v>
      </c>
      <c r="L709">
        <f t="shared" si="23"/>
        <v>654808</v>
      </c>
    </row>
    <row r="710" spans="1:12">
      <c r="A710">
        <v>959</v>
      </c>
      <c r="B710">
        <v>346</v>
      </c>
      <c r="C710">
        <v>1</v>
      </c>
      <c r="D710" t="s">
        <v>2390</v>
      </c>
      <c r="E710" s="7">
        <v>12953.37</v>
      </c>
      <c r="F710" s="7">
        <v>5</v>
      </c>
      <c r="G710">
        <v>43</v>
      </c>
      <c r="H710" t="s">
        <v>2805</v>
      </c>
      <c r="I710" t="s">
        <v>2377</v>
      </c>
      <c r="J710">
        <v>0</v>
      </c>
      <c r="K710" s="9">
        <f t="shared" si="22"/>
        <v>44205</v>
      </c>
      <c r="L710">
        <f t="shared" si="23"/>
        <v>1295337</v>
      </c>
    </row>
    <row r="711" spans="1:12">
      <c r="A711">
        <v>960</v>
      </c>
      <c r="B711">
        <v>954</v>
      </c>
      <c r="C711">
        <v>5</v>
      </c>
      <c r="D711" t="s">
        <v>2390</v>
      </c>
      <c r="E711" s="7">
        <v>23427.22</v>
      </c>
      <c r="F711" s="7">
        <v>7.59</v>
      </c>
      <c r="G711">
        <v>30</v>
      </c>
      <c r="H711" t="s">
        <v>415</v>
      </c>
      <c r="I711" t="s">
        <v>2383</v>
      </c>
      <c r="J711">
        <v>0</v>
      </c>
      <c r="K711" s="9">
        <f t="shared" si="22"/>
        <v>43973</v>
      </c>
      <c r="L711">
        <f t="shared" si="23"/>
        <v>2342722</v>
      </c>
    </row>
    <row r="712" spans="1:12">
      <c r="A712">
        <v>961</v>
      </c>
      <c r="B712">
        <v>685</v>
      </c>
      <c r="C712">
        <v>4</v>
      </c>
      <c r="D712" t="s">
        <v>2385</v>
      </c>
      <c r="E712" s="7">
        <v>5519.03</v>
      </c>
      <c r="F712" s="7">
        <v>8.58</v>
      </c>
      <c r="G712">
        <v>17</v>
      </c>
      <c r="H712" t="s">
        <v>2806</v>
      </c>
      <c r="I712" t="s">
        <v>2377</v>
      </c>
      <c r="J712">
        <v>0</v>
      </c>
      <c r="K712" s="9">
        <f t="shared" si="22"/>
        <v>45490</v>
      </c>
      <c r="L712">
        <f t="shared" si="23"/>
        <v>551903</v>
      </c>
    </row>
    <row r="713" spans="1:12">
      <c r="A713">
        <v>962</v>
      </c>
      <c r="B713">
        <v>581</v>
      </c>
      <c r="C713">
        <v>6</v>
      </c>
      <c r="D713" t="s">
        <v>2376</v>
      </c>
      <c r="E713" s="7">
        <v>58812.04</v>
      </c>
      <c r="F713" s="7">
        <v>18.57</v>
      </c>
      <c r="G713">
        <v>16</v>
      </c>
      <c r="H713" t="s">
        <v>2083</v>
      </c>
      <c r="I713" t="s">
        <v>2377</v>
      </c>
      <c r="J713">
        <v>0</v>
      </c>
      <c r="K713" s="9">
        <f t="shared" si="22"/>
        <v>43883</v>
      </c>
      <c r="L713">
        <f t="shared" si="23"/>
        <v>5881204</v>
      </c>
    </row>
    <row r="714" spans="1:12">
      <c r="A714">
        <v>963</v>
      </c>
      <c r="B714">
        <v>603</v>
      </c>
      <c r="C714">
        <v>3</v>
      </c>
      <c r="D714" t="s">
        <v>2379</v>
      </c>
      <c r="E714" s="7">
        <v>2120.93</v>
      </c>
      <c r="F714" s="7">
        <v>19.06</v>
      </c>
      <c r="G714">
        <v>33</v>
      </c>
      <c r="H714" t="s">
        <v>2754</v>
      </c>
      <c r="I714" t="s">
        <v>2377</v>
      </c>
      <c r="J714">
        <v>0</v>
      </c>
      <c r="K714" s="9">
        <f t="shared" si="22"/>
        <v>44332</v>
      </c>
      <c r="L714">
        <f t="shared" si="23"/>
        <v>212093</v>
      </c>
    </row>
    <row r="715" spans="1:12">
      <c r="A715">
        <v>964</v>
      </c>
      <c r="B715">
        <v>985</v>
      </c>
      <c r="C715">
        <v>4</v>
      </c>
      <c r="D715" t="s">
        <v>2387</v>
      </c>
      <c r="E715" s="7">
        <v>51200.65</v>
      </c>
      <c r="F715" s="7">
        <v>12.36</v>
      </c>
      <c r="G715">
        <v>157</v>
      </c>
      <c r="H715" t="s">
        <v>1744</v>
      </c>
      <c r="I715" t="s">
        <v>2383</v>
      </c>
      <c r="J715">
        <v>0</v>
      </c>
      <c r="K715" s="9">
        <f t="shared" si="22"/>
        <v>45012</v>
      </c>
      <c r="L715">
        <f t="shared" si="23"/>
        <v>5120065</v>
      </c>
    </row>
    <row r="716" spans="1:12">
      <c r="A716">
        <v>965</v>
      </c>
      <c r="B716">
        <v>728</v>
      </c>
      <c r="C716">
        <v>1</v>
      </c>
      <c r="D716" t="s">
        <v>2387</v>
      </c>
      <c r="E716" s="7">
        <v>61890.88</v>
      </c>
      <c r="F716" s="7">
        <v>19.83</v>
      </c>
      <c r="G716">
        <v>307</v>
      </c>
      <c r="H716" t="s">
        <v>2807</v>
      </c>
      <c r="I716" t="s">
        <v>2393</v>
      </c>
      <c r="J716">
        <v>327</v>
      </c>
      <c r="K716" s="9">
        <f t="shared" si="22"/>
        <v>44321</v>
      </c>
      <c r="L716">
        <f t="shared" si="23"/>
        <v>6189088</v>
      </c>
    </row>
    <row r="717" spans="1:12">
      <c r="A717">
        <v>966</v>
      </c>
      <c r="B717">
        <v>78</v>
      </c>
      <c r="C717">
        <v>4</v>
      </c>
      <c r="D717" t="s">
        <v>2387</v>
      </c>
      <c r="E717" s="7">
        <v>151819.78</v>
      </c>
      <c r="F717" s="7">
        <v>6.97</v>
      </c>
      <c r="G717">
        <v>167</v>
      </c>
      <c r="H717" t="s">
        <v>2808</v>
      </c>
      <c r="I717" t="s">
        <v>2377</v>
      </c>
      <c r="J717">
        <v>0</v>
      </c>
      <c r="K717" s="9">
        <f t="shared" si="22"/>
        <v>43884</v>
      </c>
      <c r="L717">
        <f t="shared" si="23"/>
        <v>15181978</v>
      </c>
    </row>
    <row r="718" spans="1:12">
      <c r="A718">
        <v>967</v>
      </c>
      <c r="B718">
        <v>212</v>
      </c>
      <c r="C718">
        <v>2</v>
      </c>
      <c r="D718" t="s">
        <v>2390</v>
      </c>
      <c r="E718" s="7">
        <v>20124.24</v>
      </c>
      <c r="F718" s="7">
        <v>20.86</v>
      </c>
      <c r="G718">
        <v>83</v>
      </c>
      <c r="H718" t="s">
        <v>2562</v>
      </c>
      <c r="I718" t="s">
        <v>2383</v>
      </c>
      <c r="J718">
        <v>0</v>
      </c>
      <c r="K718" s="9">
        <f t="shared" si="22"/>
        <v>44638</v>
      </c>
      <c r="L718">
        <f t="shared" si="23"/>
        <v>2012424</v>
      </c>
    </row>
    <row r="719" spans="1:12">
      <c r="A719">
        <v>968</v>
      </c>
      <c r="B719">
        <v>378</v>
      </c>
      <c r="C719">
        <v>3</v>
      </c>
      <c r="D719" t="s">
        <v>2379</v>
      </c>
      <c r="E719" s="7">
        <v>1108.82</v>
      </c>
      <c r="F719" s="7">
        <v>14.19</v>
      </c>
      <c r="G719">
        <v>34</v>
      </c>
      <c r="H719" t="s">
        <v>2596</v>
      </c>
      <c r="I719" t="s">
        <v>2377</v>
      </c>
      <c r="J719">
        <v>44</v>
      </c>
      <c r="K719" s="9">
        <f t="shared" si="22"/>
        <v>45122</v>
      </c>
      <c r="L719">
        <f t="shared" si="23"/>
        <v>110882</v>
      </c>
    </row>
    <row r="720" spans="1:12">
      <c r="A720">
        <v>969</v>
      </c>
      <c r="B720">
        <v>682</v>
      </c>
      <c r="C720">
        <v>4</v>
      </c>
      <c r="D720" t="s">
        <v>2376</v>
      </c>
      <c r="E720" s="7">
        <v>30340.6</v>
      </c>
      <c r="F720" s="7">
        <v>5.73</v>
      </c>
      <c r="G720">
        <v>110</v>
      </c>
      <c r="H720" t="s">
        <v>2809</v>
      </c>
      <c r="I720" t="s">
        <v>2377</v>
      </c>
      <c r="J720">
        <v>0</v>
      </c>
      <c r="K720" s="9">
        <f t="shared" si="22"/>
        <v>45778</v>
      </c>
      <c r="L720">
        <f t="shared" si="23"/>
        <v>303406</v>
      </c>
    </row>
    <row r="721" spans="1:12">
      <c r="A721">
        <v>970</v>
      </c>
      <c r="B721">
        <v>699</v>
      </c>
      <c r="C721">
        <v>7</v>
      </c>
      <c r="D721" t="s">
        <v>2387</v>
      </c>
      <c r="E721" s="7">
        <v>91691.41</v>
      </c>
      <c r="F721" s="7">
        <v>19.51</v>
      </c>
      <c r="G721">
        <v>268</v>
      </c>
      <c r="H721" t="s">
        <v>2810</v>
      </c>
      <c r="I721" t="s">
        <v>2377</v>
      </c>
      <c r="J721">
        <v>0</v>
      </c>
      <c r="K721" s="9">
        <f t="shared" si="22"/>
        <v>45251</v>
      </c>
      <c r="L721">
        <f t="shared" si="23"/>
        <v>9169141</v>
      </c>
    </row>
    <row r="722" spans="1:12">
      <c r="A722">
        <v>971</v>
      </c>
      <c r="B722">
        <v>434</v>
      </c>
      <c r="C722">
        <v>1</v>
      </c>
      <c r="D722" t="s">
        <v>2390</v>
      </c>
      <c r="E722" s="7">
        <v>39780.37</v>
      </c>
      <c r="F722" s="7">
        <v>19.19</v>
      </c>
      <c r="G722">
        <v>29</v>
      </c>
      <c r="H722" t="s">
        <v>2811</v>
      </c>
      <c r="I722" t="s">
        <v>2377</v>
      </c>
      <c r="J722">
        <v>0</v>
      </c>
      <c r="K722" s="9">
        <f t="shared" si="22"/>
        <v>44492</v>
      </c>
      <c r="L722">
        <f t="shared" si="23"/>
        <v>3978037</v>
      </c>
    </row>
    <row r="723" spans="1:12">
      <c r="A723">
        <v>972</v>
      </c>
      <c r="B723">
        <v>109</v>
      </c>
      <c r="C723">
        <v>3</v>
      </c>
      <c r="D723" t="s">
        <v>2379</v>
      </c>
      <c r="E723" s="7">
        <v>5503.33</v>
      </c>
      <c r="F723" s="7">
        <v>16.22</v>
      </c>
      <c r="G723">
        <v>33</v>
      </c>
      <c r="H723" t="s">
        <v>2812</v>
      </c>
      <c r="I723" t="s">
        <v>2377</v>
      </c>
      <c r="J723">
        <v>0</v>
      </c>
      <c r="K723" s="9">
        <f t="shared" si="22"/>
        <v>43875</v>
      </c>
      <c r="L723">
        <f t="shared" si="23"/>
        <v>550333</v>
      </c>
    </row>
    <row r="724" spans="1:12">
      <c r="A724">
        <v>973</v>
      </c>
      <c r="B724">
        <v>926</v>
      </c>
      <c r="C724">
        <v>1</v>
      </c>
      <c r="D724" t="s">
        <v>2376</v>
      </c>
      <c r="E724" s="7">
        <v>34695.41</v>
      </c>
      <c r="F724" s="7">
        <v>21.94</v>
      </c>
      <c r="G724">
        <v>29</v>
      </c>
      <c r="H724" t="s">
        <v>2813</v>
      </c>
      <c r="I724" t="s">
        <v>2377</v>
      </c>
      <c r="J724">
        <v>0</v>
      </c>
      <c r="K724" s="9">
        <f t="shared" si="22"/>
        <v>45019</v>
      </c>
      <c r="L724">
        <f t="shared" si="23"/>
        <v>3469541</v>
      </c>
    </row>
    <row r="725" spans="1:12">
      <c r="A725">
        <v>974</v>
      </c>
      <c r="B725">
        <v>623</v>
      </c>
      <c r="C725">
        <v>7</v>
      </c>
      <c r="D725" t="s">
        <v>2379</v>
      </c>
      <c r="E725" s="7">
        <v>9457.07</v>
      </c>
      <c r="F725" s="7">
        <v>6.86</v>
      </c>
      <c r="G725">
        <v>48</v>
      </c>
      <c r="H725" t="s">
        <v>2238</v>
      </c>
      <c r="I725" t="s">
        <v>2377</v>
      </c>
      <c r="J725">
        <v>35</v>
      </c>
      <c r="K725" s="9">
        <f t="shared" si="22"/>
        <v>45628</v>
      </c>
      <c r="L725">
        <f t="shared" si="23"/>
        <v>945707</v>
      </c>
    </row>
    <row r="726" spans="1:12">
      <c r="A726">
        <v>975</v>
      </c>
      <c r="B726">
        <v>530</v>
      </c>
      <c r="C726">
        <v>4</v>
      </c>
      <c r="D726" t="s">
        <v>2379</v>
      </c>
      <c r="E726" s="7">
        <v>7693.49</v>
      </c>
      <c r="F726" s="7">
        <v>8.86</v>
      </c>
      <c r="G726">
        <v>46</v>
      </c>
      <c r="H726" t="s">
        <v>2402</v>
      </c>
      <c r="I726" t="s">
        <v>2383</v>
      </c>
      <c r="J726">
        <v>0</v>
      </c>
      <c r="K726" s="9">
        <f t="shared" si="22"/>
        <v>45630</v>
      </c>
      <c r="L726">
        <f t="shared" si="23"/>
        <v>769349</v>
      </c>
    </row>
    <row r="727" spans="1:12">
      <c r="A727">
        <v>976</v>
      </c>
      <c r="B727">
        <v>446</v>
      </c>
      <c r="C727">
        <v>3</v>
      </c>
      <c r="D727" t="s">
        <v>2390</v>
      </c>
      <c r="E727" s="7">
        <v>21778.67</v>
      </c>
      <c r="F727" s="7">
        <v>21.87</v>
      </c>
      <c r="G727">
        <v>66</v>
      </c>
      <c r="H727" t="s">
        <v>2408</v>
      </c>
      <c r="I727" t="s">
        <v>2377</v>
      </c>
      <c r="J727">
        <v>0</v>
      </c>
      <c r="K727" s="9">
        <f t="shared" si="22"/>
        <v>44828</v>
      </c>
      <c r="L727">
        <f t="shared" si="23"/>
        <v>2177867</v>
      </c>
    </row>
    <row r="728" spans="1:12">
      <c r="A728">
        <v>977</v>
      </c>
      <c r="B728">
        <v>933</v>
      </c>
      <c r="C728">
        <v>6</v>
      </c>
      <c r="D728" t="s">
        <v>2390</v>
      </c>
      <c r="E728" s="7">
        <v>32880.19</v>
      </c>
      <c r="F728" s="7">
        <v>10.1</v>
      </c>
      <c r="G728">
        <v>75</v>
      </c>
      <c r="H728" t="s">
        <v>2431</v>
      </c>
      <c r="I728" t="s">
        <v>2383</v>
      </c>
      <c r="J728">
        <v>0</v>
      </c>
      <c r="K728" s="9">
        <f t="shared" si="22"/>
        <v>44169</v>
      </c>
      <c r="L728">
        <f t="shared" si="23"/>
        <v>3288019</v>
      </c>
    </row>
    <row r="729" spans="1:12">
      <c r="A729">
        <v>978</v>
      </c>
      <c r="B729">
        <v>56</v>
      </c>
      <c r="C729">
        <v>7</v>
      </c>
      <c r="D729" t="s">
        <v>2387</v>
      </c>
      <c r="E729" s="7">
        <v>139582.02</v>
      </c>
      <c r="F729" s="7">
        <v>21.06</v>
      </c>
      <c r="G729">
        <v>330</v>
      </c>
      <c r="H729" t="s">
        <v>2814</v>
      </c>
      <c r="I729" t="s">
        <v>2377</v>
      </c>
      <c r="J729">
        <v>0</v>
      </c>
      <c r="K729" s="9">
        <f t="shared" si="22"/>
        <v>44282</v>
      </c>
      <c r="L729">
        <f t="shared" si="23"/>
        <v>13958202</v>
      </c>
    </row>
    <row r="730" spans="1:12">
      <c r="A730">
        <v>979</v>
      </c>
      <c r="B730">
        <v>505</v>
      </c>
      <c r="C730">
        <v>2</v>
      </c>
      <c r="D730" t="s">
        <v>2387</v>
      </c>
      <c r="E730" s="7">
        <v>192733.87</v>
      </c>
      <c r="F730" s="7">
        <v>11.88</v>
      </c>
      <c r="G730">
        <v>358</v>
      </c>
      <c r="H730" t="s">
        <v>870</v>
      </c>
      <c r="I730" t="s">
        <v>2377</v>
      </c>
      <c r="J730">
        <v>0</v>
      </c>
      <c r="K730" s="9">
        <f t="shared" si="22"/>
        <v>44331</v>
      </c>
      <c r="L730">
        <f t="shared" si="23"/>
        <v>19273387</v>
      </c>
    </row>
    <row r="731" spans="1:12">
      <c r="A731">
        <v>980</v>
      </c>
      <c r="B731">
        <v>371</v>
      </c>
      <c r="C731">
        <v>2</v>
      </c>
      <c r="D731" t="s">
        <v>2387</v>
      </c>
      <c r="E731" s="7">
        <v>131543.75</v>
      </c>
      <c r="F731" s="7">
        <v>21.81</v>
      </c>
      <c r="G731">
        <v>326</v>
      </c>
      <c r="H731" t="s">
        <v>2815</v>
      </c>
      <c r="I731" t="s">
        <v>2377</v>
      </c>
      <c r="J731">
        <v>0</v>
      </c>
      <c r="K731" s="9">
        <f t="shared" si="22"/>
        <v>44009</v>
      </c>
      <c r="L731">
        <f t="shared" si="23"/>
        <v>13154375</v>
      </c>
    </row>
    <row r="732" spans="1:12">
      <c r="A732">
        <v>981</v>
      </c>
      <c r="B732">
        <v>555</v>
      </c>
      <c r="C732">
        <v>7</v>
      </c>
      <c r="D732" t="s">
        <v>2387</v>
      </c>
      <c r="E732" s="7">
        <v>107237.42</v>
      </c>
      <c r="F732" s="7">
        <v>11.96</v>
      </c>
      <c r="G732">
        <v>272</v>
      </c>
      <c r="H732" t="s">
        <v>22</v>
      </c>
      <c r="I732" t="s">
        <v>2393</v>
      </c>
      <c r="J732">
        <v>133</v>
      </c>
      <c r="K732" s="9">
        <f t="shared" si="22"/>
        <v>43959</v>
      </c>
      <c r="L732">
        <f t="shared" si="23"/>
        <v>10723742</v>
      </c>
    </row>
    <row r="733" spans="1:12">
      <c r="A733">
        <v>982</v>
      </c>
      <c r="B733">
        <v>440</v>
      </c>
      <c r="C733">
        <v>4</v>
      </c>
      <c r="D733" t="s">
        <v>2387</v>
      </c>
      <c r="E733" s="7">
        <v>125917.39</v>
      </c>
      <c r="F733" s="7">
        <v>21.49</v>
      </c>
      <c r="G733">
        <v>221</v>
      </c>
      <c r="H733" t="s">
        <v>2300</v>
      </c>
      <c r="I733" t="s">
        <v>2377</v>
      </c>
      <c r="J733">
        <v>0</v>
      </c>
      <c r="K733" s="9">
        <f t="shared" si="22"/>
        <v>44965</v>
      </c>
      <c r="L733">
        <f t="shared" si="23"/>
        <v>12591739</v>
      </c>
    </row>
    <row r="734" spans="1:12">
      <c r="A734">
        <v>983</v>
      </c>
      <c r="B734">
        <v>591</v>
      </c>
      <c r="C734">
        <v>4</v>
      </c>
      <c r="D734" t="s">
        <v>2390</v>
      </c>
      <c r="E734" s="7">
        <v>21571.45</v>
      </c>
      <c r="F734" s="7">
        <v>9.11</v>
      </c>
      <c r="G734">
        <v>30</v>
      </c>
      <c r="H734" t="s">
        <v>2785</v>
      </c>
      <c r="I734" t="s">
        <v>2383</v>
      </c>
      <c r="J734">
        <v>0</v>
      </c>
      <c r="K734" s="9">
        <f t="shared" si="22"/>
        <v>45348</v>
      </c>
      <c r="L734">
        <f t="shared" si="23"/>
        <v>2157145</v>
      </c>
    </row>
    <row r="735" spans="1:12">
      <c r="A735">
        <v>984</v>
      </c>
      <c r="B735">
        <v>994</v>
      </c>
      <c r="C735">
        <v>3</v>
      </c>
      <c r="D735" t="s">
        <v>2387</v>
      </c>
      <c r="E735" s="7">
        <v>190191.4</v>
      </c>
      <c r="F735" s="7">
        <v>19.27</v>
      </c>
      <c r="G735">
        <v>273</v>
      </c>
      <c r="H735" t="s">
        <v>2351</v>
      </c>
      <c r="I735" t="s">
        <v>2377</v>
      </c>
      <c r="J735">
        <v>0</v>
      </c>
      <c r="K735" s="9">
        <f t="shared" si="22"/>
        <v>44611</v>
      </c>
      <c r="L735">
        <f t="shared" si="23"/>
        <v>1901914</v>
      </c>
    </row>
    <row r="736" spans="1:12">
      <c r="A736">
        <v>985</v>
      </c>
      <c r="B736">
        <v>610</v>
      </c>
      <c r="C736">
        <v>3</v>
      </c>
      <c r="D736" t="s">
        <v>2387</v>
      </c>
      <c r="E736" s="7">
        <v>196819.45</v>
      </c>
      <c r="F736" s="7">
        <v>11.02</v>
      </c>
      <c r="G736">
        <v>243</v>
      </c>
      <c r="H736" t="s">
        <v>2457</v>
      </c>
      <c r="I736" t="s">
        <v>2377</v>
      </c>
      <c r="J736">
        <v>0</v>
      </c>
      <c r="K736" s="9">
        <f t="shared" si="22"/>
        <v>44410</v>
      </c>
      <c r="L736">
        <f t="shared" si="23"/>
        <v>19681945</v>
      </c>
    </row>
    <row r="737" spans="1:12">
      <c r="A737">
        <v>986</v>
      </c>
      <c r="B737">
        <v>944</v>
      </c>
      <c r="C737">
        <v>2</v>
      </c>
      <c r="D737" t="s">
        <v>2390</v>
      </c>
      <c r="E737" s="7">
        <v>22645.6</v>
      </c>
      <c r="F737" s="7">
        <v>11.36</v>
      </c>
      <c r="G737">
        <v>48</v>
      </c>
      <c r="H737" t="s">
        <v>2656</v>
      </c>
      <c r="I737" t="s">
        <v>2377</v>
      </c>
      <c r="J737">
        <v>0</v>
      </c>
      <c r="K737" s="9">
        <f t="shared" si="22"/>
        <v>45465</v>
      </c>
      <c r="L737">
        <f t="shared" si="23"/>
        <v>226456</v>
      </c>
    </row>
    <row r="738" spans="1:12">
      <c r="A738">
        <v>987</v>
      </c>
      <c r="B738">
        <v>961</v>
      </c>
      <c r="C738">
        <v>6</v>
      </c>
      <c r="D738" t="s">
        <v>2379</v>
      </c>
      <c r="E738" s="7">
        <v>14548.26</v>
      </c>
      <c r="F738" s="7">
        <v>8.91</v>
      </c>
      <c r="G738">
        <v>58</v>
      </c>
      <c r="H738" t="s">
        <v>2516</v>
      </c>
      <c r="I738" t="s">
        <v>2377</v>
      </c>
      <c r="J738">
        <v>0</v>
      </c>
      <c r="K738" s="9">
        <f t="shared" si="22"/>
        <v>45527</v>
      </c>
      <c r="L738">
        <f t="shared" si="23"/>
        <v>1454826</v>
      </c>
    </row>
    <row r="739" spans="1:12">
      <c r="A739">
        <v>988</v>
      </c>
      <c r="B739">
        <v>647</v>
      </c>
      <c r="C739">
        <v>6</v>
      </c>
      <c r="D739" t="s">
        <v>2385</v>
      </c>
      <c r="E739" s="7">
        <v>690.39</v>
      </c>
      <c r="F739" s="7">
        <v>18.57</v>
      </c>
      <c r="G739">
        <v>20</v>
      </c>
      <c r="H739" t="s">
        <v>758</v>
      </c>
      <c r="I739" t="s">
        <v>2377</v>
      </c>
      <c r="J739">
        <v>0</v>
      </c>
      <c r="K739" s="9">
        <f t="shared" si="22"/>
        <v>44908</v>
      </c>
      <c r="L739">
        <f t="shared" si="23"/>
        <v>69039</v>
      </c>
    </row>
    <row r="740" spans="1:12">
      <c r="A740">
        <v>989</v>
      </c>
      <c r="B740">
        <v>532</v>
      </c>
      <c r="C740">
        <v>5</v>
      </c>
      <c r="D740" t="s">
        <v>2387</v>
      </c>
      <c r="E740" s="7">
        <v>52956.77</v>
      </c>
      <c r="F740" s="7">
        <v>9.4</v>
      </c>
      <c r="G740">
        <v>306</v>
      </c>
      <c r="H740" t="s">
        <v>2816</v>
      </c>
      <c r="I740" t="s">
        <v>2377</v>
      </c>
      <c r="J740">
        <v>0</v>
      </c>
      <c r="K740" s="9">
        <f t="shared" si="22"/>
        <v>45462</v>
      </c>
      <c r="L740">
        <f t="shared" si="23"/>
        <v>5295677</v>
      </c>
    </row>
    <row r="741" spans="1:12">
      <c r="A741">
        <v>990</v>
      </c>
      <c r="B741">
        <v>862</v>
      </c>
      <c r="C741">
        <v>1</v>
      </c>
      <c r="D741" t="s">
        <v>2376</v>
      </c>
      <c r="E741" s="7">
        <v>129223.76</v>
      </c>
      <c r="F741" s="7">
        <v>5.95</v>
      </c>
      <c r="G741">
        <v>63</v>
      </c>
      <c r="H741" t="s">
        <v>2817</v>
      </c>
      <c r="I741" t="s">
        <v>2377</v>
      </c>
      <c r="J741">
        <v>0</v>
      </c>
      <c r="K741" s="9">
        <f t="shared" si="22"/>
        <v>44657</v>
      </c>
      <c r="L741">
        <f t="shared" si="23"/>
        <v>12922376</v>
      </c>
    </row>
    <row r="742" spans="1:12">
      <c r="A742">
        <v>991</v>
      </c>
      <c r="B742">
        <v>605</v>
      </c>
      <c r="C742">
        <v>5</v>
      </c>
      <c r="D742" t="s">
        <v>2385</v>
      </c>
      <c r="E742" s="7">
        <v>6261.26</v>
      </c>
      <c r="F742" s="7">
        <v>8.97</v>
      </c>
      <c r="G742">
        <v>8</v>
      </c>
      <c r="H742" t="s">
        <v>2628</v>
      </c>
      <c r="I742" t="s">
        <v>2383</v>
      </c>
      <c r="J742">
        <v>0</v>
      </c>
      <c r="K742" s="9">
        <f t="shared" si="22"/>
        <v>45064</v>
      </c>
      <c r="L742">
        <f t="shared" si="23"/>
        <v>626126</v>
      </c>
    </row>
    <row r="743" spans="1:12">
      <c r="A743">
        <v>992</v>
      </c>
      <c r="B743">
        <v>257</v>
      </c>
      <c r="C743">
        <v>7</v>
      </c>
      <c r="D743" t="s">
        <v>2387</v>
      </c>
      <c r="E743" s="7">
        <v>199825.58</v>
      </c>
      <c r="F743" s="7">
        <v>7.58</v>
      </c>
      <c r="G743">
        <v>357</v>
      </c>
      <c r="H743" t="s">
        <v>2818</v>
      </c>
      <c r="I743" t="s">
        <v>2377</v>
      </c>
      <c r="J743">
        <v>0</v>
      </c>
      <c r="K743" s="9">
        <f t="shared" si="22"/>
        <v>45488</v>
      </c>
      <c r="L743">
        <f t="shared" si="23"/>
        <v>19982558</v>
      </c>
    </row>
    <row r="744" spans="1:12">
      <c r="A744">
        <v>993</v>
      </c>
      <c r="B744">
        <v>476</v>
      </c>
      <c r="C744">
        <v>2</v>
      </c>
      <c r="D744" t="s">
        <v>2390</v>
      </c>
      <c r="E744" s="7">
        <v>23276.38</v>
      </c>
      <c r="F744" s="7">
        <v>15.76</v>
      </c>
      <c r="G744">
        <v>35</v>
      </c>
      <c r="H744" t="s">
        <v>69</v>
      </c>
      <c r="I744" t="s">
        <v>2383</v>
      </c>
      <c r="J744">
        <v>0</v>
      </c>
      <c r="K744" s="9">
        <f t="shared" si="22"/>
        <v>45089</v>
      </c>
      <c r="L744">
        <f t="shared" si="23"/>
        <v>2327638</v>
      </c>
    </row>
    <row r="745" spans="1:12">
      <c r="A745">
        <v>994</v>
      </c>
      <c r="B745">
        <v>83</v>
      </c>
      <c r="C745">
        <v>3</v>
      </c>
      <c r="D745" t="s">
        <v>2376</v>
      </c>
      <c r="E745" s="7">
        <v>61959.36</v>
      </c>
      <c r="F745" s="7">
        <v>12.64</v>
      </c>
      <c r="G745">
        <v>99</v>
      </c>
      <c r="H745" t="s">
        <v>1241</v>
      </c>
      <c r="I745" t="s">
        <v>2377</v>
      </c>
      <c r="J745">
        <v>0</v>
      </c>
      <c r="K745" s="9">
        <f t="shared" si="22"/>
        <v>44405</v>
      </c>
      <c r="L745">
        <f t="shared" si="23"/>
        <v>6195936</v>
      </c>
    </row>
    <row r="746" spans="1:12">
      <c r="A746">
        <v>995</v>
      </c>
      <c r="B746">
        <v>483</v>
      </c>
      <c r="C746">
        <v>7</v>
      </c>
      <c r="D746" t="s">
        <v>2390</v>
      </c>
      <c r="E746" s="7">
        <v>36312.35</v>
      </c>
      <c r="F746" s="7">
        <v>14.28</v>
      </c>
      <c r="G746">
        <v>61</v>
      </c>
      <c r="H746" t="s">
        <v>1311</v>
      </c>
      <c r="I746" t="s">
        <v>2377</v>
      </c>
      <c r="J746">
        <v>0</v>
      </c>
      <c r="K746" s="9">
        <f t="shared" si="22"/>
        <v>43894</v>
      </c>
      <c r="L746">
        <f t="shared" si="23"/>
        <v>3631235</v>
      </c>
    </row>
    <row r="747" spans="1:12">
      <c r="A747">
        <v>996</v>
      </c>
      <c r="B747">
        <v>25</v>
      </c>
      <c r="C747">
        <v>2</v>
      </c>
      <c r="D747" t="s">
        <v>2379</v>
      </c>
      <c r="E747" s="7">
        <v>2460.3</v>
      </c>
      <c r="F747" s="7">
        <v>20.78</v>
      </c>
      <c r="G747">
        <v>6</v>
      </c>
      <c r="H747" t="s">
        <v>2819</v>
      </c>
      <c r="I747" t="s">
        <v>2377</v>
      </c>
      <c r="J747">
        <v>0</v>
      </c>
      <c r="K747" s="9">
        <f t="shared" si="22"/>
        <v>43999</v>
      </c>
      <c r="L747">
        <f t="shared" si="23"/>
        <v>24603</v>
      </c>
    </row>
    <row r="748" spans="1:12">
      <c r="A748">
        <v>997</v>
      </c>
      <c r="B748">
        <v>714</v>
      </c>
      <c r="C748">
        <v>1</v>
      </c>
      <c r="D748" t="s">
        <v>2390</v>
      </c>
      <c r="E748" s="7">
        <v>17210.59</v>
      </c>
      <c r="F748" s="7">
        <v>6.95</v>
      </c>
      <c r="G748">
        <v>25</v>
      </c>
      <c r="H748" t="s">
        <v>1323</v>
      </c>
      <c r="I748" t="s">
        <v>2377</v>
      </c>
      <c r="J748">
        <v>0</v>
      </c>
      <c r="K748" s="9">
        <f t="shared" si="22"/>
        <v>45201</v>
      </c>
      <c r="L748">
        <f t="shared" si="23"/>
        <v>1721059</v>
      </c>
    </row>
    <row r="749" spans="1:12">
      <c r="A749">
        <v>998</v>
      </c>
      <c r="B749">
        <v>777</v>
      </c>
      <c r="C749">
        <v>3</v>
      </c>
      <c r="D749" t="s">
        <v>2385</v>
      </c>
      <c r="E749" s="7">
        <v>7247.45</v>
      </c>
      <c r="F749" s="7">
        <v>11.04</v>
      </c>
      <c r="G749">
        <v>7</v>
      </c>
      <c r="H749" t="s">
        <v>1063</v>
      </c>
      <c r="I749" t="s">
        <v>2377</v>
      </c>
      <c r="J749">
        <v>0</v>
      </c>
      <c r="K749" s="9">
        <f t="shared" si="22"/>
        <v>44814</v>
      </c>
      <c r="L749">
        <f t="shared" si="23"/>
        <v>724745</v>
      </c>
    </row>
    <row r="750" spans="1:12">
      <c r="A750">
        <v>999</v>
      </c>
      <c r="B750">
        <v>507</v>
      </c>
      <c r="C750">
        <v>5</v>
      </c>
      <c r="D750" t="s">
        <v>2385</v>
      </c>
      <c r="E750" s="7">
        <v>6440.61</v>
      </c>
      <c r="F750" s="7">
        <v>8.12</v>
      </c>
      <c r="G750">
        <v>22</v>
      </c>
      <c r="H750" t="s">
        <v>2669</v>
      </c>
      <c r="I750" t="s">
        <v>2377</v>
      </c>
      <c r="J750">
        <v>0</v>
      </c>
      <c r="K750" s="9">
        <f t="shared" si="22"/>
        <v>45791</v>
      </c>
      <c r="L750">
        <f t="shared" si="23"/>
        <v>644061</v>
      </c>
    </row>
    <row r="751" spans="1:12">
      <c r="A751">
        <v>1000</v>
      </c>
      <c r="B751">
        <v>82</v>
      </c>
      <c r="C751">
        <v>2</v>
      </c>
      <c r="D751" t="s">
        <v>2379</v>
      </c>
      <c r="E751" s="7">
        <v>7820.62</v>
      </c>
      <c r="F751" s="7">
        <v>17.19</v>
      </c>
      <c r="G751">
        <v>12</v>
      </c>
      <c r="H751" t="s">
        <v>1880</v>
      </c>
      <c r="I751" t="s">
        <v>2377</v>
      </c>
      <c r="J751">
        <v>0</v>
      </c>
      <c r="K751" s="9">
        <f t="shared" si="22"/>
        <v>45544</v>
      </c>
      <c r="L751">
        <f t="shared" si="23"/>
        <v>782062</v>
      </c>
    </row>
    <row r="752" spans="1:12">
      <c r="A752">
        <v>1001</v>
      </c>
      <c r="B752">
        <v>62</v>
      </c>
      <c r="C752">
        <v>2</v>
      </c>
      <c r="D752" t="s">
        <v>2379</v>
      </c>
      <c r="E752" s="7">
        <v>12768.02</v>
      </c>
      <c r="F752" s="7">
        <v>21.47</v>
      </c>
      <c r="G752">
        <v>36</v>
      </c>
      <c r="H752" t="s">
        <v>423</v>
      </c>
      <c r="I752" t="s">
        <v>2377</v>
      </c>
      <c r="J752">
        <v>0</v>
      </c>
      <c r="K752" s="9">
        <f t="shared" si="22"/>
        <v>44591</v>
      </c>
      <c r="L752">
        <f t="shared" si="23"/>
        <v>1276802</v>
      </c>
    </row>
    <row r="753" spans="1:12">
      <c r="A753">
        <v>1002</v>
      </c>
      <c r="B753">
        <v>178</v>
      </c>
      <c r="C753">
        <v>2</v>
      </c>
      <c r="D753" t="s">
        <v>2379</v>
      </c>
      <c r="E753" s="7">
        <v>10553.12</v>
      </c>
      <c r="F753" s="7">
        <v>13.87</v>
      </c>
      <c r="G753">
        <v>54</v>
      </c>
      <c r="H753" t="s">
        <v>2605</v>
      </c>
      <c r="I753" t="s">
        <v>2377</v>
      </c>
      <c r="J753">
        <v>0</v>
      </c>
      <c r="K753" s="9">
        <f t="shared" si="22"/>
        <v>45015</v>
      </c>
      <c r="L753">
        <f t="shared" si="23"/>
        <v>1055312</v>
      </c>
    </row>
    <row r="754" spans="1:12">
      <c r="A754">
        <v>1128</v>
      </c>
      <c r="B754">
        <v>146</v>
      </c>
      <c r="C754">
        <v>1</v>
      </c>
      <c r="D754" t="s">
        <v>2387</v>
      </c>
      <c r="E754" s="7">
        <v>114063.73</v>
      </c>
      <c r="F754" s="7">
        <v>12.76</v>
      </c>
      <c r="G754">
        <v>354</v>
      </c>
      <c r="H754" t="s">
        <v>2820</v>
      </c>
      <c r="I754" t="s">
        <v>2377</v>
      </c>
      <c r="J754">
        <v>0</v>
      </c>
      <c r="K754" s="9">
        <f t="shared" si="22"/>
        <v>44472</v>
      </c>
      <c r="L754">
        <f t="shared" si="23"/>
        <v>11406373</v>
      </c>
    </row>
    <row r="755" spans="1:12">
      <c r="A755">
        <v>1129</v>
      </c>
      <c r="B755">
        <v>448</v>
      </c>
      <c r="C755">
        <v>5</v>
      </c>
      <c r="D755" t="s">
        <v>2387</v>
      </c>
      <c r="E755" s="7">
        <v>127917.34</v>
      </c>
      <c r="F755" s="7">
        <v>18.09</v>
      </c>
      <c r="G755">
        <v>358</v>
      </c>
      <c r="H755" t="s">
        <v>2821</v>
      </c>
      <c r="I755" t="s">
        <v>2393</v>
      </c>
      <c r="J755">
        <v>279</v>
      </c>
      <c r="K755" s="9">
        <f t="shared" si="22"/>
        <v>43896</v>
      </c>
      <c r="L755">
        <f t="shared" si="23"/>
        <v>12791734</v>
      </c>
    </row>
    <row r="756" spans="1:12">
      <c r="A756">
        <v>1130</v>
      </c>
      <c r="B756">
        <v>780</v>
      </c>
      <c r="C756">
        <v>6</v>
      </c>
      <c r="D756" t="s">
        <v>2385</v>
      </c>
      <c r="E756" s="7">
        <v>3347.15</v>
      </c>
      <c r="F756" s="7">
        <v>12.64</v>
      </c>
      <c r="G756">
        <v>32</v>
      </c>
      <c r="H756" t="s">
        <v>2822</v>
      </c>
      <c r="I756" t="s">
        <v>2383</v>
      </c>
      <c r="J756">
        <v>0</v>
      </c>
      <c r="K756" s="9">
        <f t="shared" si="22"/>
        <v>45496</v>
      </c>
      <c r="L756">
        <f t="shared" si="23"/>
        <v>334715</v>
      </c>
    </row>
    <row r="757" spans="1:12">
      <c r="A757">
        <v>1131</v>
      </c>
      <c r="B757">
        <v>122</v>
      </c>
      <c r="C757">
        <v>3</v>
      </c>
      <c r="D757" t="s">
        <v>2379</v>
      </c>
      <c r="E757" s="7">
        <v>8462.23</v>
      </c>
      <c r="F757" s="7">
        <v>19.32</v>
      </c>
      <c r="G757">
        <v>10</v>
      </c>
      <c r="H757" t="s">
        <v>2823</v>
      </c>
      <c r="I757" t="s">
        <v>2377</v>
      </c>
      <c r="J757">
        <v>0</v>
      </c>
      <c r="K757" s="9">
        <f t="shared" si="22"/>
        <v>43832</v>
      </c>
      <c r="L757">
        <f t="shared" si="23"/>
        <v>846223</v>
      </c>
    </row>
    <row r="758" spans="1:12">
      <c r="A758">
        <v>1132</v>
      </c>
      <c r="B758">
        <v>505</v>
      </c>
      <c r="C758">
        <v>2</v>
      </c>
      <c r="D758" t="s">
        <v>2387</v>
      </c>
      <c r="E758" s="7">
        <v>114238.5</v>
      </c>
      <c r="F758" s="7">
        <v>16.55</v>
      </c>
      <c r="G758">
        <v>354</v>
      </c>
      <c r="H758" t="s">
        <v>2824</v>
      </c>
      <c r="I758" t="s">
        <v>2377</v>
      </c>
      <c r="J758">
        <v>0</v>
      </c>
      <c r="K758" s="9">
        <f t="shared" si="22"/>
        <v>44827</v>
      </c>
      <c r="L758">
        <f t="shared" si="23"/>
        <v>1142385</v>
      </c>
    </row>
    <row r="759" spans="1:12">
      <c r="A759">
        <v>1133</v>
      </c>
      <c r="B759">
        <v>554</v>
      </c>
      <c r="C759">
        <v>6</v>
      </c>
      <c r="D759" t="s">
        <v>2379</v>
      </c>
      <c r="E759" s="7">
        <v>13612.5</v>
      </c>
      <c r="F759" s="7">
        <v>6.28</v>
      </c>
      <c r="G759">
        <v>33</v>
      </c>
      <c r="H759" t="s">
        <v>2825</v>
      </c>
      <c r="I759" t="s">
        <v>2377</v>
      </c>
      <c r="J759">
        <v>0</v>
      </c>
      <c r="K759" s="9">
        <f t="shared" si="22"/>
        <v>44520</v>
      </c>
      <c r="L759">
        <f t="shared" si="23"/>
        <v>136125</v>
      </c>
    </row>
    <row r="760" spans="1:12">
      <c r="A760">
        <v>1134</v>
      </c>
      <c r="B760">
        <v>695</v>
      </c>
      <c r="C760">
        <v>7</v>
      </c>
      <c r="D760" t="s">
        <v>2390</v>
      </c>
      <c r="E760" s="7">
        <v>29956.22</v>
      </c>
      <c r="F760" s="7">
        <v>12.15</v>
      </c>
      <c r="G760">
        <v>46</v>
      </c>
      <c r="H760" t="s">
        <v>740</v>
      </c>
      <c r="I760" t="s">
        <v>2383</v>
      </c>
      <c r="J760">
        <v>0</v>
      </c>
      <c r="K760" s="9">
        <f t="shared" si="22"/>
        <v>43928</v>
      </c>
      <c r="L760">
        <f t="shared" si="23"/>
        <v>2995622</v>
      </c>
    </row>
    <row r="761" spans="1:12">
      <c r="A761">
        <v>1135</v>
      </c>
      <c r="B761">
        <v>695</v>
      </c>
      <c r="C761">
        <v>7</v>
      </c>
      <c r="D761" t="s">
        <v>2379</v>
      </c>
      <c r="E761" s="7">
        <v>9029.55</v>
      </c>
      <c r="F761" s="7">
        <v>18.95</v>
      </c>
      <c r="G761">
        <v>33</v>
      </c>
      <c r="H761" t="s">
        <v>2826</v>
      </c>
      <c r="I761" t="s">
        <v>2377</v>
      </c>
      <c r="J761">
        <v>0</v>
      </c>
      <c r="K761" s="9">
        <f t="shared" si="22"/>
        <v>44748</v>
      </c>
      <c r="L761">
        <f t="shared" si="23"/>
        <v>902955</v>
      </c>
    </row>
    <row r="762" spans="1:12">
      <c r="A762">
        <v>1136</v>
      </c>
      <c r="B762">
        <v>409</v>
      </c>
      <c r="C762">
        <v>1</v>
      </c>
      <c r="D762" t="s">
        <v>2379</v>
      </c>
      <c r="E762" s="7">
        <v>7789.47</v>
      </c>
      <c r="F762" s="7">
        <v>16.41</v>
      </c>
      <c r="G762">
        <v>32</v>
      </c>
      <c r="H762" t="s">
        <v>2827</v>
      </c>
      <c r="I762" t="s">
        <v>2377</v>
      </c>
      <c r="J762">
        <v>0</v>
      </c>
      <c r="K762" s="9">
        <f t="shared" si="22"/>
        <v>44366</v>
      </c>
      <c r="L762">
        <f t="shared" si="23"/>
        <v>778947</v>
      </c>
    </row>
    <row r="763" spans="1:12">
      <c r="A763">
        <v>1137</v>
      </c>
      <c r="B763">
        <v>244</v>
      </c>
      <c r="C763">
        <v>1</v>
      </c>
      <c r="D763" t="s">
        <v>2390</v>
      </c>
      <c r="E763" s="7">
        <v>35815.5</v>
      </c>
      <c r="F763" s="7">
        <v>21.19</v>
      </c>
      <c r="G763">
        <v>72</v>
      </c>
      <c r="H763" t="s">
        <v>2638</v>
      </c>
      <c r="I763" t="s">
        <v>2377</v>
      </c>
      <c r="J763">
        <v>0</v>
      </c>
      <c r="K763" s="9">
        <f t="shared" si="22"/>
        <v>45421</v>
      </c>
      <c r="L763">
        <f t="shared" si="23"/>
        <v>358155</v>
      </c>
    </row>
    <row r="764" spans="1:12">
      <c r="A764">
        <v>1138</v>
      </c>
      <c r="B764">
        <v>817</v>
      </c>
      <c r="C764">
        <v>7</v>
      </c>
      <c r="D764" t="s">
        <v>2385</v>
      </c>
      <c r="E764" s="7">
        <v>2581.91</v>
      </c>
      <c r="F764" s="7">
        <v>9.48</v>
      </c>
      <c r="G764">
        <v>19</v>
      </c>
      <c r="H764" t="s">
        <v>263</v>
      </c>
      <c r="I764" t="s">
        <v>2393</v>
      </c>
      <c r="J764">
        <v>335</v>
      </c>
      <c r="K764" s="9">
        <f t="shared" si="22"/>
        <v>43930</v>
      </c>
      <c r="L764">
        <f t="shared" si="23"/>
        <v>258191</v>
      </c>
    </row>
    <row r="765" spans="1:12">
      <c r="A765">
        <v>1139</v>
      </c>
      <c r="B765">
        <v>198</v>
      </c>
      <c r="C765">
        <v>5</v>
      </c>
      <c r="D765" t="s">
        <v>2379</v>
      </c>
      <c r="E765" s="7">
        <v>14096.14</v>
      </c>
      <c r="F765" s="7">
        <v>7.32</v>
      </c>
      <c r="G765">
        <v>49</v>
      </c>
      <c r="H765" t="s">
        <v>2607</v>
      </c>
      <c r="I765" t="s">
        <v>2393</v>
      </c>
      <c r="J765">
        <v>162</v>
      </c>
      <c r="K765" s="9">
        <f t="shared" si="22"/>
        <v>45749</v>
      </c>
      <c r="L765">
        <f t="shared" si="23"/>
        <v>1409614</v>
      </c>
    </row>
    <row r="766" spans="1:12">
      <c r="A766">
        <v>1140</v>
      </c>
      <c r="B766">
        <v>63</v>
      </c>
      <c r="C766">
        <v>4</v>
      </c>
      <c r="D766" t="s">
        <v>2387</v>
      </c>
      <c r="E766" s="7">
        <v>109535.96</v>
      </c>
      <c r="F766" s="7">
        <v>10.82</v>
      </c>
      <c r="G766">
        <v>163</v>
      </c>
      <c r="H766" t="s">
        <v>2600</v>
      </c>
      <c r="I766" t="s">
        <v>2377</v>
      </c>
      <c r="J766">
        <v>0</v>
      </c>
      <c r="K766" s="9">
        <f t="shared" si="22"/>
        <v>45323</v>
      </c>
      <c r="L766">
        <f t="shared" si="23"/>
        <v>10953596</v>
      </c>
    </row>
    <row r="767" spans="1:12">
      <c r="A767">
        <v>1141</v>
      </c>
      <c r="B767">
        <v>86</v>
      </c>
      <c r="C767">
        <v>1</v>
      </c>
      <c r="D767" t="s">
        <v>2390</v>
      </c>
      <c r="E767" s="7">
        <v>23908.71</v>
      </c>
      <c r="F767" s="7">
        <v>8.62</v>
      </c>
      <c r="G767">
        <v>43</v>
      </c>
      <c r="H767" t="s">
        <v>2828</v>
      </c>
      <c r="I767" t="s">
        <v>2377</v>
      </c>
      <c r="J767">
        <v>0</v>
      </c>
      <c r="K767" s="9">
        <f t="shared" si="22"/>
        <v>44534</v>
      </c>
      <c r="L767">
        <f t="shared" si="23"/>
        <v>2390871</v>
      </c>
    </row>
    <row r="768" spans="1:12">
      <c r="A768">
        <v>1142</v>
      </c>
      <c r="B768">
        <v>641</v>
      </c>
      <c r="C768">
        <v>1</v>
      </c>
      <c r="D768" t="s">
        <v>2376</v>
      </c>
      <c r="E768" s="7">
        <v>144140.39</v>
      </c>
      <c r="F768" s="7">
        <v>13.61</v>
      </c>
      <c r="G768">
        <v>21</v>
      </c>
      <c r="H768" t="s">
        <v>1737</v>
      </c>
      <c r="I768" t="s">
        <v>2377</v>
      </c>
      <c r="J768">
        <v>0</v>
      </c>
      <c r="K768" s="9">
        <f t="shared" si="22"/>
        <v>44625</v>
      </c>
      <c r="L768">
        <f t="shared" si="23"/>
        <v>14414039</v>
      </c>
    </row>
    <row r="769" spans="1:12">
      <c r="A769">
        <v>1143</v>
      </c>
      <c r="B769">
        <v>146</v>
      </c>
      <c r="C769">
        <v>1</v>
      </c>
      <c r="D769" t="s">
        <v>2390</v>
      </c>
      <c r="E769" s="7">
        <v>17379.81</v>
      </c>
      <c r="F769" s="7">
        <v>8.78</v>
      </c>
      <c r="G769">
        <v>72</v>
      </c>
      <c r="H769" t="s">
        <v>530</v>
      </c>
      <c r="I769" t="s">
        <v>2377</v>
      </c>
      <c r="J769">
        <v>0</v>
      </c>
      <c r="K769" s="9">
        <f t="shared" si="22"/>
        <v>44554</v>
      </c>
      <c r="L769">
        <f t="shared" si="23"/>
        <v>1737981</v>
      </c>
    </row>
    <row r="770" spans="1:12">
      <c r="A770">
        <v>1144</v>
      </c>
      <c r="B770">
        <v>486</v>
      </c>
      <c r="C770">
        <v>3</v>
      </c>
      <c r="D770" t="s">
        <v>2390</v>
      </c>
      <c r="E770" s="7">
        <v>39799.62</v>
      </c>
      <c r="F770" s="7">
        <v>14.11</v>
      </c>
      <c r="G770">
        <v>41</v>
      </c>
      <c r="H770" t="s">
        <v>644</v>
      </c>
      <c r="I770" t="s">
        <v>2377</v>
      </c>
      <c r="J770">
        <v>0</v>
      </c>
      <c r="K770" s="9">
        <f t="shared" si="22"/>
        <v>45044</v>
      </c>
      <c r="L770">
        <f t="shared" si="23"/>
        <v>3979962</v>
      </c>
    </row>
    <row r="771" spans="1:12">
      <c r="A771">
        <v>1145</v>
      </c>
      <c r="B771">
        <v>218</v>
      </c>
      <c r="C771">
        <v>5</v>
      </c>
      <c r="D771" t="s">
        <v>2376</v>
      </c>
      <c r="E771" s="7">
        <v>119786.72</v>
      </c>
      <c r="F771" s="7">
        <v>11.8</v>
      </c>
      <c r="G771">
        <v>63</v>
      </c>
      <c r="H771" t="s">
        <v>2829</v>
      </c>
      <c r="I771" t="s">
        <v>2377</v>
      </c>
      <c r="J771">
        <v>0</v>
      </c>
      <c r="K771" s="9">
        <f t="shared" ref="K771:K834" si="24">DATEVALUE(LEFT(H771,10))</f>
        <v>43958</v>
      </c>
      <c r="L771">
        <f t="shared" ref="L771:L834" si="25">_xlfn.NUMBERVALUE(E771,".",",")</f>
        <v>11978672</v>
      </c>
    </row>
    <row r="772" spans="1:12">
      <c r="A772">
        <v>1146</v>
      </c>
      <c r="B772">
        <v>429</v>
      </c>
      <c r="C772">
        <v>5</v>
      </c>
      <c r="D772" t="s">
        <v>2385</v>
      </c>
      <c r="E772" s="7">
        <v>8868.43</v>
      </c>
      <c r="F772" s="7">
        <v>10.98</v>
      </c>
      <c r="G772">
        <v>25</v>
      </c>
      <c r="H772" t="s">
        <v>395</v>
      </c>
      <c r="I772" t="s">
        <v>2383</v>
      </c>
      <c r="J772">
        <v>0</v>
      </c>
      <c r="K772" s="9">
        <f t="shared" si="24"/>
        <v>44723</v>
      </c>
      <c r="L772">
        <f t="shared" si="25"/>
        <v>886843</v>
      </c>
    </row>
    <row r="773" spans="1:12">
      <c r="A773">
        <v>1147</v>
      </c>
      <c r="B773">
        <v>209</v>
      </c>
      <c r="C773">
        <v>2</v>
      </c>
      <c r="D773" t="s">
        <v>2379</v>
      </c>
      <c r="E773" s="7">
        <v>10660.36</v>
      </c>
      <c r="F773" s="7">
        <v>14.6</v>
      </c>
      <c r="G773">
        <v>59</v>
      </c>
      <c r="H773" t="s">
        <v>2830</v>
      </c>
      <c r="I773" t="s">
        <v>2377</v>
      </c>
      <c r="J773">
        <v>51</v>
      </c>
      <c r="K773" s="9">
        <f t="shared" si="24"/>
        <v>44039</v>
      </c>
      <c r="L773">
        <f t="shared" si="25"/>
        <v>1066036</v>
      </c>
    </row>
    <row r="774" spans="1:12">
      <c r="A774">
        <v>1148</v>
      </c>
      <c r="B774">
        <v>536</v>
      </c>
      <c r="C774">
        <v>1</v>
      </c>
      <c r="D774" t="s">
        <v>2379</v>
      </c>
      <c r="E774" s="7">
        <v>9599.5</v>
      </c>
      <c r="F774" s="7">
        <v>21.23</v>
      </c>
      <c r="G774">
        <v>46</v>
      </c>
      <c r="H774" t="s">
        <v>2831</v>
      </c>
      <c r="I774" t="s">
        <v>2377</v>
      </c>
      <c r="J774">
        <v>0</v>
      </c>
      <c r="K774" s="9">
        <f t="shared" si="24"/>
        <v>44251</v>
      </c>
      <c r="L774">
        <f t="shared" si="25"/>
        <v>95995</v>
      </c>
    </row>
    <row r="775" spans="1:12">
      <c r="A775">
        <v>1149</v>
      </c>
      <c r="B775">
        <v>509</v>
      </c>
      <c r="C775">
        <v>5</v>
      </c>
      <c r="D775" t="s">
        <v>2376</v>
      </c>
      <c r="E775" s="7">
        <v>92825.93</v>
      </c>
      <c r="F775" s="7">
        <v>12.81</v>
      </c>
      <c r="G775">
        <v>109</v>
      </c>
      <c r="H775" t="s">
        <v>2832</v>
      </c>
      <c r="I775" t="s">
        <v>2377</v>
      </c>
      <c r="J775">
        <v>0</v>
      </c>
      <c r="K775" s="9">
        <f t="shared" si="24"/>
        <v>45614</v>
      </c>
      <c r="L775">
        <f t="shared" si="25"/>
        <v>9282593</v>
      </c>
    </row>
    <row r="776" spans="1:12">
      <c r="A776">
        <v>1150</v>
      </c>
      <c r="B776">
        <v>311</v>
      </c>
      <c r="C776">
        <v>3</v>
      </c>
      <c r="D776" t="s">
        <v>2387</v>
      </c>
      <c r="E776" s="7">
        <v>117561.09</v>
      </c>
      <c r="F776" s="7">
        <v>18.68</v>
      </c>
      <c r="G776">
        <v>257</v>
      </c>
      <c r="H776" t="s">
        <v>2479</v>
      </c>
      <c r="I776" t="s">
        <v>2377</v>
      </c>
      <c r="J776">
        <v>85</v>
      </c>
      <c r="K776" s="9">
        <f t="shared" si="24"/>
        <v>45773</v>
      </c>
      <c r="L776">
        <f t="shared" si="25"/>
        <v>11756109</v>
      </c>
    </row>
    <row r="777" spans="1:12">
      <c r="A777">
        <v>1151</v>
      </c>
      <c r="B777">
        <v>985</v>
      </c>
      <c r="C777">
        <v>4</v>
      </c>
      <c r="D777" t="s">
        <v>2385</v>
      </c>
      <c r="E777" s="7">
        <v>6578.31</v>
      </c>
      <c r="F777" s="7">
        <v>7.39</v>
      </c>
      <c r="G777">
        <v>6</v>
      </c>
      <c r="H777" t="s">
        <v>2833</v>
      </c>
      <c r="I777" t="s">
        <v>2383</v>
      </c>
      <c r="J777">
        <v>0</v>
      </c>
      <c r="K777" s="9">
        <f t="shared" si="24"/>
        <v>44778</v>
      </c>
      <c r="L777">
        <f t="shared" si="25"/>
        <v>657831</v>
      </c>
    </row>
    <row r="778" spans="1:12">
      <c r="A778">
        <v>1152</v>
      </c>
      <c r="B778">
        <v>208</v>
      </c>
      <c r="C778">
        <v>7</v>
      </c>
      <c r="D778" t="s">
        <v>2390</v>
      </c>
      <c r="E778" s="7">
        <v>15217.92</v>
      </c>
      <c r="F778" s="7">
        <v>9.64</v>
      </c>
      <c r="G778">
        <v>45</v>
      </c>
      <c r="H778" t="s">
        <v>2533</v>
      </c>
      <c r="I778" t="s">
        <v>2377</v>
      </c>
      <c r="J778">
        <v>0</v>
      </c>
      <c r="K778" s="9">
        <f t="shared" si="24"/>
        <v>45470</v>
      </c>
      <c r="L778">
        <f t="shared" si="25"/>
        <v>1521792</v>
      </c>
    </row>
    <row r="779" spans="1:12">
      <c r="A779">
        <v>1153</v>
      </c>
      <c r="B779">
        <v>613</v>
      </c>
      <c r="C779">
        <v>5</v>
      </c>
      <c r="D779" t="s">
        <v>2390</v>
      </c>
      <c r="E779" s="7">
        <v>25557.48</v>
      </c>
      <c r="F779" s="7">
        <v>10.66</v>
      </c>
      <c r="G779">
        <v>72</v>
      </c>
      <c r="H779" t="s">
        <v>2382</v>
      </c>
      <c r="I779" t="s">
        <v>2383</v>
      </c>
      <c r="J779">
        <v>0</v>
      </c>
      <c r="K779" s="9">
        <f t="shared" si="24"/>
        <v>44463</v>
      </c>
      <c r="L779">
        <f t="shared" si="25"/>
        <v>2555748</v>
      </c>
    </row>
    <row r="780" spans="1:12">
      <c r="A780">
        <v>1154</v>
      </c>
      <c r="B780">
        <v>827</v>
      </c>
      <c r="C780">
        <v>3</v>
      </c>
      <c r="D780" t="s">
        <v>2385</v>
      </c>
      <c r="E780" s="7">
        <v>4688.64</v>
      </c>
      <c r="F780" s="7">
        <v>20.44</v>
      </c>
      <c r="G780">
        <v>10</v>
      </c>
      <c r="H780" t="s">
        <v>2834</v>
      </c>
      <c r="I780" t="s">
        <v>2377</v>
      </c>
      <c r="J780">
        <v>0</v>
      </c>
      <c r="K780" s="9">
        <f t="shared" si="24"/>
        <v>44568</v>
      </c>
      <c r="L780">
        <f t="shared" si="25"/>
        <v>468864</v>
      </c>
    </row>
    <row r="781" spans="1:12">
      <c r="A781">
        <v>1155</v>
      </c>
      <c r="B781">
        <v>492</v>
      </c>
      <c r="C781">
        <v>4</v>
      </c>
      <c r="D781" t="s">
        <v>2379</v>
      </c>
      <c r="E781" s="7">
        <v>7626.7</v>
      </c>
      <c r="F781" s="7">
        <v>21.3</v>
      </c>
      <c r="G781">
        <v>27</v>
      </c>
      <c r="H781" t="s">
        <v>2835</v>
      </c>
      <c r="I781" t="s">
        <v>2383</v>
      </c>
      <c r="J781">
        <v>0</v>
      </c>
      <c r="K781" s="9">
        <f t="shared" si="24"/>
        <v>44533</v>
      </c>
      <c r="L781">
        <f t="shared" si="25"/>
        <v>76267</v>
      </c>
    </row>
    <row r="782" spans="1:12">
      <c r="A782">
        <v>1156</v>
      </c>
      <c r="B782">
        <v>612</v>
      </c>
      <c r="C782">
        <v>6</v>
      </c>
      <c r="D782" t="s">
        <v>2376</v>
      </c>
      <c r="E782" s="7">
        <v>33566.31</v>
      </c>
      <c r="F782" s="7">
        <v>9.43</v>
      </c>
      <c r="G782">
        <v>96</v>
      </c>
      <c r="H782" t="s">
        <v>2836</v>
      </c>
      <c r="I782" t="s">
        <v>2383</v>
      </c>
      <c r="J782">
        <v>0</v>
      </c>
      <c r="K782" s="9">
        <f t="shared" si="24"/>
        <v>45301</v>
      </c>
      <c r="L782">
        <f t="shared" si="25"/>
        <v>3356631</v>
      </c>
    </row>
    <row r="783" spans="1:12">
      <c r="A783">
        <v>1157</v>
      </c>
      <c r="B783">
        <v>140</v>
      </c>
      <c r="C783">
        <v>1</v>
      </c>
      <c r="D783" t="s">
        <v>2379</v>
      </c>
      <c r="E783" s="7">
        <v>13931.06</v>
      </c>
      <c r="F783" s="7">
        <v>21.98</v>
      </c>
      <c r="G783">
        <v>39</v>
      </c>
      <c r="H783" t="s">
        <v>2530</v>
      </c>
      <c r="I783" t="s">
        <v>2377</v>
      </c>
      <c r="J783">
        <v>0</v>
      </c>
      <c r="K783" s="9">
        <f t="shared" si="24"/>
        <v>44604</v>
      </c>
      <c r="L783">
        <f t="shared" si="25"/>
        <v>1393106</v>
      </c>
    </row>
    <row r="784" spans="1:12">
      <c r="A784">
        <v>1158</v>
      </c>
      <c r="B784">
        <v>299</v>
      </c>
      <c r="C784">
        <v>7</v>
      </c>
      <c r="D784" t="s">
        <v>2376</v>
      </c>
      <c r="E784" s="7">
        <v>126625.71</v>
      </c>
      <c r="F784" s="7">
        <v>21.97</v>
      </c>
      <c r="G784">
        <v>57</v>
      </c>
      <c r="H784" t="s">
        <v>1098</v>
      </c>
      <c r="I784" t="s">
        <v>2377</v>
      </c>
      <c r="J784">
        <v>0</v>
      </c>
      <c r="K784" s="9">
        <f t="shared" si="24"/>
        <v>44931</v>
      </c>
      <c r="L784">
        <f t="shared" si="25"/>
        <v>12662571</v>
      </c>
    </row>
    <row r="785" spans="1:12">
      <c r="A785">
        <v>1159</v>
      </c>
      <c r="B785">
        <v>44</v>
      </c>
      <c r="C785">
        <v>5</v>
      </c>
      <c r="D785" t="s">
        <v>2390</v>
      </c>
      <c r="E785" s="7">
        <v>29833.81</v>
      </c>
      <c r="F785" s="7">
        <v>15.45</v>
      </c>
      <c r="G785">
        <v>75</v>
      </c>
      <c r="H785" t="s">
        <v>2837</v>
      </c>
      <c r="I785" t="s">
        <v>2377</v>
      </c>
      <c r="J785">
        <v>0</v>
      </c>
      <c r="K785" s="9">
        <f t="shared" si="24"/>
        <v>44460</v>
      </c>
      <c r="L785">
        <f t="shared" si="25"/>
        <v>2983381</v>
      </c>
    </row>
    <row r="786" spans="1:12">
      <c r="A786">
        <v>1160</v>
      </c>
      <c r="B786">
        <v>308</v>
      </c>
      <c r="C786">
        <v>6</v>
      </c>
      <c r="D786" t="s">
        <v>2379</v>
      </c>
      <c r="E786" s="7">
        <v>11041.32</v>
      </c>
      <c r="F786" s="7">
        <v>18.76</v>
      </c>
      <c r="G786">
        <v>18</v>
      </c>
      <c r="H786" t="s">
        <v>2487</v>
      </c>
      <c r="I786" t="s">
        <v>2377</v>
      </c>
      <c r="J786">
        <v>0</v>
      </c>
      <c r="K786" s="9">
        <f t="shared" si="24"/>
        <v>44922</v>
      </c>
      <c r="L786">
        <f t="shared" si="25"/>
        <v>1104132</v>
      </c>
    </row>
    <row r="787" spans="1:12">
      <c r="A787">
        <v>1161</v>
      </c>
      <c r="B787">
        <v>295</v>
      </c>
      <c r="C787">
        <v>3</v>
      </c>
      <c r="D787" t="s">
        <v>2376</v>
      </c>
      <c r="E787" s="7">
        <v>82286.22</v>
      </c>
      <c r="F787" s="7">
        <v>13.92</v>
      </c>
      <c r="G787">
        <v>59</v>
      </c>
      <c r="H787" t="s">
        <v>158</v>
      </c>
      <c r="I787" t="s">
        <v>2377</v>
      </c>
      <c r="J787">
        <v>0</v>
      </c>
      <c r="K787" s="9">
        <f t="shared" si="24"/>
        <v>43923</v>
      </c>
      <c r="L787">
        <f t="shared" si="25"/>
        <v>8228622</v>
      </c>
    </row>
    <row r="788" spans="1:12">
      <c r="A788">
        <v>1162</v>
      </c>
      <c r="B788">
        <v>400</v>
      </c>
      <c r="C788">
        <v>5</v>
      </c>
      <c r="D788" t="s">
        <v>2390</v>
      </c>
      <c r="E788" s="7">
        <v>36808.82</v>
      </c>
      <c r="F788" s="7">
        <v>20.93</v>
      </c>
      <c r="G788">
        <v>52</v>
      </c>
      <c r="H788" t="s">
        <v>974</v>
      </c>
      <c r="I788" t="s">
        <v>2377</v>
      </c>
      <c r="J788">
        <v>0</v>
      </c>
      <c r="K788" s="9">
        <f t="shared" si="24"/>
        <v>44494</v>
      </c>
      <c r="L788">
        <f t="shared" si="25"/>
        <v>3680882</v>
      </c>
    </row>
    <row r="789" spans="1:12">
      <c r="A789">
        <v>1163</v>
      </c>
      <c r="B789">
        <v>857</v>
      </c>
      <c r="C789">
        <v>4</v>
      </c>
      <c r="D789" t="s">
        <v>2390</v>
      </c>
      <c r="E789" s="7">
        <v>38705.02</v>
      </c>
      <c r="F789" s="7">
        <v>14.77</v>
      </c>
      <c r="G789">
        <v>48</v>
      </c>
      <c r="H789" t="s">
        <v>1179</v>
      </c>
      <c r="I789" t="s">
        <v>2377</v>
      </c>
      <c r="J789">
        <v>0</v>
      </c>
      <c r="K789" s="9">
        <f t="shared" si="24"/>
        <v>44545</v>
      </c>
      <c r="L789">
        <f t="shared" si="25"/>
        <v>3870502</v>
      </c>
    </row>
    <row r="790" spans="1:12">
      <c r="A790">
        <v>1164</v>
      </c>
      <c r="B790">
        <v>166</v>
      </c>
      <c r="C790">
        <v>6</v>
      </c>
      <c r="D790" t="s">
        <v>2379</v>
      </c>
      <c r="E790" s="7">
        <v>12787.15</v>
      </c>
      <c r="F790" s="7">
        <v>20.8</v>
      </c>
      <c r="G790">
        <v>49</v>
      </c>
      <c r="H790" t="s">
        <v>2096</v>
      </c>
      <c r="I790" t="s">
        <v>2383</v>
      </c>
      <c r="J790">
        <v>0</v>
      </c>
      <c r="K790" s="9">
        <f t="shared" si="24"/>
        <v>44182</v>
      </c>
      <c r="L790">
        <f t="shared" si="25"/>
        <v>1278715</v>
      </c>
    </row>
    <row r="791" spans="1:12">
      <c r="A791">
        <v>1165</v>
      </c>
      <c r="B791">
        <v>593</v>
      </c>
      <c r="C791">
        <v>6</v>
      </c>
      <c r="D791" t="s">
        <v>2379</v>
      </c>
      <c r="E791" s="7">
        <v>5190.52</v>
      </c>
      <c r="F791" s="7">
        <v>13.88</v>
      </c>
      <c r="G791">
        <v>52</v>
      </c>
      <c r="H791" t="s">
        <v>2792</v>
      </c>
      <c r="I791" t="s">
        <v>2377</v>
      </c>
      <c r="J791">
        <v>0</v>
      </c>
      <c r="K791" s="9">
        <f t="shared" si="24"/>
        <v>45024</v>
      </c>
      <c r="L791">
        <f t="shared" si="25"/>
        <v>519052</v>
      </c>
    </row>
    <row r="792" spans="1:12">
      <c r="A792">
        <v>1166</v>
      </c>
      <c r="B792">
        <v>443</v>
      </c>
      <c r="C792">
        <v>2</v>
      </c>
      <c r="D792" t="s">
        <v>2379</v>
      </c>
      <c r="E792" s="7">
        <v>9156.15</v>
      </c>
      <c r="F792" s="7">
        <v>14.38</v>
      </c>
      <c r="G792">
        <v>23</v>
      </c>
      <c r="H792" t="s">
        <v>987</v>
      </c>
      <c r="I792" t="s">
        <v>2377</v>
      </c>
      <c r="J792">
        <v>0</v>
      </c>
      <c r="K792" s="9">
        <f t="shared" si="24"/>
        <v>45123</v>
      </c>
      <c r="L792">
        <f t="shared" si="25"/>
        <v>915615</v>
      </c>
    </row>
    <row r="793" spans="1:12">
      <c r="A793">
        <v>1167</v>
      </c>
      <c r="B793">
        <v>164</v>
      </c>
      <c r="C793">
        <v>1</v>
      </c>
      <c r="D793" t="s">
        <v>2387</v>
      </c>
      <c r="E793" s="7">
        <v>151515.39</v>
      </c>
      <c r="F793" s="7">
        <v>11.53</v>
      </c>
      <c r="G793">
        <v>270</v>
      </c>
      <c r="H793" t="s">
        <v>2838</v>
      </c>
      <c r="I793" t="s">
        <v>2377</v>
      </c>
      <c r="J793">
        <v>0</v>
      </c>
      <c r="K793" s="9">
        <f t="shared" si="24"/>
        <v>45637</v>
      </c>
      <c r="L793">
        <f t="shared" si="25"/>
        <v>15151539</v>
      </c>
    </row>
    <row r="794" spans="1:12">
      <c r="A794">
        <v>1168</v>
      </c>
      <c r="B794">
        <v>461</v>
      </c>
      <c r="C794">
        <v>6</v>
      </c>
      <c r="D794" t="s">
        <v>2390</v>
      </c>
      <c r="E794" s="7">
        <v>18274.06</v>
      </c>
      <c r="F794" s="7">
        <v>12.71</v>
      </c>
      <c r="G794">
        <v>38</v>
      </c>
      <c r="H794" t="s">
        <v>2709</v>
      </c>
      <c r="I794" t="s">
        <v>2377</v>
      </c>
      <c r="J794">
        <v>0</v>
      </c>
      <c r="K794" s="9">
        <f t="shared" si="24"/>
        <v>44274</v>
      </c>
      <c r="L794">
        <f t="shared" si="25"/>
        <v>1827406</v>
      </c>
    </row>
    <row r="795" spans="1:12">
      <c r="A795">
        <v>1169</v>
      </c>
      <c r="B795">
        <v>977</v>
      </c>
      <c r="C795">
        <v>1</v>
      </c>
      <c r="D795" t="s">
        <v>2379</v>
      </c>
      <c r="E795" s="7">
        <v>11715.79</v>
      </c>
      <c r="F795" s="7">
        <v>14.04</v>
      </c>
      <c r="G795">
        <v>59</v>
      </c>
      <c r="H795" t="s">
        <v>1948</v>
      </c>
      <c r="I795" t="s">
        <v>2377</v>
      </c>
      <c r="J795">
        <v>0</v>
      </c>
      <c r="K795" s="9">
        <f t="shared" si="24"/>
        <v>44536</v>
      </c>
      <c r="L795">
        <f t="shared" si="25"/>
        <v>1171579</v>
      </c>
    </row>
    <row r="796" spans="1:12">
      <c r="A796">
        <v>1170</v>
      </c>
      <c r="B796">
        <v>414</v>
      </c>
      <c r="C796">
        <v>5</v>
      </c>
      <c r="D796" t="s">
        <v>2385</v>
      </c>
      <c r="E796" s="7">
        <v>3217.27</v>
      </c>
      <c r="F796" s="7">
        <v>8.72</v>
      </c>
      <c r="G796">
        <v>34</v>
      </c>
      <c r="H796" t="s">
        <v>2839</v>
      </c>
      <c r="I796" t="s">
        <v>2377</v>
      </c>
      <c r="J796">
        <v>0</v>
      </c>
      <c r="K796" s="9">
        <f t="shared" si="24"/>
        <v>43918</v>
      </c>
      <c r="L796">
        <f t="shared" si="25"/>
        <v>321727</v>
      </c>
    </row>
    <row r="797" spans="1:12">
      <c r="A797">
        <v>1171</v>
      </c>
      <c r="B797">
        <v>218</v>
      </c>
      <c r="C797">
        <v>5</v>
      </c>
      <c r="D797" t="s">
        <v>2390</v>
      </c>
      <c r="E797" s="7">
        <v>23010.24</v>
      </c>
      <c r="F797" s="7">
        <v>19.09</v>
      </c>
      <c r="G797">
        <v>35</v>
      </c>
      <c r="H797" t="s">
        <v>2840</v>
      </c>
      <c r="I797" t="s">
        <v>2377</v>
      </c>
      <c r="J797">
        <v>86</v>
      </c>
      <c r="K797" s="9">
        <f t="shared" si="24"/>
        <v>45073</v>
      </c>
      <c r="L797">
        <f t="shared" si="25"/>
        <v>2301024</v>
      </c>
    </row>
    <row r="798" spans="1:12">
      <c r="A798">
        <v>1172</v>
      </c>
      <c r="B798">
        <v>621</v>
      </c>
      <c r="C798">
        <v>4</v>
      </c>
      <c r="D798" t="s">
        <v>2387</v>
      </c>
      <c r="E798" s="7">
        <v>196430.32</v>
      </c>
      <c r="F798" s="7">
        <v>11.95</v>
      </c>
      <c r="G798">
        <v>315</v>
      </c>
      <c r="H798" t="s">
        <v>203</v>
      </c>
      <c r="I798" t="s">
        <v>2377</v>
      </c>
      <c r="J798">
        <v>0</v>
      </c>
      <c r="K798" s="9">
        <f t="shared" si="24"/>
        <v>43933</v>
      </c>
      <c r="L798">
        <f t="shared" si="25"/>
        <v>19643032</v>
      </c>
    </row>
    <row r="799" spans="1:12">
      <c r="A799">
        <v>1173</v>
      </c>
      <c r="B799">
        <v>348</v>
      </c>
      <c r="C799">
        <v>7</v>
      </c>
      <c r="D799" t="s">
        <v>2390</v>
      </c>
      <c r="E799" s="7">
        <v>10669.63</v>
      </c>
      <c r="F799" s="7">
        <v>10.76</v>
      </c>
      <c r="G799">
        <v>83</v>
      </c>
      <c r="H799" t="s">
        <v>2748</v>
      </c>
      <c r="I799" t="s">
        <v>2377</v>
      </c>
      <c r="J799">
        <v>85</v>
      </c>
      <c r="K799" s="9">
        <f t="shared" si="24"/>
        <v>43834</v>
      </c>
      <c r="L799">
        <f t="shared" si="25"/>
        <v>1066963</v>
      </c>
    </row>
    <row r="800" spans="1:12">
      <c r="A800">
        <v>1174</v>
      </c>
      <c r="B800">
        <v>580</v>
      </c>
      <c r="C800">
        <v>2</v>
      </c>
      <c r="D800" t="s">
        <v>2379</v>
      </c>
      <c r="E800" s="7">
        <v>14205.21</v>
      </c>
      <c r="F800" s="7">
        <v>13.73</v>
      </c>
      <c r="G800">
        <v>31</v>
      </c>
      <c r="H800" t="s">
        <v>2841</v>
      </c>
      <c r="I800" t="s">
        <v>2383</v>
      </c>
      <c r="J800">
        <v>0</v>
      </c>
      <c r="K800" s="9">
        <f t="shared" si="24"/>
        <v>45192</v>
      </c>
      <c r="L800">
        <f t="shared" si="25"/>
        <v>1420521</v>
      </c>
    </row>
    <row r="801" spans="1:12">
      <c r="A801">
        <v>1175</v>
      </c>
      <c r="B801">
        <v>791</v>
      </c>
      <c r="C801">
        <v>1</v>
      </c>
      <c r="D801" t="s">
        <v>2390</v>
      </c>
      <c r="E801" s="7">
        <v>17050.61</v>
      </c>
      <c r="F801" s="7">
        <v>5.46</v>
      </c>
      <c r="G801">
        <v>74</v>
      </c>
      <c r="H801" t="s">
        <v>2080</v>
      </c>
      <c r="I801" t="s">
        <v>2393</v>
      </c>
      <c r="J801">
        <v>153</v>
      </c>
      <c r="K801" s="9">
        <f t="shared" si="24"/>
        <v>44870</v>
      </c>
      <c r="L801">
        <f t="shared" si="25"/>
        <v>1705061</v>
      </c>
    </row>
    <row r="802" spans="1:12">
      <c r="A802">
        <v>1176</v>
      </c>
      <c r="B802">
        <v>880</v>
      </c>
      <c r="C802">
        <v>3</v>
      </c>
      <c r="D802" t="s">
        <v>2385</v>
      </c>
      <c r="E802" s="7">
        <v>3795.54</v>
      </c>
      <c r="F802" s="7">
        <v>16.93</v>
      </c>
      <c r="G802">
        <v>28</v>
      </c>
      <c r="H802" t="s">
        <v>1685</v>
      </c>
      <c r="I802" t="s">
        <v>2377</v>
      </c>
      <c r="J802">
        <v>0</v>
      </c>
      <c r="K802" s="9">
        <f t="shared" si="24"/>
        <v>45418</v>
      </c>
      <c r="L802">
        <f t="shared" si="25"/>
        <v>379554</v>
      </c>
    </row>
    <row r="803" spans="1:12">
      <c r="A803">
        <v>1177</v>
      </c>
      <c r="B803">
        <v>607</v>
      </c>
      <c r="C803">
        <v>5</v>
      </c>
      <c r="D803" t="s">
        <v>2387</v>
      </c>
      <c r="E803" s="7">
        <v>82104.27</v>
      </c>
      <c r="F803" s="7">
        <v>5.65</v>
      </c>
      <c r="G803">
        <v>211</v>
      </c>
      <c r="H803" t="s">
        <v>1735</v>
      </c>
      <c r="I803" t="s">
        <v>2377</v>
      </c>
      <c r="J803">
        <v>0</v>
      </c>
      <c r="K803" s="9">
        <f t="shared" si="24"/>
        <v>44208</v>
      </c>
      <c r="L803">
        <f t="shared" si="25"/>
        <v>8210427</v>
      </c>
    </row>
    <row r="804" spans="1:12">
      <c r="A804">
        <v>1178</v>
      </c>
      <c r="B804">
        <v>49</v>
      </c>
      <c r="C804">
        <v>6</v>
      </c>
      <c r="D804" t="s">
        <v>2376</v>
      </c>
      <c r="E804" s="7">
        <v>120393.58</v>
      </c>
      <c r="F804" s="7">
        <v>7.61</v>
      </c>
      <c r="G804">
        <v>22</v>
      </c>
      <c r="H804" t="s">
        <v>472</v>
      </c>
      <c r="I804" t="s">
        <v>2377</v>
      </c>
      <c r="J804">
        <v>0</v>
      </c>
      <c r="K804" s="9">
        <f t="shared" si="24"/>
        <v>45299</v>
      </c>
      <c r="L804">
        <f t="shared" si="25"/>
        <v>12039358</v>
      </c>
    </row>
    <row r="805" spans="1:12">
      <c r="A805">
        <v>1179</v>
      </c>
      <c r="B805">
        <v>555</v>
      </c>
      <c r="C805">
        <v>7</v>
      </c>
      <c r="D805" t="s">
        <v>2390</v>
      </c>
      <c r="E805" s="7">
        <v>28972.62</v>
      </c>
      <c r="F805" s="7">
        <v>14.67</v>
      </c>
      <c r="G805">
        <v>50</v>
      </c>
      <c r="H805" t="s">
        <v>2842</v>
      </c>
      <c r="I805" t="s">
        <v>2377</v>
      </c>
      <c r="J805">
        <v>0</v>
      </c>
      <c r="K805" s="9">
        <f t="shared" si="24"/>
        <v>44561</v>
      </c>
      <c r="L805">
        <f t="shared" si="25"/>
        <v>2897262</v>
      </c>
    </row>
    <row r="806" spans="1:12">
      <c r="A806">
        <v>1180</v>
      </c>
      <c r="B806">
        <v>291</v>
      </c>
      <c r="C806">
        <v>7</v>
      </c>
      <c r="D806" t="s">
        <v>2390</v>
      </c>
      <c r="E806" s="7">
        <v>32174.13</v>
      </c>
      <c r="F806" s="7">
        <v>18.47</v>
      </c>
      <c r="G806">
        <v>26</v>
      </c>
      <c r="H806" t="s">
        <v>2843</v>
      </c>
      <c r="I806" t="s">
        <v>2377</v>
      </c>
      <c r="J806">
        <v>0</v>
      </c>
      <c r="K806" s="9">
        <f t="shared" si="24"/>
        <v>44149</v>
      </c>
      <c r="L806">
        <f t="shared" si="25"/>
        <v>3217413</v>
      </c>
    </row>
    <row r="807" spans="1:12">
      <c r="A807">
        <v>1181</v>
      </c>
      <c r="B807">
        <v>615</v>
      </c>
      <c r="C807">
        <v>1</v>
      </c>
      <c r="D807" t="s">
        <v>2376</v>
      </c>
      <c r="E807" s="7">
        <v>62315.24</v>
      </c>
      <c r="F807" s="7">
        <v>16.93</v>
      </c>
      <c r="G807">
        <v>68</v>
      </c>
      <c r="H807" t="s">
        <v>2844</v>
      </c>
      <c r="I807" t="s">
        <v>2393</v>
      </c>
      <c r="J807">
        <v>320</v>
      </c>
      <c r="K807" s="9">
        <f t="shared" si="24"/>
        <v>45696</v>
      </c>
      <c r="L807">
        <f t="shared" si="25"/>
        <v>6231524</v>
      </c>
    </row>
    <row r="808" spans="1:12">
      <c r="A808">
        <v>1182</v>
      </c>
      <c r="B808">
        <v>236</v>
      </c>
      <c r="C808">
        <v>1</v>
      </c>
      <c r="D808" t="s">
        <v>2387</v>
      </c>
      <c r="E808" s="7">
        <v>190970.02</v>
      </c>
      <c r="F808" s="7">
        <v>9.24</v>
      </c>
      <c r="G808">
        <v>163</v>
      </c>
      <c r="H808" t="s">
        <v>1833</v>
      </c>
      <c r="I808" t="s">
        <v>2377</v>
      </c>
      <c r="J808">
        <v>0</v>
      </c>
      <c r="K808" s="9">
        <f t="shared" si="24"/>
        <v>45079</v>
      </c>
      <c r="L808">
        <f t="shared" si="25"/>
        <v>19097002</v>
      </c>
    </row>
    <row r="809" spans="1:12">
      <c r="A809">
        <v>1183</v>
      </c>
      <c r="B809">
        <v>229</v>
      </c>
      <c r="C809">
        <v>5</v>
      </c>
      <c r="D809" t="s">
        <v>2387</v>
      </c>
      <c r="E809" s="7">
        <v>79379.01</v>
      </c>
      <c r="F809" s="7">
        <v>7.63</v>
      </c>
      <c r="G809">
        <v>184</v>
      </c>
      <c r="H809" t="s">
        <v>2680</v>
      </c>
      <c r="I809" t="s">
        <v>2377</v>
      </c>
      <c r="J809">
        <v>0</v>
      </c>
      <c r="K809" s="9">
        <f t="shared" si="24"/>
        <v>45802</v>
      </c>
      <c r="L809">
        <f t="shared" si="25"/>
        <v>7937901</v>
      </c>
    </row>
    <row r="810" spans="1:12">
      <c r="A810">
        <v>1184</v>
      </c>
      <c r="B810">
        <v>466</v>
      </c>
      <c r="C810">
        <v>2</v>
      </c>
      <c r="D810" t="s">
        <v>2385</v>
      </c>
      <c r="E810" s="7">
        <v>4516.24</v>
      </c>
      <c r="F810" s="7">
        <v>10.89</v>
      </c>
      <c r="G810">
        <v>30</v>
      </c>
      <c r="H810" t="s">
        <v>776</v>
      </c>
      <c r="I810" t="s">
        <v>2383</v>
      </c>
      <c r="J810">
        <v>0</v>
      </c>
      <c r="K810" s="9">
        <f t="shared" si="24"/>
        <v>45062</v>
      </c>
      <c r="L810">
        <f t="shared" si="25"/>
        <v>451624</v>
      </c>
    </row>
    <row r="811" spans="1:12">
      <c r="A811">
        <v>1185</v>
      </c>
      <c r="B811">
        <v>664</v>
      </c>
      <c r="C811">
        <v>3</v>
      </c>
      <c r="D811" t="s">
        <v>2379</v>
      </c>
      <c r="E811" s="7">
        <v>2368.64</v>
      </c>
      <c r="F811" s="7">
        <v>19.53</v>
      </c>
      <c r="G811">
        <v>39</v>
      </c>
      <c r="H811" t="s">
        <v>1824</v>
      </c>
      <c r="I811" t="s">
        <v>2377</v>
      </c>
      <c r="J811">
        <v>0</v>
      </c>
      <c r="K811" s="9">
        <f t="shared" si="24"/>
        <v>45157</v>
      </c>
      <c r="L811">
        <f t="shared" si="25"/>
        <v>236864</v>
      </c>
    </row>
    <row r="812" spans="1:12">
      <c r="A812">
        <v>1186</v>
      </c>
      <c r="B812">
        <v>791</v>
      </c>
      <c r="C812">
        <v>1</v>
      </c>
      <c r="D812" t="s">
        <v>2390</v>
      </c>
      <c r="E812" s="7">
        <v>27046.23</v>
      </c>
      <c r="F812" s="7">
        <v>18.92</v>
      </c>
      <c r="G812">
        <v>60</v>
      </c>
      <c r="H812" t="s">
        <v>2672</v>
      </c>
      <c r="I812" t="s">
        <v>2377</v>
      </c>
      <c r="J812">
        <v>0</v>
      </c>
      <c r="K812" s="9">
        <f t="shared" si="24"/>
        <v>45810</v>
      </c>
      <c r="L812">
        <f t="shared" si="25"/>
        <v>2704623</v>
      </c>
    </row>
    <row r="813" spans="1:12">
      <c r="A813">
        <v>1187</v>
      </c>
      <c r="B813">
        <v>520</v>
      </c>
      <c r="C813">
        <v>7</v>
      </c>
      <c r="D813" t="s">
        <v>2390</v>
      </c>
      <c r="E813" s="7">
        <v>38441.65</v>
      </c>
      <c r="F813" s="7">
        <v>21.1</v>
      </c>
      <c r="G813">
        <v>42</v>
      </c>
      <c r="H813" t="s">
        <v>401</v>
      </c>
      <c r="I813" t="s">
        <v>2393</v>
      </c>
      <c r="J813">
        <v>217</v>
      </c>
      <c r="K813" s="9">
        <f t="shared" si="24"/>
        <v>44112</v>
      </c>
      <c r="L813">
        <f t="shared" si="25"/>
        <v>3844165</v>
      </c>
    </row>
    <row r="814" spans="1:12">
      <c r="A814">
        <v>1188</v>
      </c>
      <c r="B814">
        <v>81</v>
      </c>
      <c r="C814">
        <v>4</v>
      </c>
      <c r="D814" t="s">
        <v>2376</v>
      </c>
      <c r="E814" s="7">
        <v>117274.3</v>
      </c>
      <c r="F814" s="7">
        <v>5.82</v>
      </c>
      <c r="G814">
        <v>49</v>
      </c>
      <c r="H814" t="s">
        <v>2845</v>
      </c>
      <c r="I814" t="s">
        <v>2383</v>
      </c>
      <c r="J814">
        <v>0</v>
      </c>
      <c r="K814" s="9">
        <f t="shared" si="24"/>
        <v>44920</v>
      </c>
      <c r="L814">
        <f t="shared" si="25"/>
        <v>1172743</v>
      </c>
    </row>
    <row r="815" spans="1:12">
      <c r="A815">
        <v>1189</v>
      </c>
      <c r="B815">
        <v>502</v>
      </c>
      <c r="C815">
        <v>3</v>
      </c>
      <c r="D815" t="s">
        <v>2376</v>
      </c>
      <c r="E815" s="7">
        <v>39870.52</v>
      </c>
      <c r="F815" s="7">
        <v>5.61</v>
      </c>
      <c r="G815">
        <v>72</v>
      </c>
      <c r="H815" t="s">
        <v>2846</v>
      </c>
      <c r="I815" t="s">
        <v>2377</v>
      </c>
      <c r="J815">
        <v>0</v>
      </c>
      <c r="K815" s="9">
        <f t="shared" si="24"/>
        <v>45658</v>
      </c>
      <c r="L815">
        <f t="shared" si="25"/>
        <v>3987052</v>
      </c>
    </row>
    <row r="816" spans="1:12">
      <c r="A816">
        <v>1190</v>
      </c>
      <c r="B816">
        <v>225</v>
      </c>
      <c r="C816">
        <v>4</v>
      </c>
      <c r="D816" t="s">
        <v>2379</v>
      </c>
      <c r="E816" s="7">
        <v>9364.83</v>
      </c>
      <c r="F816" s="7">
        <v>6.52</v>
      </c>
      <c r="G816">
        <v>49</v>
      </c>
      <c r="H816" t="s">
        <v>2718</v>
      </c>
      <c r="I816" t="s">
        <v>2377</v>
      </c>
      <c r="J816">
        <v>0</v>
      </c>
      <c r="K816" s="9">
        <f t="shared" si="24"/>
        <v>44113</v>
      </c>
      <c r="L816">
        <f t="shared" si="25"/>
        <v>936483</v>
      </c>
    </row>
    <row r="817" spans="1:12">
      <c r="A817">
        <v>1191</v>
      </c>
      <c r="B817">
        <v>416</v>
      </c>
      <c r="C817">
        <v>6</v>
      </c>
      <c r="D817" t="s">
        <v>2385</v>
      </c>
      <c r="E817" s="7">
        <v>9247.33</v>
      </c>
      <c r="F817" s="7">
        <v>18.22</v>
      </c>
      <c r="G817">
        <v>28</v>
      </c>
      <c r="H817" t="s">
        <v>2847</v>
      </c>
      <c r="I817" t="s">
        <v>2377</v>
      </c>
      <c r="J817">
        <v>0</v>
      </c>
      <c r="K817" s="9">
        <f t="shared" si="24"/>
        <v>44808</v>
      </c>
      <c r="L817">
        <f t="shared" si="25"/>
        <v>924733</v>
      </c>
    </row>
    <row r="818" spans="1:12">
      <c r="A818">
        <v>1192</v>
      </c>
      <c r="B818">
        <v>744</v>
      </c>
      <c r="C818">
        <v>4</v>
      </c>
      <c r="D818" t="s">
        <v>2390</v>
      </c>
      <c r="E818" s="7">
        <v>35072.77</v>
      </c>
      <c r="F818" s="7">
        <v>20.36</v>
      </c>
      <c r="G818">
        <v>82</v>
      </c>
      <c r="H818" t="s">
        <v>2848</v>
      </c>
      <c r="I818" t="s">
        <v>2377</v>
      </c>
      <c r="J818">
        <v>0</v>
      </c>
      <c r="K818" s="9">
        <f t="shared" si="24"/>
        <v>44239</v>
      </c>
      <c r="L818">
        <f t="shared" si="25"/>
        <v>3507277</v>
      </c>
    </row>
    <row r="819" spans="1:12">
      <c r="A819">
        <v>1193</v>
      </c>
      <c r="B819">
        <v>639</v>
      </c>
      <c r="C819">
        <v>4</v>
      </c>
      <c r="D819" t="s">
        <v>2379</v>
      </c>
      <c r="E819" s="7">
        <v>3150.54</v>
      </c>
      <c r="F819" s="7">
        <v>17.39</v>
      </c>
      <c r="G819">
        <v>41</v>
      </c>
      <c r="H819" t="s">
        <v>2849</v>
      </c>
      <c r="I819" t="s">
        <v>2393</v>
      </c>
      <c r="J819">
        <v>333</v>
      </c>
      <c r="K819" s="9">
        <f t="shared" si="24"/>
        <v>44380</v>
      </c>
      <c r="L819">
        <f t="shared" si="25"/>
        <v>315054</v>
      </c>
    </row>
    <row r="820" spans="1:12">
      <c r="A820">
        <v>1194</v>
      </c>
      <c r="B820">
        <v>63</v>
      </c>
      <c r="C820">
        <v>4</v>
      </c>
      <c r="D820" t="s">
        <v>2387</v>
      </c>
      <c r="E820" s="7">
        <v>164571.85</v>
      </c>
      <c r="F820" s="7">
        <v>6.49</v>
      </c>
      <c r="G820">
        <v>216</v>
      </c>
      <c r="H820" t="s">
        <v>2850</v>
      </c>
      <c r="I820" t="s">
        <v>2377</v>
      </c>
      <c r="J820">
        <v>0</v>
      </c>
      <c r="K820" s="9">
        <f t="shared" si="24"/>
        <v>44161</v>
      </c>
      <c r="L820">
        <f t="shared" si="25"/>
        <v>16457185</v>
      </c>
    </row>
    <row r="821" spans="1:12">
      <c r="A821">
        <v>1195</v>
      </c>
      <c r="B821">
        <v>980</v>
      </c>
      <c r="C821">
        <v>5</v>
      </c>
      <c r="D821" t="s">
        <v>2376</v>
      </c>
      <c r="E821" s="7">
        <v>82698.38</v>
      </c>
      <c r="F821" s="7">
        <v>14.1</v>
      </c>
      <c r="G821">
        <v>25</v>
      </c>
      <c r="H821" t="s">
        <v>367</v>
      </c>
      <c r="I821" t="s">
        <v>2377</v>
      </c>
      <c r="J821">
        <v>0</v>
      </c>
      <c r="K821" s="9">
        <f t="shared" si="24"/>
        <v>43980</v>
      </c>
      <c r="L821">
        <f t="shared" si="25"/>
        <v>8269838</v>
      </c>
    </row>
    <row r="822" spans="1:12">
      <c r="A822">
        <v>1196</v>
      </c>
      <c r="B822">
        <v>245</v>
      </c>
      <c r="C822">
        <v>4</v>
      </c>
      <c r="D822" t="s">
        <v>2385</v>
      </c>
      <c r="E822" s="7">
        <v>5501.88</v>
      </c>
      <c r="F822" s="7">
        <v>6.94</v>
      </c>
      <c r="G822">
        <v>34</v>
      </c>
      <c r="H822" t="s">
        <v>2638</v>
      </c>
      <c r="I822" t="s">
        <v>2377</v>
      </c>
      <c r="J822">
        <v>0</v>
      </c>
      <c r="K822" s="9">
        <f t="shared" si="24"/>
        <v>45421</v>
      </c>
      <c r="L822">
        <f t="shared" si="25"/>
        <v>550188</v>
      </c>
    </row>
    <row r="823" spans="1:12">
      <c r="A823">
        <v>1197</v>
      </c>
      <c r="B823">
        <v>11</v>
      </c>
      <c r="C823">
        <v>2</v>
      </c>
      <c r="D823" t="s">
        <v>2376</v>
      </c>
      <c r="E823" s="7">
        <v>80436.15</v>
      </c>
      <c r="F823" s="7">
        <v>12.04</v>
      </c>
      <c r="G823">
        <v>100</v>
      </c>
      <c r="H823" t="s">
        <v>2851</v>
      </c>
      <c r="I823" t="s">
        <v>2377</v>
      </c>
      <c r="J823">
        <v>0</v>
      </c>
      <c r="K823" s="9">
        <f t="shared" si="24"/>
        <v>45754</v>
      </c>
      <c r="L823">
        <f t="shared" si="25"/>
        <v>8043615</v>
      </c>
    </row>
    <row r="824" spans="1:12">
      <c r="A824">
        <v>1198</v>
      </c>
      <c r="B824">
        <v>929</v>
      </c>
      <c r="C824">
        <v>7</v>
      </c>
      <c r="D824" t="s">
        <v>2379</v>
      </c>
      <c r="E824" s="7">
        <v>2884.83</v>
      </c>
      <c r="F824" s="7">
        <v>16.08</v>
      </c>
      <c r="G824">
        <v>52</v>
      </c>
      <c r="H824" t="s">
        <v>2852</v>
      </c>
      <c r="I824" t="s">
        <v>2377</v>
      </c>
      <c r="J824">
        <v>0</v>
      </c>
      <c r="K824" s="9">
        <f t="shared" si="24"/>
        <v>45170</v>
      </c>
      <c r="L824">
        <f t="shared" si="25"/>
        <v>288483</v>
      </c>
    </row>
    <row r="825" spans="1:12">
      <c r="A825">
        <v>1199</v>
      </c>
      <c r="B825">
        <v>105</v>
      </c>
      <c r="C825">
        <v>5</v>
      </c>
      <c r="D825" t="s">
        <v>2390</v>
      </c>
      <c r="E825" s="7">
        <v>11045</v>
      </c>
      <c r="F825" s="7">
        <v>9.72</v>
      </c>
      <c r="G825">
        <v>50</v>
      </c>
      <c r="H825" t="s">
        <v>2797</v>
      </c>
      <c r="I825" t="s">
        <v>2393</v>
      </c>
      <c r="J825">
        <v>332</v>
      </c>
      <c r="K825" s="9">
        <f t="shared" si="24"/>
        <v>45151</v>
      </c>
      <c r="L825">
        <f t="shared" si="25"/>
        <v>11045</v>
      </c>
    </row>
    <row r="826" spans="1:12">
      <c r="A826">
        <v>1200</v>
      </c>
      <c r="B826">
        <v>466</v>
      </c>
      <c r="C826">
        <v>2</v>
      </c>
      <c r="D826" t="s">
        <v>2379</v>
      </c>
      <c r="E826" s="7">
        <v>9279.05</v>
      </c>
      <c r="F826" s="7">
        <v>6.12</v>
      </c>
      <c r="G826">
        <v>51</v>
      </c>
      <c r="H826" t="s">
        <v>2211</v>
      </c>
      <c r="I826" t="s">
        <v>2383</v>
      </c>
      <c r="J826">
        <v>0</v>
      </c>
      <c r="K826" s="9">
        <f t="shared" si="24"/>
        <v>44986</v>
      </c>
      <c r="L826">
        <f t="shared" si="25"/>
        <v>927905</v>
      </c>
    </row>
    <row r="827" spans="1:12">
      <c r="A827">
        <v>1201</v>
      </c>
      <c r="B827">
        <v>73</v>
      </c>
      <c r="C827">
        <v>6</v>
      </c>
      <c r="D827" t="s">
        <v>2376</v>
      </c>
      <c r="E827" s="7">
        <v>49731.75</v>
      </c>
      <c r="F827" s="7">
        <v>13.53</v>
      </c>
      <c r="G827">
        <v>35</v>
      </c>
      <c r="H827" t="s">
        <v>2799</v>
      </c>
      <c r="I827" t="s">
        <v>2377</v>
      </c>
      <c r="J827">
        <v>0</v>
      </c>
      <c r="K827" s="9">
        <f t="shared" si="24"/>
        <v>44077</v>
      </c>
      <c r="L827">
        <f t="shared" si="25"/>
        <v>4973175</v>
      </c>
    </row>
    <row r="828" spans="1:12">
      <c r="A828">
        <v>1202</v>
      </c>
      <c r="B828">
        <v>908</v>
      </c>
      <c r="C828">
        <v>3</v>
      </c>
      <c r="D828" t="s">
        <v>2390</v>
      </c>
      <c r="E828" s="7">
        <v>27741.64</v>
      </c>
      <c r="F828" s="7">
        <v>8.18</v>
      </c>
      <c r="G828">
        <v>83</v>
      </c>
      <c r="H828" t="s">
        <v>2571</v>
      </c>
      <c r="I828" t="s">
        <v>2377</v>
      </c>
      <c r="J828">
        <v>0</v>
      </c>
      <c r="K828" s="9">
        <f t="shared" si="24"/>
        <v>45319</v>
      </c>
      <c r="L828">
        <f t="shared" si="25"/>
        <v>2774164</v>
      </c>
    </row>
    <row r="829" spans="1:12">
      <c r="A829">
        <v>1203</v>
      </c>
      <c r="B829">
        <v>350</v>
      </c>
      <c r="C829">
        <v>5</v>
      </c>
      <c r="D829" t="s">
        <v>2390</v>
      </c>
      <c r="E829" s="7">
        <v>27893.46</v>
      </c>
      <c r="F829" s="7">
        <v>11.66</v>
      </c>
      <c r="G829">
        <v>46</v>
      </c>
      <c r="H829" t="s">
        <v>2599</v>
      </c>
      <c r="I829" t="s">
        <v>2377</v>
      </c>
      <c r="J829">
        <v>0</v>
      </c>
      <c r="K829" s="9">
        <f t="shared" si="24"/>
        <v>44734</v>
      </c>
      <c r="L829">
        <f t="shared" si="25"/>
        <v>2789346</v>
      </c>
    </row>
    <row r="830" spans="1:12">
      <c r="A830">
        <v>1204</v>
      </c>
      <c r="B830">
        <v>476</v>
      </c>
      <c r="C830">
        <v>2</v>
      </c>
      <c r="D830" t="s">
        <v>2390</v>
      </c>
      <c r="E830" s="7">
        <v>9800.12</v>
      </c>
      <c r="F830" s="7">
        <v>13.16</v>
      </c>
      <c r="G830">
        <v>63</v>
      </c>
      <c r="H830" t="s">
        <v>2853</v>
      </c>
      <c r="I830" t="s">
        <v>2383</v>
      </c>
      <c r="J830">
        <v>0</v>
      </c>
      <c r="K830" s="9">
        <f t="shared" si="24"/>
        <v>44901</v>
      </c>
      <c r="L830">
        <f t="shared" si="25"/>
        <v>980012</v>
      </c>
    </row>
    <row r="831" spans="1:12">
      <c r="A831">
        <v>1205</v>
      </c>
      <c r="B831">
        <v>550</v>
      </c>
      <c r="C831">
        <v>1</v>
      </c>
      <c r="D831" t="s">
        <v>2376</v>
      </c>
      <c r="E831" s="7">
        <v>138727.68</v>
      </c>
      <c r="F831" s="7">
        <v>11.24</v>
      </c>
      <c r="G831">
        <v>50</v>
      </c>
      <c r="H831" t="s">
        <v>1108</v>
      </c>
      <c r="I831" t="s">
        <v>2393</v>
      </c>
      <c r="J831">
        <v>242</v>
      </c>
      <c r="K831" s="9">
        <f t="shared" si="24"/>
        <v>45385</v>
      </c>
      <c r="L831">
        <f t="shared" si="25"/>
        <v>13872768</v>
      </c>
    </row>
    <row r="832" spans="1:12">
      <c r="A832">
        <v>1206</v>
      </c>
      <c r="B832">
        <v>631</v>
      </c>
      <c r="C832">
        <v>6</v>
      </c>
      <c r="D832" t="s">
        <v>2379</v>
      </c>
      <c r="E832" s="7">
        <v>14233.44</v>
      </c>
      <c r="F832" s="7">
        <v>15.64</v>
      </c>
      <c r="G832">
        <v>10</v>
      </c>
      <c r="H832" t="s">
        <v>1542</v>
      </c>
      <c r="I832" t="s">
        <v>2377</v>
      </c>
      <c r="J832">
        <v>0</v>
      </c>
      <c r="K832" s="9">
        <f t="shared" si="24"/>
        <v>43869</v>
      </c>
      <c r="L832">
        <f t="shared" si="25"/>
        <v>1423344</v>
      </c>
    </row>
    <row r="833" spans="1:12">
      <c r="A833">
        <v>1207</v>
      </c>
      <c r="B833">
        <v>233</v>
      </c>
      <c r="C833">
        <v>1</v>
      </c>
      <c r="D833" t="s">
        <v>2376</v>
      </c>
      <c r="E833" s="7">
        <v>59233.34</v>
      </c>
      <c r="F833" s="7">
        <v>8.99</v>
      </c>
      <c r="G833">
        <v>116</v>
      </c>
      <c r="H833" t="s">
        <v>1668</v>
      </c>
      <c r="I833" t="s">
        <v>2377</v>
      </c>
      <c r="J833">
        <v>0</v>
      </c>
      <c r="K833" s="9">
        <f t="shared" si="24"/>
        <v>44867</v>
      </c>
      <c r="L833">
        <f t="shared" si="25"/>
        <v>5923334</v>
      </c>
    </row>
    <row r="834" spans="1:12">
      <c r="A834">
        <v>1208</v>
      </c>
      <c r="B834">
        <v>549</v>
      </c>
      <c r="C834">
        <v>4</v>
      </c>
      <c r="D834" t="s">
        <v>2390</v>
      </c>
      <c r="E834" s="7">
        <v>17118.71</v>
      </c>
      <c r="F834" s="7">
        <v>21.69</v>
      </c>
      <c r="G834">
        <v>76</v>
      </c>
      <c r="H834" t="s">
        <v>2854</v>
      </c>
      <c r="I834" t="s">
        <v>2377</v>
      </c>
      <c r="J834">
        <v>0</v>
      </c>
      <c r="K834" s="9">
        <f t="shared" si="24"/>
        <v>45148</v>
      </c>
      <c r="L834">
        <f t="shared" si="25"/>
        <v>1711871</v>
      </c>
    </row>
    <row r="835" spans="1:12">
      <c r="A835">
        <v>1209</v>
      </c>
      <c r="B835">
        <v>618</v>
      </c>
      <c r="C835">
        <v>4</v>
      </c>
      <c r="D835" t="s">
        <v>2390</v>
      </c>
      <c r="E835" s="7">
        <v>39053.5</v>
      </c>
      <c r="F835" s="7">
        <v>21.35</v>
      </c>
      <c r="G835">
        <v>45</v>
      </c>
      <c r="H835" t="s">
        <v>2855</v>
      </c>
      <c r="I835" t="s">
        <v>2393</v>
      </c>
      <c r="J835">
        <v>254</v>
      </c>
      <c r="K835" s="9">
        <f t="shared" ref="K835:K898" si="26">DATEVALUE(LEFT(H835,10))</f>
        <v>45126</v>
      </c>
      <c r="L835">
        <f t="shared" ref="L835:L898" si="27">_xlfn.NUMBERVALUE(E835,".",",")</f>
        <v>390535</v>
      </c>
    </row>
    <row r="836" spans="1:12">
      <c r="A836">
        <v>1210</v>
      </c>
      <c r="B836">
        <v>845</v>
      </c>
      <c r="C836">
        <v>5</v>
      </c>
      <c r="D836" t="s">
        <v>2390</v>
      </c>
      <c r="E836" s="7">
        <v>30689.01</v>
      </c>
      <c r="F836" s="7">
        <v>11.99</v>
      </c>
      <c r="G836">
        <v>24</v>
      </c>
      <c r="H836" t="s">
        <v>2856</v>
      </c>
      <c r="I836" t="s">
        <v>2377</v>
      </c>
      <c r="J836">
        <v>0</v>
      </c>
      <c r="K836" s="9">
        <f t="shared" si="26"/>
        <v>44749</v>
      </c>
      <c r="L836">
        <f t="shared" si="27"/>
        <v>3068901</v>
      </c>
    </row>
    <row r="837" spans="1:12">
      <c r="A837">
        <v>1211</v>
      </c>
      <c r="B837">
        <v>269</v>
      </c>
      <c r="C837">
        <v>1</v>
      </c>
      <c r="D837" t="s">
        <v>2376</v>
      </c>
      <c r="E837" s="7">
        <v>23286.73</v>
      </c>
      <c r="F837" s="7">
        <v>21.94</v>
      </c>
      <c r="G837">
        <v>108</v>
      </c>
      <c r="H837" t="s">
        <v>2857</v>
      </c>
      <c r="I837" t="s">
        <v>2377</v>
      </c>
      <c r="J837">
        <v>82</v>
      </c>
      <c r="K837" s="9">
        <f t="shared" si="26"/>
        <v>45329</v>
      </c>
      <c r="L837">
        <f t="shared" si="27"/>
        <v>2328673</v>
      </c>
    </row>
    <row r="838" spans="1:12">
      <c r="A838">
        <v>1212</v>
      </c>
      <c r="B838">
        <v>199</v>
      </c>
      <c r="C838">
        <v>7</v>
      </c>
      <c r="D838" t="s">
        <v>2390</v>
      </c>
      <c r="E838" s="7">
        <v>19163.96</v>
      </c>
      <c r="F838" s="7">
        <v>21.84</v>
      </c>
      <c r="G838">
        <v>49</v>
      </c>
      <c r="H838" t="s">
        <v>878</v>
      </c>
      <c r="I838" t="s">
        <v>2377</v>
      </c>
      <c r="J838">
        <v>0</v>
      </c>
      <c r="K838" s="9">
        <f t="shared" si="26"/>
        <v>44760</v>
      </c>
      <c r="L838">
        <f t="shared" si="27"/>
        <v>1916396</v>
      </c>
    </row>
    <row r="839" spans="1:12">
      <c r="A839">
        <v>1213</v>
      </c>
      <c r="B839">
        <v>916</v>
      </c>
      <c r="C839">
        <v>6</v>
      </c>
      <c r="D839" t="s">
        <v>2390</v>
      </c>
      <c r="E839" s="7">
        <v>26813.91</v>
      </c>
      <c r="F839" s="7">
        <v>20.48</v>
      </c>
      <c r="G839">
        <v>63</v>
      </c>
      <c r="H839" t="s">
        <v>2858</v>
      </c>
      <c r="I839" t="s">
        <v>2377</v>
      </c>
      <c r="J839">
        <v>1</v>
      </c>
      <c r="K839" s="9">
        <f t="shared" si="26"/>
        <v>44960</v>
      </c>
      <c r="L839">
        <f t="shared" si="27"/>
        <v>2681391</v>
      </c>
    </row>
    <row r="840" spans="1:12">
      <c r="A840">
        <v>1214</v>
      </c>
      <c r="B840">
        <v>973</v>
      </c>
      <c r="C840">
        <v>6</v>
      </c>
      <c r="D840" t="s">
        <v>2379</v>
      </c>
      <c r="E840" s="7">
        <v>14627.79</v>
      </c>
      <c r="F840" s="7">
        <v>13</v>
      </c>
      <c r="G840">
        <v>49</v>
      </c>
      <c r="H840" t="s">
        <v>2859</v>
      </c>
      <c r="I840" t="s">
        <v>2393</v>
      </c>
      <c r="J840">
        <v>175</v>
      </c>
      <c r="K840" s="9">
        <f t="shared" si="26"/>
        <v>45471</v>
      </c>
      <c r="L840">
        <f t="shared" si="27"/>
        <v>1462779</v>
      </c>
    </row>
    <row r="841" spans="1:12">
      <c r="A841">
        <v>1215</v>
      </c>
      <c r="B841">
        <v>776</v>
      </c>
      <c r="C841">
        <v>3</v>
      </c>
      <c r="D841" t="s">
        <v>2385</v>
      </c>
      <c r="E841" s="7">
        <v>4323.97</v>
      </c>
      <c r="F841" s="7">
        <v>5.11</v>
      </c>
      <c r="G841">
        <v>18</v>
      </c>
      <c r="H841" t="s">
        <v>2860</v>
      </c>
      <c r="I841" t="s">
        <v>2377</v>
      </c>
      <c r="J841">
        <v>0</v>
      </c>
      <c r="K841" s="9">
        <f t="shared" si="26"/>
        <v>44914</v>
      </c>
      <c r="L841">
        <f t="shared" si="27"/>
        <v>432397</v>
      </c>
    </row>
    <row r="842" spans="1:12">
      <c r="A842">
        <v>1216</v>
      </c>
      <c r="B842">
        <v>709</v>
      </c>
      <c r="C842">
        <v>1</v>
      </c>
      <c r="D842" t="s">
        <v>2390</v>
      </c>
      <c r="E842" s="7">
        <v>28347.36</v>
      </c>
      <c r="F842" s="7">
        <v>19.4</v>
      </c>
      <c r="G842">
        <v>45</v>
      </c>
      <c r="H842" t="s">
        <v>2855</v>
      </c>
      <c r="I842" t="s">
        <v>2377</v>
      </c>
      <c r="J842">
        <v>0</v>
      </c>
      <c r="K842" s="9">
        <f t="shared" si="26"/>
        <v>45126</v>
      </c>
      <c r="L842">
        <f t="shared" si="27"/>
        <v>2834736</v>
      </c>
    </row>
    <row r="843" spans="1:12">
      <c r="A843">
        <v>1217</v>
      </c>
      <c r="B843">
        <v>592</v>
      </c>
      <c r="C843">
        <v>6</v>
      </c>
      <c r="D843" t="s">
        <v>2387</v>
      </c>
      <c r="E843" s="7">
        <v>105227.01</v>
      </c>
      <c r="F843" s="7">
        <v>5.94</v>
      </c>
      <c r="G843">
        <v>159</v>
      </c>
      <c r="H843" t="s">
        <v>2589</v>
      </c>
      <c r="I843" t="s">
        <v>2383</v>
      </c>
      <c r="J843">
        <v>0</v>
      </c>
      <c r="K843" s="9">
        <f t="shared" si="26"/>
        <v>44502</v>
      </c>
      <c r="L843">
        <f t="shared" si="27"/>
        <v>10522701</v>
      </c>
    </row>
    <row r="844" spans="1:12">
      <c r="A844">
        <v>1218</v>
      </c>
      <c r="B844">
        <v>999</v>
      </c>
      <c r="C844">
        <v>6</v>
      </c>
      <c r="D844" t="s">
        <v>2379</v>
      </c>
      <c r="E844" s="7">
        <v>14574.66</v>
      </c>
      <c r="F844" s="7">
        <v>18.81</v>
      </c>
      <c r="G844">
        <v>36</v>
      </c>
      <c r="H844" t="s">
        <v>2508</v>
      </c>
      <c r="I844" t="s">
        <v>2383</v>
      </c>
      <c r="J844">
        <v>0</v>
      </c>
      <c r="K844" s="9">
        <f t="shared" si="26"/>
        <v>45668</v>
      </c>
      <c r="L844">
        <f t="shared" si="27"/>
        <v>1457466</v>
      </c>
    </row>
    <row r="845" spans="1:12">
      <c r="A845">
        <v>1219</v>
      </c>
      <c r="B845">
        <v>509</v>
      </c>
      <c r="C845">
        <v>5</v>
      </c>
      <c r="D845" t="s">
        <v>2387</v>
      </c>
      <c r="E845" s="7">
        <v>99051.25</v>
      </c>
      <c r="F845" s="7">
        <v>12.11</v>
      </c>
      <c r="G845">
        <v>319</v>
      </c>
      <c r="H845" t="s">
        <v>907</v>
      </c>
      <c r="I845" t="s">
        <v>2383</v>
      </c>
      <c r="J845">
        <v>0</v>
      </c>
      <c r="K845" s="9">
        <f t="shared" si="26"/>
        <v>44773</v>
      </c>
      <c r="L845">
        <f t="shared" si="27"/>
        <v>9905125</v>
      </c>
    </row>
    <row r="846" spans="1:12">
      <c r="A846">
        <v>1220</v>
      </c>
      <c r="B846">
        <v>304</v>
      </c>
      <c r="C846">
        <v>1</v>
      </c>
      <c r="D846" t="s">
        <v>2387</v>
      </c>
      <c r="E846" s="7">
        <v>73179.73</v>
      </c>
      <c r="F846" s="7">
        <v>10.11</v>
      </c>
      <c r="G846">
        <v>355</v>
      </c>
      <c r="H846" t="s">
        <v>917</v>
      </c>
      <c r="I846" t="s">
        <v>2377</v>
      </c>
      <c r="J846">
        <v>0</v>
      </c>
      <c r="K846" s="9">
        <f t="shared" si="26"/>
        <v>44387</v>
      </c>
      <c r="L846">
        <f t="shared" si="27"/>
        <v>7317973</v>
      </c>
    </row>
    <row r="847" spans="1:12">
      <c r="A847">
        <v>1221</v>
      </c>
      <c r="B847">
        <v>254</v>
      </c>
      <c r="C847">
        <v>1</v>
      </c>
      <c r="D847" t="s">
        <v>2387</v>
      </c>
      <c r="E847" s="7">
        <v>134653.55</v>
      </c>
      <c r="F847" s="7">
        <v>10.81</v>
      </c>
      <c r="G847">
        <v>293</v>
      </c>
      <c r="H847" t="s">
        <v>2861</v>
      </c>
      <c r="I847" t="s">
        <v>2377</v>
      </c>
      <c r="J847">
        <v>0</v>
      </c>
      <c r="K847" s="9">
        <f t="shared" si="26"/>
        <v>45796</v>
      </c>
      <c r="L847">
        <f t="shared" si="27"/>
        <v>13465355</v>
      </c>
    </row>
    <row r="848" spans="1:12">
      <c r="A848">
        <v>1222</v>
      </c>
      <c r="B848">
        <v>690</v>
      </c>
      <c r="C848">
        <v>1</v>
      </c>
      <c r="D848" t="s">
        <v>2390</v>
      </c>
      <c r="E848" s="7">
        <v>18117.26</v>
      </c>
      <c r="F848" s="7">
        <v>21.38</v>
      </c>
      <c r="G848">
        <v>80</v>
      </c>
      <c r="H848" t="s">
        <v>2862</v>
      </c>
      <c r="I848" t="s">
        <v>2393</v>
      </c>
      <c r="J848">
        <v>202</v>
      </c>
      <c r="K848" s="9">
        <f t="shared" si="26"/>
        <v>44313</v>
      </c>
      <c r="L848">
        <f t="shared" si="27"/>
        <v>1811726</v>
      </c>
    </row>
    <row r="849" spans="1:12">
      <c r="A849">
        <v>1223</v>
      </c>
      <c r="B849">
        <v>12</v>
      </c>
      <c r="C849">
        <v>6</v>
      </c>
      <c r="D849" t="s">
        <v>2390</v>
      </c>
      <c r="E849" s="7">
        <v>9120.98</v>
      </c>
      <c r="F849" s="7">
        <v>5.92</v>
      </c>
      <c r="G849">
        <v>37</v>
      </c>
      <c r="H849" t="s">
        <v>2863</v>
      </c>
      <c r="I849" t="s">
        <v>2377</v>
      </c>
      <c r="J849">
        <v>0</v>
      </c>
      <c r="K849" s="9">
        <f t="shared" si="26"/>
        <v>45508</v>
      </c>
      <c r="L849">
        <f t="shared" si="27"/>
        <v>912098</v>
      </c>
    </row>
    <row r="850" spans="1:12">
      <c r="A850">
        <v>1224</v>
      </c>
      <c r="B850">
        <v>308</v>
      </c>
      <c r="C850">
        <v>6</v>
      </c>
      <c r="D850" t="s">
        <v>2390</v>
      </c>
      <c r="E850" s="7">
        <v>26307.93</v>
      </c>
      <c r="F850" s="7">
        <v>15.97</v>
      </c>
      <c r="G850">
        <v>46</v>
      </c>
      <c r="H850" t="s">
        <v>2864</v>
      </c>
      <c r="I850" t="s">
        <v>2383</v>
      </c>
      <c r="J850">
        <v>0</v>
      </c>
      <c r="K850" s="9">
        <f t="shared" si="26"/>
        <v>44983</v>
      </c>
      <c r="L850">
        <f t="shared" si="27"/>
        <v>2630793</v>
      </c>
    </row>
    <row r="851" spans="1:12">
      <c r="A851">
        <v>1225</v>
      </c>
      <c r="B851">
        <v>589</v>
      </c>
      <c r="C851">
        <v>1</v>
      </c>
      <c r="D851" t="s">
        <v>2385</v>
      </c>
      <c r="E851" s="7">
        <v>5842.47</v>
      </c>
      <c r="F851" s="7">
        <v>10.29</v>
      </c>
      <c r="G851">
        <v>13</v>
      </c>
      <c r="H851" t="s">
        <v>2860</v>
      </c>
      <c r="I851" t="s">
        <v>2377</v>
      </c>
      <c r="J851">
        <v>50</v>
      </c>
      <c r="K851" s="9">
        <f t="shared" si="26"/>
        <v>44914</v>
      </c>
      <c r="L851">
        <f t="shared" si="27"/>
        <v>584247</v>
      </c>
    </row>
    <row r="852" spans="1:12">
      <c r="A852">
        <v>1226</v>
      </c>
      <c r="B852">
        <v>817</v>
      </c>
      <c r="C852">
        <v>7</v>
      </c>
      <c r="D852" t="s">
        <v>2390</v>
      </c>
      <c r="E852" s="7">
        <v>16792.38</v>
      </c>
      <c r="F852" s="7">
        <v>16.2</v>
      </c>
      <c r="G852">
        <v>71</v>
      </c>
      <c r="H852" t="s">
        <v>1524</v>
      </c>
      <c r="I852" t="s">
        <v>2377</v>
      </c>
      <c r="J852">
        <v>0</v>
      </c>
      <c r="K852" s="9">
        <f t="shared" si="26"/>
        <v>44615</v>
      </c>
      <c r="L852">
        <f t="shared" si="27"/>
        <v>1679238</v>
      </c>
    </row>
    <row r="853" spans="1:12">
      <c r="A853">
        <v>1227</v>
      </c>
      <c r="B853">
        <v>333</v>
      </c>
      <c r="C853">
        <v>5</v>
      </c>
      <c r="D853" t="s">
        <v>2387</v>
      </c>
      <c r="E853" s="7">
        <v>80933.46</v>
      </c>
      <c r="F853" s="7">
        <v>6.92</v>
      </c>
      <c r="G853">
        <v>205</v>
      </c>
      <c r="H853" t="s">
        <v>412</v>
      </c>
      <c r="I853" t="s">
        <v>2377</v>
      </c>
      <c r="J853">
        <v>0</v>
      </c>
      <c r="K853" s="9">
        <f t="shared" si="26"/>
        <v>43920</v>
      </c>
      <c r="L853">
        <f t="shared" si="27"/>
        <v>8093346</v>
      </c>
    </row>
    <row r="854" spans="1:12">
      <c r="A854">
        <v>1228</v>
      </c>
      <c r="B854">
        <v>477</v>
      </c>
      <c r="C854">
        <v>1</v>
      </c>
      <c r="D854" t="s">
        <v>2387</v>
      </c>
      <c r="E854" s="7">
        <v>64608.91</v>
      </c>
      <c r="F854" s="7">
        <v>14.4</v>
      </c>
      <c r="G854">
        <v>356</v>
      </c>
      <c r="H854" t="s">
        <v>2029</v>
      </c>
      <c r="I854" t="s">
        <v>2383</v>
      </c>
      <c r="J854">
        <v>0</v>
      </c>
      <c r="K854" s="9">
        <f t="shared" si="26"/>
        <v>44439</v>
      </c>
      <c r="L854">
        <f t="shared" si="27"/>
        <v>6460891</v>
      </c>
    </row>
    <row r="855" spans="1:12">
      <c r="A855">
        <v>1229</v>
      </c>
      <c r="B855">
        <v>600</v>
      </c>
      <c r="C855">
        <v>3</v>
      </c>
      <c r="D855" t="s">
        <v>2385</v>
      </c>
      <c r="E855" s="7">
        <v>5991.42</v>
      </c>
      <c r="F855" s="7">
        <v>13.56</v>
      </c>
      <c r="G855">
        <v>13</v>
      </c>
      <c r="H855" t="s">
        <v>2865</v>
      </c>
      <c r="I855" t="s">
        <v>2393</v>
      </c>
      <c r="J855">
        <v>355</v>
      </c>
      <c r="K855" s="9">
        <f t="shared" si="26"/>
        <v>44991</v>
      </c>
      <c r="L855">
        <f t="shared" si="27"/>
        <v>599142</v>
      </c>
    </row>
    <row r="856" spans="1:12">
      <c r="A856">
        <v>1230</v>
      </c>
      <c r="B856">
        <v>829</v>
      </c>
      <c r="C856">
        <v>2</v>
      </c>
      <c r="D856" t="s">
        <v>2379</v>
      </c>
      <c r="E856" s="7">
        <v>5337.09</v>
      </c>
      <c r="F856" s="7">
        <v>17.12</v>
      </c>
      <c r="G856">
        <v>7</v>
      </c>
      <c r="H856" t="s">
        <v>627</v>
      </c>
      <c r="I856" t="s">
        <v>2383</v>
      </c>
      <c r="J856">
        <v>0</v>
      </c>
      <c r="K856" s="9">
        <f t="shared" si="26"/>
        <v>44286</v>
      </c>
      <c r="L856">
        <f t="shared" si="27"/>
        <v>533709</v>
      </c>
    </row>
    <row r="857" spans="1:12">
      <c r="A857">
        <v>1231</v>
      </c>
      <c r="B857">
        <v>264</v>
      </c>
      <c r="C857">
        <v>3</v>
      </c>
      <c r="D857" t="s">
        <v>2379</v>
      </c>
      <c r="E857" s="7">
        <v>7994.88</v>
      </c>
      <c r="F857" s="7">
        <v>17.43</v>
      </c>
      <c r="G857">
        <v>48</v>
      </c>
      <c r="H857" t="s">
        <v>1896</v>
      </c>
      <c r="I857" t="s">
        <v>2377</v>
      </c>
      <c r="J857">
        <v>0</v>
      </c>
      <c r="K857" s="9">
        <f t="shared" si="26"/>
        <v>45354</v>
      </c>
      <c r="L857">
        <f t="shared" si="27"/>
        <v>799488</v>
      </c>
    </row>
    <row r="858" spans="1:12">
      <c r="A858">
        <v>1232</v>
      </c>
      <c r="B858">
        <v>150</v>
      </c>
      <c r="C858">
        <v>2</v>
      </c>
      <c r="D858" t="s">
        <v>2390</v>
      </c>
      <c r="E858" s="7">
        <v>30363.04</v>
      </c>
      <c r="F858" s="7">
        <v>10.07</v>
      </c>
      <c r="G858">
        <v>45</v>
      </c>
      <c r="H858" t="s">
        <v>2866</v>
      </c>
      <c r="I858" t="s">
        <v>2377</v>
      </c>
      <c r="J858">
        <v>0</v>
      </c>
      <c r="K858" s="9">
        <f t="shared" si="26"/>
        <v>44017</v>
      </c>
      <c r="L858">
        <f t="shared" si="27"/>
        <v>3036304</v>
      </c>
    </row>
    <row r="859" spans="1:12">
      <c r="A859">
        <v>1233</v>
      </c>
      <c r="B859">
        <v>157</v>
      </c>
      <c r="C859">
        <v>3</v>
      </c>
      <c r="D859" t="s">
        <v>2379</v>
      </c>
      <c r="E859" s="7">
        <v>13641.19</v>
      </c>
      <c r="F859" s="7">
        <v>10.1</v>
      </c>
      <c r="G859">
        <v>34</v>
      </c>
      <c r="H859" t="s">
        <v>2867</v>
      </c>
      <c r="I859" t="s">
        <v>2377</v>
      </c>
      <c r="J859">
        <v>0</v>
      </c>
      <c r="K859" s="9">
        <f t="shared" si="26"/>
        <v>44306</v>
      </c>
      <c r="L859">
        <f t="shared" si="27"/>
        <v>1364119</v>
      </c>
    </row>
    <row r="860" spans="1:12">
      <c r="A860">
        <v>1234</v>
      </c>
      <c r="B860">
        <v>143</v>
      </c>
      <c r="C860">
        <v>3</v>
      </c>
      <c r="D860" t="s">
        <v>2385</v>
      </c>
      <c r="E860" s="7">
        <v>5243.87</v>
      </c>
      <c r="F860" s="7">
        <v>6.16</v>
      </c>
      <c r="G860">
        <v>12</v>
      </c>
      <c r="H860" t="s">
        <v>26</v>
      </c>
      <c r="I860" t="s">
        <v>2383</v>
      </c>
      <c r="J860">
        <v>0</v>
      </c>
      <c r="K860" s="9">
        <f t="shared" si="26"/>
        <v>44513</v>
      </c>
      <c r="L860">
        <f t="shared" si="27"/>
        <v>524387</v>
      </c>
    </row>
    <row r="861" spans="1:12">
      <c r="A861">
        <v>1235</v>
      </c>
      <c r="B861">
        <v>935</v>
      </c>
      <c r="C861">
        <v>1</v>
      </c>
      <c r="D861" t="s">
        <v>2390</v>
      </c>
      <c r="E861" s="7">
        <v>39234.36</v>
      </c>
      <c r="F861" s="7">
        <v>19.09</v>
      </c>
      <c r="G861">
        <v>78</v>
      </c>
      <c r="H861" t="s">
        <v>2662</v>
      </c>
      <c r="I861" t="s">
        <v>2377</v>
      </c>
      <c r="J861">
        <v>0</v>
      </c>
      <c r="K861" s="9">
        <f t="shared" si="26"/>
        <v>45328</v>
      </c>
      <c r="L861">
        <f t="shared" si="27"/>
        <v>3923436</v>
      </c>
    </row>
    <row r="862" spans="1:12">
      <c r="A862">
        <v>1236</v>
      </c>
      <c r="B862">
        <v>889</v>
      </c>
      <c r="C862">
        <v>3</v>
      </c>
      <c r="D862" t="s">
        <v>2385</v>
      </c>
      <c r="E862" s="7">
        <v>5909.87</v>
      </c>
      <c r="F862" s="7">
        <v>14.47</v>
      </c>
      <c r="G862">
        <v>34</v>
      </c>
      <c r="H862" t="s">
        <v>2868</v>
      </c>
      <c r="I862" t="s">
        <v>2377</v>
      </c>
      <c r="J862">
        <v>0</v>
      </c>
      <c r="K862" s="9">
        <f t="shared" si="26"/>
        <v>45028</v>
      </c>
      <c r="L862">
        <f t="shared" si="27"/>
        <v>590987</v>
      </c>
    </row>
    <row r="863" spans="1:12">
      <c r="A863">
        <v>1237</v>
      </c>
      <c r="B863">
        <v>121</v>
      </c>
      <c r="C863">
        <v>1</v>
      </c>
      <c r="D863" t="s">
        <v>2379</v>
      </c>
      <c r="E863" s="7">
        <v>7165.33</v>
      </c>
      <c r="F863" s="7">
        <v>10.49</v>
      </c>
      <c r="G863">
        <v>51</v>
      </c>
      <c r="H863" t="s">
        <v>2869</v>
      </c>
      <c r="I863" t="s">
        <v>2377</v>
      </c>
      <c r="J863">
        <v>0</v>
      </c>
      <c r="K863" s="9">
        <f t="shared" si="26"/>
        <v>45738</v>
      </c>
      <c r="L863">
        <f t="shared" si="27"/>
        <v>716533</v>
      </c>
    </row>
    <row r="864" spans="1:12">
      <c r="A864">
        <v>1238</v>
      </c>
      <c r="B864">
        <v>406</v>
      </c>
      <c r="C864">
        <v>6</v>
      </c>
      <c r="D864" t="s">
        <v>2379</v>
      </c>
      <c r="E864" s="7">
        <v>14985.84</v>
      </c>
      <c r="F864" s="7">
        <v>18.59</v>
      </c>
      <c r="G864">
        <v>6</v>
      </c>
      <c r="H864" t="s">
        <v>2870</v>
      </c>
      <c r="I864" t="s">
        <v>2377</v>
      </c>
      <c r="J864">
        <v>0</v>
      </c>
      <c r="K864" s="9">
        <f t="shared" si="26"/>
        <v>44029</v>
      </c>
      <c r="L864">
        <f t="shared" si="27"/>
        <v>1498584</v>
      </c>
    </row>
    <row r="865" spans="1:12">
      <c r="A865">
        <v>1239</v>
      </c>
      <c r="B865">
        <v>350</v>
      </c>
      <c r="C865">
        <v>5</v>
      </c>
      <c r="D865" t="s">
        <v>2390</v>
      </c>
      <c r="E865" s="7">
        <v>27637.47</v>
      </c>
      <c r="F865" s="7">
        <v>5.75</v>
      </c>
      <c r="G865">
        <v>35</v>
      </c>
      <c r="H865" t="s">
        <v>920</v>
      </c>
      <c r="I865" t="s">
        <v>2377</v>
      </c>
      <c r="J865">
        <v>0</v>
      </c>
      <c r="K865" s="9">
        <f t="shared" si="26"/>
        <v>44361</v>
      </c>
      <c r="L865">
        <f t="shared" si="27"/>
        <v>2763747</v>
      </c>
    </row>
    <row r="866" spans="1:12">
      <c r="A866">
        <v>1240</v>
      </c>
      <c r="B866">
        <v>143</v>
      </c>
      <c r="C866">
        <v>3</v>
      </c>
      <c r="D866" t="s">
        <v>2390</v>
      </c>
      <c r="E866" s="7">
        <v>34888.31</v>
      </c>
      <c r="F866" s="7">
        <v>20.24</v>
      </c>
      <c r="G866">
        <v>29</v>
      </c>
      <c r="H866" t="s">
        <v>721</v>
      </c>
      <c r="I866" t="s">
        <v>2377</v>
      </c>
      <c r="J866">
        <v>0</v>
      </c>
      <c r="K866" s="9">
        <f t="shared" si="26"/>
        <v>44746</v>
      </c>
      <c r="L866">
        <f t="shared" si="27"/>
        <v>3488831</v>
      </c>
    </row>
    <row r="867" spans="1:12">
      <c r="A867">
        <v>1241</v>
      </c>
      <c r="B867">
        <v>659</v>
      </c>
      <c r="C867">
        <v>2</v>
      </c>
      <c r="D867" t="s">
        <v>2390</v>
      </c>
      <c r="E867" s="7">
        <v>18971.99</v>
      </c>
      <c r="F867" s="7">
        <v>5.31</v>
      </c>
      <c r="G867">
        <v>57</v>
      </c>
      <c r="H867" t="s">
        <v>2871</v>
      </c>
      <c r="I867" t="s">
        <v>2383</v>
      </c>
      <c r="J867">
        <v>0</v>
      </c>
      <c r="K867" s="9">
        <f t="shared" si="26"/>
        <v>45729</v>
      </c>
      <c r="L867">
        <f t="shared" si="27"/>
        <v>1897199</v>
      </c>
    </row>
    <row r="868" spans="1:12">
      <c r="A868">
        <v>1242</v>
      </c>
      <c r="B868">
        <v>341</v>
      </c>
      <c r="C868">
        <v>2</v>
      </c>
      <c r="D868" t="s">
        <v>2376</v>
      </c>
      <c r="E868" s="7">
        <v>146758.09</v>
      </c>
      <c r="F868" s="7">
        <v>15.68</v>
      </c>
      <c r="G868">
        <v>111</v>
      </c>
      <c r="H868" t="s">
        <v>2749</v>
      </c>
      <c r="I868" t="s">
        <v>2377</v>
      </c>
      <c r="J868">
        <v>21</v>
      </c>
      <c r="K868" s="9">
        <f t="shared" si="26"/>
        <v>45526</v>
      </c>
      <c r="L868">
        <f t="shared" si="27"/>
        <v>14675809</v>
      </c>
    </row>
    <row r="869" spans="1:12">
      <c r="A869">
        <v>1243</v>
      </c>
      <c r="B869">
        <v>349</v>
      </c>
      <c r="C869">
        <v>6</v>
      </c>
      <c r="D869" t="s">
        <v>2387</v>
      </c>
      <c r="E869" s="7">
        <v>68785.86</v>
      </c>
      <c r="F869" s="7">
        <v>19.63</v>
      </c>
      <c r="G869">
        <v>264</v>
      </c>
      <c r="H869" t="s">
        <v>2642</v>
      </c>
      <c r="I869" t="s">
        <v>2377</v>
      </c>
      <c r="J869">
        <v>0</v>
      </c>
      <c r="K869" s="9">
        <f t="shared" si="26"/>
        <v>45059</v>
      </c>
      <c r="L869">
        <f t="shared" si="27"/>
        <v>6878586</v>
      </c>
    </row>
    <row r="870" spans="1:12">
      <c r="A870">
        <v>1244</v>
      </c>
      <c r="B870">
        <v>773</v>
      </c>
      <c r="C870">
        <v>7</v>
      </c>
      <c r="D870" t="s">
        <v>2390</v>
      </c>
      <c r="E870" s="7">
        <v>37905.82</v>
      </c>
      <c r="F870" s="7">
        <v>11.91</v>
      </c>
      <c r="G870">
        <v>37</v>
      </c>
      <c r="H870" t="s">
        <v>2505</v>
      </c>
      <c r="I870" t="s">
        <v>2377</v>
      </c>
      <c r="J870">
        <v>73</v>
      </c>
      <c r="K870" s="9">
        <f t="shared" si="26"/>
        <v>45395</v>
      </c>
      <c r="L870">
        <f t="shared" si="27"/>
        <v>3790582</v>
      </c>
    </row>
    <row r="871" spans="1:12">
      <c r="A871">
        <v>1245</v>
      </c>
      <c r="B871">
        <v>342</v>
      </c>
      <c r="C871">
        <v>3</v>
      </c>
      <c r="D871" t="s">
        <v>2379</v>
      </c>
      <c r="E871" s="7">
        <v>12445.22</v>
      </c>
      <c r="F871" s="7">
        <v>11.07</v>
      </c>
      <c r="G871">
        <v>8</v>
      </c>
      <c r="H871" t="s">
        <v>1033</v>
      </c>
      <c r="I871" t="s">
        <v>2377</v>
      </c>
      <c r="J871">
        <v>0</v>
      </c>
      <c r="K871" s="9">
        <f t="shared" si="26"/>
        <v>45282</v>
      </c>
      <c r="L871">
        <f t="shared" si="27"/>
        <v>1244522</v>
      </c>
    </row>
    <row r="872" spans="1:12">
      <c r="A872">
        <v>1246</v>
      </c>
      <c r="B872">
        <v>536</v>
      </c>
      <c r="C872">
        <v>1</v>
      </c>
      <c r="D872" t="s">
        <v>2376</v>
      </c>
      <c r="E872" s="7">
        <v>135541.11</v>
      </c>
      <c r="F872" s="7">
        <v>13.98</v>
      </c>
      <c r="G872">
        <v>112</v>
      </c>
      <c r="H872" t="s">
        <v>2872</v>
      </c>
      <c r="I872" t="s">
        <v>2377</v>
      </c>
      <c r="J872">
        <v>0</v>
      </c>
      <c r="K872" s="9">
        <f t="shared" si="26"/>
        <v>45704</v>
      </c>
      <c r="L872">
        <f t="shared" si="27"/>
        <v>13554111</v>
      </c>
    </row>
    <row r="873" spans="1:12">
      <c r="A873">
        <v>1247</v>
      </c>
      <c r="B873">
        <v>966</v>
      </c>
      <c r="C873">
        <v>1</v>
      </c>
      <c r="D873" t="s">
        <v>2379</v>
      </c>
      <c r="E873" s="7">
        <v>11603.47</v>
      </c>
      <c r="F873" s="7">
        <v>16.26</v>
      </c>
      <c r="G873">
        <v>9</v>
      </c>
      <c r="H873" t="s">
        <v>2487</v>
      </c>
      <c r="I873" t="s">
        <v>2377</v>
      </c>
      <c r="J873">
        <v>0</v>
      </c>
      <c r="K873" s="9">
        <f t="shared" si="26"/>
        <v>44922</v>
      </c>
      <c r="L873">
        <f t="shared" si="27"/>
        <v>1160347</v>
      </c>
    </row>
    <row r="874" spans="1:12">
      <c r="A874">
        <v>1248</v>
      </c>
      <c r="B874">
        <v>278</v>
      </c>
      <c r="C874">
        <v>6</v>
      </c>
      <c r="D874" t="s">
        <v>2376</v>
      </c>
      <c r="E874" s="7">
        <v>75182.79</v>
      </c>
      <c r="F874" s="7">
        <v>7.28</v>
      </c>
      <c r="G874">
        <v>90</v>
      </c>
      <c r="H874" t="s">
        <v>880</v>
      </c>
      <c r="I874" t="s">
        <v>2377</v>
      </c>
      <c r="J874">
        <v>0</v>
      </c>
      <c r="K874" s="9">
        <f t="shared" si="26"/>
        <v>44642</v>
      </c>
      <c r="L874">
        <f t="shared" si="27"/>
        <v>7518279</v>
      </c>
    </row>
    <row r="875" spans="1:12">
      <c r="A875">
        <v>1249</v>
      </c>
      <c r="B875">
        <v>481</v>
      </c>
      <c r="C875">
        <v>2</v>
      </c>
      <c r="D875" t="s">
        <v>2390</v>
      </c>
      <c r="E875" s="7">
        <v>36450.01</v>
      </c>
      <c r="F875" s="7">
        <v>19.59</v>
      </c>
      <c r="G875">
        <v>25</v>
      </c>
      <c r="H875" t="s">
        <v>815</v>
      </c>
      <c r="I875" t="s">
        <v>2377</v>
      </c>
      <c r="J875">
        <v>0</v>
      </c>
      <c r="K875" s="9">
        <f t="shared" si="26"/>
        <v>44429</v>
      </c>
      <c r="L875">
        <f t="shared" si="27"/>
        <v>3645001</v>
      </c>
    </row>
    <row r="876" spans="1:12">
      <c r="A876">
        <v>1250</v>
      </c>
      <c r="B876">
        <v>942</v>
      </c>
      <c r="C876">
        <v>2</v>
      </c>
      <c r="D876" t="s">
        <v>2379</v>
      </c>
      <c r="E876" s="7">
        <v>12050.15</v>
      </c>
      <c r="F876" s="7">
        <v>12.18</v>
      </c>
      <c r="G876">
        <v>13</v>
      </c>
      <c r="H876" t="s">
        <v>2769</v>
      </c>
      <c r="I876" t="s">
        <v>2377</v>
      </c>
      <c r="J876">
        <v>0</v>
      </c>
      <c r="K876" s="9">
        <f t="shared" si="26"/>
        <v>45346</v>
      </c>
      <c r="L876">
        <f t="shared" si="27"/>
        <v>1205015</v>
      </c>
    </row>
    <row r="877" spans="1:12">
      <c r="A877">
        <v>1251</v>
      </c>
      <c r="B877">
        <v>628</v>
      </c>
      <c r="C877">
        <v>3</v>
      </c>
      <c r="D877" t="s">
        <v>2385</v>
      </c>
      <c r="E877" s="7">
        <v>5007.57</v>
      </c>
      <c r="F877" s="7">
        <v>18.84</v>
      </c>
      <c r="G877">
        <v>19</v>
      </c>
      <c r="H877" t="s">
        <v>2344</v>
      </c>
      <c r="I877" t="s">
        <v>2377</v>
      </c>
      <c r="J877">
        <v>0</v>
      </c>
      <c r="K877" s="9">
        <f t="shared" si="26"/>
        <v>44824</v>
      </c>
      <c r="L877">
        <f t="shared" si="27"/>
        <v>500757</v>
      </c>
    </row>
    <row r="878" spans="1:12">
      <c r="A878">
        <v>1252</v>
      </c>
      <c r="B878">
        <v>330</v>
      </c>
      <c r="C878">
        <v>7</v>
      </c>
      <c r="D878" t="s">
        <v>2390</v>
      </c>
      <c r="E878" s="7">
        <v>32624.3</v>
      </c>
      <c r="F878" s="7">
        <v>7.17</v>
      </c>
      <c r="G878">
        <v>53</v>
      </c>
      <c r="H878" t="s">
        <v>1744</v>
      </c>
      <c r="I878" t="s">
        <v>2377</v>
      </c>
      <c r="J878">
        <v>23</v>
      </c>
      <c r="K878" s="9">
        <f t="shared" si="26"/>
        <v>45012</v>
      </c>
      <c r="L878">
        <f t="shared" si="27"/>
        <v>326243</v>
      </c>
    </row>
    <row r="879" spans="1:12">
      <c r="A879">
        <v>1253</v>
      </c>
      <c r="B879">
        <v>778</v>
      </c>
      <c r="C879">
        <v>1</v>
      </c>
      <c r="D879" t="s">
        <v>2385</v>
      </c>
      <c r="E879" s="7">
        <v>4168.46</v>
      </c>
      <c r="F879" s="7">
        <v>8.03</v>
      </c>
      <c r="G879">
        <v>12</v>
      </c>
      <c r="H879" t="s">
        <v>2843</v>
      </c>
      <c r="I879" t="s">
        <v>2393</v>
      </c>
      <c r="J879">
        <v>140</v>
      </c>
      <c r="K879" s="9">
        <f t="shared" si="26"/>
        <v>44149</v>
      </c>
      <c r="L879">
        <f t="shared" si="27"/>
        <v>416846</v>
      </c>
    </row>
    <row r="880" spans="1:12">
      <c r="A880">
        <v>1254</v>
      </c>
      <c r="B880">
        <v>547</v>
      </c>
      <c r="C880">
        <v>5</v>
      </c>
      <c r="D880" t="s">
        <v>2390</v>
      </c>
      <c r="E880" s="7">
        <v>10719.28</v>
      </c>
      <c r="F880" s="7">
        <v>15.93</v>
      </c>
      <c r="G880">
        <v>41</v>
      </c>
      <c r="H880" t="s">
        <v>2873</v>
      </c>
      <c r="I880" t="s">
        <v>2393</v>
      </c>
      <c r="J880">
        <v>295</v>
      </c>
      <c r="K880" s="9">
        <f t="shared" si="26"/>
        <v>45510</v>
      </c>
      <c r="L880">
        <f t="shared" si="27"/>
        <v>1071928</v>
      </c>
    </row>
    <row r="881" spans="1:12">
      <c r="A881">
        <v>1255</v>
      </c>
      <c r="B881">
        <v>899</v>
      </c>
      <c r="C881">
        <v>4</v>
      </c>
      <c r="D881" t="s">
        <v>2387</v>
      </c>
      <c r="E881" s="7">
        <v>192275.44</v>
      </c>
      <c r="F881" s="7">
        <v>20.95</v>
      </c>
      <c r="G881">
        <v>335</v>
      </c>
      <c r="H881" t="s">
        <v>2518</v>
      </c>
      <c r="I881" t="s">
        <v>2383</v>
      </c>
      <c r="J881">
        <v>0</v>
      </c>
      <c r="K881" s="9">
        <f t="shared" si="26"/>
        <v>45710</v>
      </c>
      <c r="L881">
        <f t="shared" si="27"/>
        <v>19227544</v>
      </c>
    </row>
    <row r="882" spans="1:12">
      <c r="A882">
        <v>1256</v>
      </c>
      <c r="B882">
        <v>688</v>
      </c>
      <c r="C882">
        <v>4</v>
      </c>
      <c r="D882" t="s">
        <v>2379</v>
      </c>
      <c r="E882" s="7">
        <v>8181.98</v>
      </c>
      <c r="F882" s="7">
        <v>20.08</v>
      </c>
      <c r="G882">
        <v>59</v>
      </c>
      <c r="H882" t="s">
        <v>2732</v>
      </c>
      <c r="I882" t="s">
        <v>2383</v>
      </c>
      <c r="J882">
        <v>0</v>
      </c>
      <c r="K882" s="9">
        <f t="shared" si="26"/>
        <v>44516</v>
      </c>
      <c r="L882">
        <f t="shared" si="27"/>
        <v>818198</v>
      </c>
    </row>
    <row r="883" spans="1:12">
      <c r="A883">
        <v>1257</v>
      </c>
      <c r="B883">
        <v>203</v>
      </c>
      <c r="C883">
        <v>2</v>
      </c>
      <c r="D883" t="s">
        <v>2390</v>
      </c>
      <c r="E883" s="7">
        <v>31659.43</v>
      </c>
      <c r="F883" s="7">
        <v>16.12</v>
      </c>
      <c r="G883">
        <v>55</v>
      </c>
      <c r="H883" t="s">
        <v>2872</v>
      </c>
      <c r="I883" t="s">
        <v>2377</v>
      </c>
      <c r="J883">
        <v>0</v>
      </c>
      <c r="K883" s="9">
        <f t="shared" si="26"/>
        <v>45704</v>
      </c>
      <c r="L883">
        <f t="shared" si="27"/>
        <v>3165943</v>
      </c>
    </row>
    <row r="884" spans="1:12">
      <c r="A884">
        <v>1258</v>
      </c>
      <c r="B884">
        <v>810</v>
      </c>
      <c r="C884">
        <v>1</v>
      </c>
      <c r="D884" t="s">
        <v>2379</v>
      </c>
      <c r="E884" s="7">
        <v>10557.69</v>
      </c>
      <c r="F884" s="7">
        <v>6.92</v>
      </c>
      <c r="G884">
        <v>34</v>
      </c>
      <c r="H884" t="s">
        <v>2252</v>
      </c>
      <c r="I884" t="s">
        <v>2377</v>
      </c>
      <c r="J884">
        <v>0</v>
      </c>
      <c r="K884" s="9">
        <f t="shared" si="26"/>
        <v>44107</v>
      </c>
      <c r="L884">
        <f t="shared" si="27"/>
        <v>1055769</v>
      </c>
    </row>
    <row r="885" spans="1:12">
      <c r="A885">
        <v>1259</v>
      </c>
      <c r="B885">
        <v>77</v>
      </c>
      <c r="C885">
        <v>6</v>
      </c>
      <c r="D885" t="s">
        <v>2387</v>
      </c>
      <c r="E885" s="7">
        <v>190430.06</v>
      </c>
      <c r="F885" s="7">
        <v>5.45</v>
      </c>
      <c r="G885">
        <v>225</v>
      </c>
      <c r="H885" t="s">
        <v>1398</v>
      </c>
      <c r="I885" t="s">
        <v>2377</v>
      </c>
      <c r="J885">
        <v>0</v>
      </c>
      <c r="K885" s="9">
        <f t="shared" si="26"/>
        <v>44887</v>
      </c>
      <c r="L885">
        <f t="shared" si="27"/>
        <v>19043006</v>
      </c>
    </row>
    <row r="886" spans="1:12">
      <c r="A886">
        <v>1260</v>
      </c>
      <c r="B886">
        <v>949</v>
      </c>
      <c r="C886">
        <v>5</v>
      </c>
      <c r="D886" t="s">
        <v>2390</v>
      </c>
      <c r="E886" s="7">
        <v>22817.89</v>
      </c>
      <c r="F886" s="7">
        <v>7.02</v>
      </c>
      <c r="G886">
        <v>46</v>
      </c>
      <c r="H886" t="s">
        <v>289</v>
      </c>
      <c r="I886" t="s">
        <v>2383</v>
      </c>
      <c r="J886">
        <v>0</v>
      </c>
      <c r="K886" s="9">
        <f t="shared" si="26"/>
        <v>44873</v>
      </c>
      <c r="L886">
        <f t="shared" si="27"/>
        <v>2281789</v>
      </c>
    </row>
    <row r="887" spans="1:12">
      <c r="A887">
        <v>1261</v>
      </c>
      <c r="B887">
        <v>110</v>
      </c>
      <c r="C887">
        <v>7</v>
      </c>
      <c r="D887" t="s">
        <v>2379</v>
      </c>
      <c r="E887" s="7">
        <v>5004.62</v>
      </c>
      <c r="F887" s="7">
        <v>17.57</v>
      </c>
      <c r="G887">
        <v>45</v>
      </c>
      <c r="H887" t="s">
        <v>1932</v>
      </c>
      <c r="I887" t="s">
        <v>2377</v>
      </c>
      <c r="J887">
        <v>0</v>
      </c>
      <c r="K887" s="9">
        <f t="shared" si="26"/>
        <v>44296</v>
      </c>
      <c r="L887">
        <f t="shared" si="27"/>
        <v>500462</v>
      </c>
    </row>
    <row r="888" spans="1:12">
      <c r="A888">
        <v>1262</v>
      </c>
      <c r="B888">
        <v>715</v>
      </c>
      <c r="C888">
        <v>3</v>
      </c>
      <c r="D888" t="s">
        <v>2390</v>
      </c>
      <c r="E888" s="7">
        <v>26612.99</v>
      </c>
      <c r="F888" s="7">
        <v>6.04</v>
      </c>
      <c r="G888">
        <v>65</v>
      </c>
      <c r="H888" t="s">
        <v>2743</v>
      </c>
      <c r="I888" t="s">
        <v>2377</v>
      </c>
      <c r="J888">
        <v>0</v>
      </c>
      <c r="K888" s="9">
        <f t="shared" si="26"/>
        <v>43904</v>
      </c>
      <c r="L888">
        <f t="shared" si="27"/>
        <v>2661299</v>
      </c>
    </row>
    <row r="889" spans="1:12">
      <c r="A889">
        <v>1263</v>
      </c>
      <c r="B889">
        <v>887</v>
      </c>
      <c r="C889">
        <v>7</v>
      </c>
      <c r="D889" t="s">
        <v>2376</v>
      </c>
      <c r="E889" s="7">
        <v>97320.42</v>
      </c>
      <c r="F889" s="7">
        <v>5.2</v>
      </c>
      <c r="G889">
        <v>114</v>
      </c>
      <c r="H889" t="s">
        <v>641</v>
      </c>
      <c r="I889" t="s">
        <v>2393</v>
      </c>
      <c r="J889">
        <v>244</v>
      </c>
      <c r="K889" s="9">
        <f t="shared" si="26"/>
        <v>44660</v>
      </c>
      <c r="L889">
        <f t="shared" si="27"/>
        <v>9732042</v>
      </c>
    </row>
    <row r="890" spans="1:12">
      <c r="A890">
        <v>1264</v>
      </c>
      <c r="B890">
        <v>152</v>
      </c>
      <c r="C890">
        <v>4</v>
      </c>
      <c r="D890" t="s">
        <v>2376</v>
      </c>
      <c r="E890" s="7">
        <v>46314.12</v>
      </c>
      <c r="F890" s="7">
        <v>18.14</v>
      </c>
      <c r="G890">
        <v>108</v>
      </c>
      <c r="H890" t="s">
        <v>2874</v>
      </c>
      <c r="I890" t="s">
        <v>2377</v>
      </c>
      <c r="J890">
        <v>0</v>
      </c>
      <c r="K890" s="9">
        <f t="shared" si="26"/>
        <v>44739</v>
      </c>
      <c r="L890">
        <f t="shared" si="27"/>
        <v>4631412</v>
      </c>
    </row>
    <row r="891" spans="1:12">
      <c r="A891">
        <v>1265</v>
      </c>
      <c r="B891">
        <v>261</v>
      </c>
      <c r="C891">
        <v>4</v>
      </c>
      <c r="D891" t="s">
        <v>2376</v>
      </c>
      <c r="E891" s="7">
        <v>74219.05</v>
      </c>
      <c r="F891" s="7">
        <v>10.86</v>
      </c>
      <c r="G891">
        <v>40</v>
      </c>
      <c r="H891" t="s">
        <v>2667</v>
      </c>
      <c r="I891" t="s">
        <v>2377</v>
      </c>
      <c r="J891">
        <v>0</v>
      </c>
      <c r="K891" s="9">
        <f t="shared" si="26"/>
        <v>44134</v>
      </c>
      <c r="L891">
        <f t="shared" si="27"/>
        <v>7421905</v>
      </c>
    </row>
    <row r="892" spans="1:12">
      <c r="A892">
        <v>1266</v>
      </c>
      <c r="B892">
        <v>349</v>
      </c>
      <c r="C892">
        <v>6</v>
      </c>
      <c r="D892" t="s">
        <v>2376</v>
      </c>
      <c r="E892" s="7">
        <v>101841.11</v>
      </c>
      <c r="F892" s="7">
        <v>6.07</v>
      </c>
      <c r="G892">
        <v>66</v>
      </c>
      <c r="H892" t="s">
        <v>2875</v>
      </c>
      <c r="I892" t="s">
        <v>2377</v>
      </c>
      <c r="J892">
        <v>0</v>
      </c>
      <c r="K892" s="9">
        <f t="shared" si="26"/>
        <v>45257</v>
      </c>
      <c r="L892">
        <f t="shared" si="27"/>
        <v>10184111</v>
      </c>
    </row>
    <row r="893" spans="1:12">
      <c r="A893">
        <v>1267</v>
      </c>
      <c r="B893">
        <v>778</v>
      </c>
      <c r="C893">
        <v>1</v>
      </c>
      <c r="D893" t="s">
        <v>2387</v>
      </c>
      <c r="E893" s="7">
        <v>112414.21</v>
      </c>
      <c r="F893" s="7">
        <v>14.04</v>
      </c>
      <c r="G893">
        <v>212</v>
      </c>
      <c r="H893" t="s">
        <v>185</v>
      </c>
      <c r="I893" t="s">
        <v>2377</v>
      </c>
      <c r="J893">
        <v>0</v>
      </c>
      <c r="K893" s="9">
        <f t="shared" si="26"/>
        <v>44738</v>
      </c>
      <c r="L893">
        <f t="shared" si="27"/>
        <v>11241421</v>
      </c>
    </row>
    <row r="894" spans="1:12">
      <c r="A894">
        <v>1268</v>
      </c>
      <c r="B894">
        <v>156</v>
      </c>
      <c r="C894">
        <v>6</v>
      </c>
      <c r="D894" t="s">
        <v>2379</v>
      </c>
      <c r="E894" s="7">
        <v>9852.48</v>
      </c>
      <c r="F894" s="7">
        <v>16.64</v>
      </c>
      <c r="G894">
        <v>33</v>
      </c>
      <c r="H894" t="s">
        <v>731</v>
      </c>
      <c r="I894" t="s">
        <v>2377</v>
      </c>
      <c r="J894">
        <v>0</v>
      </c>
      <c r="K894" s="9">
        <f t="shared" si="26"/>
        <v>44388</v>
      </c>
      <c r="L894">
        <f t="shared" si="27"/>
        <v>985248</v>
      </c>
    </row>
    <row r="895" spans="1:12">
      <c r="A895">
        <v>1269</v>
      </c>
      <c r="B895">
        <v>81</v>
      </c>
      <c r="C895">
        <v>4</v>
      </c>
      <c r="D895" t="s">
        <v>2385</v>
      </c>
      <c r="E895" s="7">
        <v>9613.32</v>
      </c>
      <c r="F895" s="7">
        <v>8.19</v>
      </c>
      <c r="G895">
        <v>18</v>
      </c>
      <c r="H895" t="s">
        <v>1419</v>
      </c>
      <c r="I895" t="s">
        <v>2377</v>
      </c>
      <c r="J895">
        <v>0</v>
      </c>
      <c r="K895" s="9">
        <f t="shared" si="26"/>
        <v>44672</v>
      </c>
      <c r="L895">
        <f t="shared" si="27"/>
        <v>961332</v>
      </c>
    </row>
    <row r="896" spans="1:12">
      <c r="A896">
        <v>1270</v>
      </c>
      <c r="B896">
        <v>552</v>
      </c>
      <c r="C896">
        <v>3</v>
      </c>
      <c r="D896" t="s">
        <v>2390</v>
      </c>
      <c r="E896" s="7">
        <v>22545.27</v>
      </c>
      <c r="F896" s="7">
        <v>7.11</v>
      </c>
      <c r="G896">
        <v>28</v>
      </c>
      <c r="H896" t="s">
        <v>2461</v>
      </c>
      <c r="I896" t="s">
        <v>2377</v>
      </c>
      <c r="J896">
        <v>0</v>
      </c>
      <c r="K896" s="9">
        <f t="shared" si="26"/>
        <v>45804</v>
      </c>
      <c r="L896">
        <f t="shared" si="27"/>
        <v>2254527</v>
      </c>
    </row>
    <row r="897" spans="1:12">
      <c r="A897">
        <v>1271</v>
      </c>
      <c r="B897">
        <v>736</v>
      </c>
      <c r="C897">
        <v>6</v>
      </c>
      <c r="D897" t="s">
        <v>2379</v>
      </c>
      <c r="E897" s="7">
        <v>4943.51</v>
      </c>
      <c r="F897" s="7">
        <v>20.38</v>
      </c>
      <c r="G897">
        <v>22</v>
      </c>
      <c r="H897" t="s">
        <v>2876</v>
      </c>
      <c r="I897" t="s">
        <v>2377</v>
      </c>
      <c r="J897">
        <v>0</v>
      </c>
      <c r="K897" s="9">
        <f t="shared" si="26"/>
        <v>45270</v>
      </c>
      <c r="L897">
        <f t="shared" si="27"/>
        <v>494351</v>
      </c>
    </row>
    <row r="898" spans="1:12">
      <c r="A898">
        <v>1272</v>
      </c>
      <c r="B898">
        <v>299</v>
      </c>
      <c r="C898">
        <v>7</v>
      </c>
      <c r="D898" t="s">
        <v>2387</v>
      </c>
      <c r="E898" s="7">
        <v>166728.52</v>
      </c>
      <c r="F898" s="7">
        <v>12.29</v>
      </c>
      <c r="G898">
        <v>127</v>
      </c>
      <c r="H898" t="s">
        <v>539</v>
      </c>
      <c r="I898" t="s">
        <v>2377</v>
      </c>
      <c r="J898">
        <v>0</v>
      </c>
      <c r="K898" s="9">
        <f t="shared" si="26"/>
        <v>44807</v>
      </c>
      <c r="L898">
        <f t="shared" si="27"/>
        <v>16672852</v>
      </c>
    </row>
    <row r="899" spans="1:12">
      <c r="A899">
        <v>1273</v>
      </c>
      <c r="B899">
        <v>722</v>
      </c>
      <c r="C899">
        <v>4</v>
      </c>
      <c r="D899" t="s">
        <v>2379</v>
      </c>
      <c r="E899" s="7">
        <v>13710.02</v>
      </c>
      <c r="F899" s="7">
        <v>7.21</v>
      </c>
      <c r="G899">
        <v>19</v>
      </c>
      <c r="H899" t="s">
        <v>2877</v>
      </c>
      <c r="I899" t="s">
        <v>2393</v>
      </c>
      <c r="J899">
        <v>180</v>
      </c>
      <c r="K899" s="9">
        <f t="shared" ref="K899:K962" si="28">DATEVALUE(LEFT(H899,10))</f>
        <v>45335</v>
      </c>
      <c r="L899">
        <f t="shared" ref="L899:L962" si="29">_xlfn.NUMBERVALUE(E899,".",",")</f>
        <v>1371002</v>
      </c>
    </row>
    <row r="900" spans="1:12">
      <c r="A900">
        <v>1274</v>
      </c>
      <c r="B900">
        <v>256</v>
      </c>
      <c r="C900">
        <v>1</v>
      </c>
      <c r="D900" t="s">
        <v>2385</v>
      </c>
      <c r="E900" s="7">
        <v>4855.25</v>
      </c>
      <c r="F900" s="7">
        <v>12.4</v>
      </c>
      <c r="G900">
        <v>25</v>
      </c>
      <c r="H900" t="s">
        <v>2777</v>
      </c>
      <c r="I900" t="s">
        <v>2377</v>
      </c>
      <c r="J900">
        <v>0</v>
      </c>
      <c r="K900" s="9">
        <f t="shared" si="28"/>
        <v>45286</v>
      </c>
      <c r="L900">
        <f t="shared" si="29"/>
        <v>485525</v>
      </c>
    </row>
    <row r="901" spans="1:12">
      <c r="A901">
        <v>1275</v>
      </c>
      <c r="B901">
        <v>107</v>
      </c>
      <c r="C901">
        <v>2</v>
      </c>
      <c r="D901" t="s">
        <v>2385</v>
      </c>
      <c r="E901" s="7">
        <v>8262.88</v>
      </c>
      <c r="F901" s="7">
        <v>21.91</v>
      </c>
      <c r="G901">
        <v>23</v>
      </c>
      <c r="H901" t="s">
        <v>2775</v>
      </c>
      <c r="I901" t="s">
        <v>2377</v>
      </c>
      <c r="J901">
        <v>0</v>
      </c>
      <c r="K901" s="9">
        <f t="shared" si="28"/>
        <v>45383</v>
      </c>
      <c r="L901">
        <f t="shared" si="29"/>
        <v>826288</v>
      </c>
    </row>
    <row r="902" spans="1:12">
      <c r="A902">
        <v>1276</v>
      </c>
      <c r="B902">
        <v>49</v>
      </c>
      <c r="C902">
        <v>6</v>
      </c>
      <c r="D902" t="s">
        <v>2376</v>
      </c>
      <c r="E902" s="7">
        <v>76648.43</v>
      </c>
      <c r="F902" s="7">
        <v>20.4</v>
      </c>
      <c r="G902">
        <v>78</v>
      </c>
      <c r="H902" t="s">
        <v>2878</v>
      </c>
      <c r="I902" t="s">
        <v>2377</v>
      </c>
      <c r="J902">
        <v>0</v>
      </c>
      <c r="K902" s="9">
        <f t="shared" si="28"/>
        <v>45662</v>
      </c>
      <c r="L902">
        <f t="shared" si="29"/>
        <v>7664843</v>
      </c>
    </row>
    <row r="903" spans="1:12">
      <c r="A903">
        <v>1277</v>
      </c>
      <c r="B903">
        <v>814</v>
      </c>
      <c r="C903">
        <v>7</v>
      </c>
      <c r="D903" t="s">
        <v>2390</v>
      </c>
      <c r="E903" s="7">
        <v>18401.46</v>
      </c>
      <c r="F903" s="7">
        <v>17.46</v>
      </c>
      <c r="G903">
        <v>39</v>
      </c>
      <c r="H903" t="s">
        <v>2573</v>
      </c>
      <c r="I903" t="s">
        <v>2377</v>
      </c>
      <c r="J903">
        <v>0</v>
      </c>
      <c r="K903" s="9">
        <f t="shared" si="28"/>
        <v>44270</v>
      </c>
      <c r="L903">
        <f t="shared" si="29"/>
        <v>1840146</v>
      </c>
    </row>
    <row r="904" spans="1:12">
      <c r="A904">
        <v>1278</v>
      </c>
      <c r="B904">
        <v>490</v>
      </c>
      <c r="C904">
        <v>3</v>
      </c>
      <c r="D904" t="s">
        <v>2376</v>
      </c>
      <c r="E904" s="7">
        <v>144895.27</v>
      </c>
      <c r="F904" s="7">
        <v>12.52</v>
      </c>
      <c r="G904">
        <v>48</v>
      </c>
      <c r="H904" t="s">
        <v>1058</v>
      </c>
      <c r="I904" t="s">
        <v>2377</v>
      </c>
      <c r="J904">
        <v>0</v>
      </c>
      <c r="K904" s="9">
        <f t="shared" si="28"/>
        <v>45259</v>
      </c>
      <c r="L904">
        <f t="shared" si="29"/>
        <v>14489527</v>
      </c>
    </row>
    <row r="905" spans="1:12">
      <c r="A905">
        <v>1279</v>
      </c>
      <c r="B905">
        <v>964</v>
      </c>
      <c r="C905">
        <v>3</v>
      </c>
      <c r="D905" t="s">
        <v>2379</v>
      </c>
      <c r="E905" s="7">
        <v>9656.65</v>
      </c>
      <c r="F905" s="7">
        <v>9.42</v>
      </c>
      <c r="G905">
        <v>28</v>
      </c>
      <c r="H905" t="s">
        <v>2477</v>
      </c>
      <c r="I905" t="s">
        <v>2383</v>
      </c>
      <c r="J905">
        <v>0</v>
      </c>
      <c r="K905" s="9">
        <f t="shared" si="28"/>
        <v>45047</v>
      </c>
      <c r="L905">
        <f t="shared" si="29"/>
        <v>965665</v>
      </c>
    </row>
    <row r="906" spans="1:12">
      <c r="A906">
        <v>1280</v>
      </c>
      <c r="B906">
        <v>770</v>
      </c>
      <c r="C906">
        <v>3</v>
      </c>
      <c r="D906" t="s">
        <v>2390</v>
      </c>
      <c r="E906" s="7">
        <v>18995.71</v>
      </c>
      <c r="F906" s="7">
        <v>5.61</v>
      </c>
      <c r="G906">
        <v>76</v>
      </c>
      <c r="H906" t="s">
        <v>2879</v>
      </c>
      <c r="I906" t="s">
        <v>2377</v>
      </c>
      <c r="J906">
        <v>0</v>
      </c>
      <c r="K906" s="9">
        <f t="shared" si="28"/>
        <v>45159</v>
      </c>
      <c r="L906">
        <f t="shared" si="29"/>
        <v>1899571</v>
      </c>
    </row>
    <row r="907" spans="1:12">
      <c r="A907">
        <v>1281</v>
      </c>
      <c r="B907">
        <v>69</v>
      </c>
      <c r="C907">
        <v>1</v>
      </c>
      <c r="D907" t="s">
        <v>2390</v>
      </c>
      <c r="E907" s="7">
        <v>33071.79</v>
      </c>
      <c r="F907" s="7">
        <v>7.85</v>
      </c>
      <c r="G907">
        <v>78</v>
      </c>
      <c r="H907" t="s">
        <v>2880</v>
      </c>
      <c r="I907" t="s">
        <v>2377</v>
      </c>
      <c r="J907">
        <v>0</v>
      </c>
      <c r="K907" s="9">
        <f t="shared" si="28"/>
        <v>45726</v>
      </c>
      <c r="L907">
        <f t="shared" si="29"/>
        <v>3307179</v>
      </c>
    </row>
    <row r="908" spans="1:12">
      <c r="A908">
        <v>1282</v>
      </c>
      <c r="B908">
        <v>597</v>
      </c>
      <c r="C908">
        <v>5</v>
      </c>
      <c r="D908" t="s">
        <v>2379</v>
      </c>
      <c r="E908" s="7">
        <v>11890.3</v>
      </c>
      <c r="F908" s="7">
        <v>12.43</v>
      </c>
      <c r="G908">
        <v>56</v>
      </c>
      <c r="H908" t="s">
        <v>993</v>
      </c>
      <c r="I908" t="s">
        <v>2377</v>
      </c>
      <c r="J908">
        <v>0</v>
      </c>
      <c r="K908" s="9">
        <f t="shared" si="28"/>
        <v>44804</v>
      </c>
      <c r="L908">
        <f t="shared" si="29"/>
        <v>118903</v>
      </c>
    </row>
    <row r="909" spans="1:12">
      <c r="A909">
        <v>1283</v>
      </c>
      <c r="B909">
        <v>12</v>
      </c>
      <c r="C909">
        <v>6</v>
      </c>
      <c r="D909" t="s">
        <v>2390</v>
      </c>
      <c r="E909" s="7">
        <v>9730.85</v>
      </c>
      <c r="F909" s="7">
        <v>7.82</v>
      </c>
      <c r="G909">
        <v>26</v>
      </c>
      <c r="H909" t="s">
        <v>2080</v>
      </c>
      <c r="I909" t="s">
        <v>2377</v>
      </c>
      <c r="J909">
        <v>13</v>
      </c>
      <c r="K909" s="9">
        <f t="shared" si="28"/>
        <v>44870</v>
      </c>
      <c r="L909">
        <f t="shared" si="29"/>
        <v>973085</v>
      </c>
    </row>
    <row r="910" spans="1:12">
      <c r="A910">
        <v>1284</v>
      </c>
      <c r="B910">
        <v>707</v>
      </c>
      <c r="C910">
        <v>2</v>
      </c>
      <c r="D910" t="s">
        <v>2387</v>
      </c>
      <c r="E910" s="7">
        <v>93452.04</v>
      </c>
      <c r="F910" s="7">
        <v>19.09</v>
      </c>
      <c r="G910">
        <v>214</v>
      </c>
      <c r="H910" t="s">
        <v>2450</v>
      </c>
      <c r="I910" t="s">
        <v>2377</v>
      </c>
      <c r="J910">
        <v>0</v>
      </c>
      <c r="K910" s="9">
        <f t="shared" si="28"/>
        <v>45552</v>
      </c>
      <c r="L910">
        <f t="shared" si="29"/>
        <v>9345204</v>
      </c>
    </row>
    <row r="911" spans="1:12">
      <c r="A911">
        <v>1285</v>
      </c>
      <c r="B911">
        <v>524</v>
      </c>
      <c r="C911">
        <v>3</v>
      </c>
      <c r="D911" t="s">
        <v>2385</v>
      </c>
      <c r="E911" s="7">
        <v>5319.83</v>
      </c>
      <c r="F911" s="7">
        <v>7.67</v>
      </c>
      <c r="G911">
        <v>17</v>
      </c>
      <c r="H911" t="s">
        <v>2664</v>
      </c>
      <c r="I911" t="s">
        <v>2377</v>
      </c>
      <c r="J911">
        <v>0</v>
      </c>
      <c r="K911" s="9">
        <f t="shared" si="28"/>
        <v>44213</v>
      </c>
      <c r="L911">
        <f t="shared" si="29"/>
        <v>531983</v>
      </c>
    </row>
    <row r="912" spans="1:12">
      <c r="A912">
        <v>1286</v>
      </c>
      <c r="B912">
        <v>374</v>
      </c>
      <c r="C912">
        <v>4</v>
      </c>
      <c r="D912" t="s">
        <v>2379</v>
      </c>
      <c r="E912" s="7">
        <v>13052.85</v>
      </c>
      <c r="F912" s="7">
        <v>10.19</v>
      </c>
      <c r="G912">
        <v>46</v>
      </c>
      <c r="H912" t="s">
        <v>1370</v>
      </c>
      <c r="I912" t="s">
        <v>2383</v>
      </c>
      <c r="J912">
        <v>0</v>
      </c>
      <c r="K912" s="9">
        <f t="shared" si="28"/>
        <v>45017</v>
      </c>
      <c r="L912">
        <f t="shared" si="29"/>
        <v>1305285</v>
      </c>
    </row>
    <row r="913" spans="1:12">
      <c r="A913">
        <v>1287</v>
      </c>
      <c r="B913">
        <v>660</v>
      </c>
      <c r="C913">
        <v>7</v>
      </c>
      <c r="D913" t="s">
        <v>2390</v>
      </c>
      <c r="E913" s="7">
        <v>37023.28</v>
      </c>
      <c r="F913" s="7">
        <v>8.05</v>
      </c>
      <c r="G913">
        <v>36</v>
      </c>
      <c r="H913" t="s">
        <v>2881</v>
      </c>
      <c r="I913" t="s">
        <v>2377</v>
      </c>
      <c r="J913">
        <v>0</v>
      </c>
      <c r="K913" s="9">
        <f t="shared" si="28"/>
        <v>43994</v>
      </c>
      <c r="L913">
        <f t="shared" si="29"/>
        <v>3702328</v>
      </c>
    </row>
    <row r="914" spans="1:12">
      <c r="A914">
        <v>1288</v>
      </c>
      <c r="B914">
        <v>940</v>
      </c>
      <c r="C914">
        <v>3</v>
      </c>
      <c r="D914" t="s">
        <v>2385</v>
      </c>
      <c r="E914" s="7">
        <v>2393.28</v>
      </c>
      <c r="F914" s="7">
        <v>18.14</v>
      </c>
      <c r="G914">
        <v>22</v>
      </c>
      <c r="H914" t="s">
        <v>2882</v>
      </c>
      <c r="I914" t="s">
        <v>2393</v>
      </c>
      <c r="J914">
        <v>177</v>
      </c>
      <c r="K914" s="9">
        <f t="shared" si="28"/>
        <v>44440</v>
      </c>
      <c r="L914">
        <f t="shared" si="29"/>
        <v>239328</v>
      </c>
    </row>
    <row r="915" spans="1:12">
      <c r="A915">
        <v>1289</v>
      </c>
      <c r="B915">
        <v>178</v>
      </c>
      <c r="C915">
        <v>2</v>
      </c>
      <c r="D915" t="s">
        <v>2379</v>
      </c>
      <c r="E915" s="7">
        <v>7101.4</v>
      </c>
      <c r="F915" s="7">
        <v>15.92</v>
      </c>
      <c r="G915">
        <v>50</v>
      </c>
      <c r="H915" t="s">
        <v>2610</v>
      </c>
      <c r="I915" t="s">
        <v>2383</v>
      </c>
      <c r="J915">
        <v>0</v>
      </c>
      <c r="K915" s="9">
        <f t="shared" si="28"/>
        <v>45617</v>
      </c>
      <c r="L915">
        <f t="shared" si="29"/>
        <v>71014</v>
      </c>
    </row>
    <row r="916" spans="1:12">
      <c r="A916">
        <v>1290</v>
      </c>
      <c r="B916">
        <v>630</v>
      </c>
      <c r="C916">
        <v>5</v>
      </c>
      <c r="D916" t="s">
        <v>2376</v>
      </c>
      <c r="E916" s="7">
        <v>98114.94</v>
      </c>
      <c r="F916" s="7">
        <v>20.49</v>
      </c>
      <c r="G916">
        <v>109</v>
      </c>
      <c r="H916" t="s">
        <v>812</v>
      </c>
      <c r="I916" t="s">
        <v>2377</v>
      </c>
      <c r="J916">
        <v>0</v>
      </c>
      <c r="K916" s="9">
        <f t="shared" si="28"/>
        <v>45484</v>
      </c>
      <c r="L916">
        <f t="shared" si="29"/>
        <v>9811494</v>
      </c>
    </row>
    <row r="917" spans="1:12">
      <c r="A917">
        <v>1291</v>
      </c>
      <c r="B917">
        <v>799</v>
      </c>
      <c r="C917">
        <v>7</v>
      </c>
      <c r="D917" t="s">
        <v>2387</v>
      </c>
      <c r="E917" s="7">
        <v>64822.93</v>
      </c>
      <c r="F917" s="7">
        <v>14.76</v>
      </c>
      <c r="G917">
        <v>238</v>
      </c>
      <c r="H917" t="s">
        <v>2846</v>
      </c>
      <c r="I917" t="s">
        <v>2377</v>
      </c>
      <c r="J917">
        <v>0</v>
      </c>
      <c r="K917" s="9">
        <f t="shared" si="28"/>
        <v>45658</v>
      </c>
      <c r="L917">
        <f t="shared" si="29"/>
        <v>6482293</v>
      </c>
    </row>
    <row r="918" spans="1:12">
      <c r="A918">
        <v>1292</v>
      </c>
      <c r="B918">
        <v>662</v>
      </c>
      <c r="C918">
        <v>7</v>
      </c>
      <c r="D918" t="s">
        <v>2379</v>
      </c>
      <c r="E918" s="7">
        <v>1974.92</v>
      </c>
      <c r="F918" s="7">
        <v>7.71</v>
      </c>
      <c r="G918">
        <v>9</v>
      </c>
      <c r="H918" t="s">
        <v>104</v>
      </c>
      <c r="I918" t="s">
        <v>2377</v>
      </c>
      <c r="J918">
        <v>0</v>
      </c>
      <c r="K918" s="9">
        <f t="shared" si="28"/>
        <v>44756</v>
      </c>
      <c r="L918">
        <f t="shared" si="29"/>
        <v>197492</v>
      </c>
    </row>
    <row r="919" spans="1:12">
      <c r="A919">
        <v>1293</v>
      </c>
      <c r="B919">
        <v>796</v>
      </c>
      <c r="C919">
        <v>4</v>
      </c>
      <c r="D919" t="s">
        <v>2387</v>
      </c>
      <c r="E919" s="7">
        <v>197391.39</v>
      </c>
      <c r="F919" s="7">
        <v>11.58</v>
      </c>
      <c r="G919">
        <v>284</v>
      </c>
      <c r="H919" t="s">
        <v>503</v>
      </c>
      <c r="I919" t="s">
        <v>2377</v>
      </c>
      <c r="J919">
        <v>0</v>
      </c>
      <c r="K919" s="9">
        <f t="shared" si="28"/>
        <v>44223</v>
      </c>
      <c r="L919">
        <f t="shared" si="29"/>
        <v>19739139</v>
      </c>
    </row>
    <row r="920" spans="1:12">
      <c r="A920">
        <v>1294</v>
      </c>
      <c r="B920">
        <v>366</v>
      </c>
      <c r="C920">
        <v>1</v>
      </c>
      <c r="D920" t="s">
        <v>2385</v>
      </c>
      <c r="E920" s="7">
        <v>8176.73</v>
      </c>
      <c r="F920" s="7">
        <v>5.06</v>
      </c>
      <c r="G920">
        <v>9</v>
      </c>
      <c r="H920" t="s">
        <v>1079</v>
      </c>
      <c r="I920" t="s">
        <v>2377</v>
      </c>
      <c r="J920">
        <v>4</v>
      </c>
      <c r="K920" s="9">
        <f t="shared" si="28"/>
        <v>44119</v>
      </c>
      <c r="L920">
        <f t="shared" si="29"/>
        <v>817673</v>
      </c>
    </row>
    <row r="921" spans="1:12">
      <c r="A921">
        <v>1295</v>
      </c>
      <c r="B921">
        <v>75</v>
      </c>
      <c r="C921">
        <v>1</v>
      </c>
      <c r="D921" t="s">
        <v>2379</v>
      </c>
      <c r="E921" s="7">
        <v>2906.29</v>
      </c>
      <c r="F921" s="7">
        <v>18.67</v>
      </c>
      <c r="G921">
        <v>42</v>
      </c>
      <c r="H921" t="s">
        <v>1123</v>
      </c>
      <c r="I921" t="s">
        <v>2393</v>
      </c>
      <c r="J921">
        <v>276</v>
      </c>
      <c r="K921" s="9">
        <f t="shared" si="28"/>
        <v>44253</v>
      </c>
      <c r="L921">
        <f t="shared" si="29"/>
        <v>290629</v>
      </c>
    </row>
    <row r="922" spans="1:12">
      <c r="A922">
        <v>1296</v>
      </c>
      <c r="B922">
        <v>718</v>
      </c>
      <c r="C922">
        <v>2</v>
      </c>
      <c r="D922" t="s">
        <v>2379</v>
      </c>
      <c r="E922" s="7">
        <v>14763.98</v>
      </c>
      <c r="F922" s="7">
        <v>5.39</v>
      </c>
      <c r="G922">
        <v>11</v>
      </c>
      <c r="H922" t="s">
        <v>2883</v>
      </c>
      <c r="I922" t="s">
        <v>2377</v>
      </c>
      <c r="J922">
        <v>0</v>
      </c>
      <c r="K922" s="9">
        <f t="shared" si="28"/>
        <v>44040</v>
      </c>
      <c r="L922">
        <f t="shared" si="29"/>
        <v>1476398</v>
      </c>
    </row>
    <row r="923" spans="1:12">
      <c r="A923">
        <v>1297</v>
      </c>
      <c r="B923">
        <v>584</v>
      </c>
      <c r="C923">
        <v>1</v>
      </c>
      <c r="D923" t="s">
        <v>2379</v>
      </c>
      <c r="E923" s="7">
        <v>5179.3</v>
      </c>
      <c r="F923" s="7">
        <v>12.45</v>
      </c>
      <c r="G923">
        <v>7</v>
      </c>
      <c r="H923" t="s">
        <v>2625</v>
      </c>
      <c r="I923" t="s">
        <v>2377</v>
      </c>
      <c r="J923">
        <v>80</v>
      </c>
      <c r="K923" s="9">
        <f t="shared" si="28"/>
        <v>44298</v>
      </c>
      <c r="L923">
        <f t="shared" si="29"/>
        <v>51793</v>
      </c>
    </row>
    <row r="924" spans="1:12">
      <c r="A924">
        <v>1298</v>
      </c>
      <c r="B924">
        <v>605</v>
      </c>
      <c r="C924">
        <v>5</v>
      </c>
      <c r="D924" t="s">
        <v>2379</v>
      </c>
      <c r="E924" s="7">
        <v>1755.19</v>
      </c>
      <c r="F924" s="7">
        <v>9.67</v>
      </c>
      <c r="G924">
        <v>58</v>
      </c>
      <c r="H924" t="s">
        <v>2884</v>
      </c>
      <c r="I924" t="s">
        <v>2377</v>
      </c>
      <c r="J924">
        <v>0</v>
      </c>
      <c r="K924" s="9">
        <f t="shared" si="28"/>
        <v>45244</v>
      </c>
      <c r="L924">
        <f t="shared" si="29"/>
        <v>175519</v>
      </c>
    </row>
    <row r="925" spans="1:12">
      <c r="A925">
        <v>1299</v>
      </c>
      <c r="B925">
        <v>206</v>
      </c>
      <c r="C925">
        <v>1</v>
      </c>
      <c r="D925" t="s">
        <v>2376</v>
      </c>
      <c r="E925" s="7">
        <v>54447.01</v>
      </c>
      <c r="F925" s="7">
        <v>10.08</v>
      </c>
      <c r="G925">
        <v>49</v>
      </c>
      <c r="H925" t="s">
        <v>2833</v>
      </c>
      <c r="I925" t="s">
        <v>2383</v>
      </c>
      <c r="J925">
        <v>0</v>
      </c>
      <c r="K925" s="9">
        <f t="shared" si="28"/>
        <v>44778</v>
      </c>
      <c r="L925">
        <f t="shared" si="29"/>
        <v>5444701</v>
      </c>
    </row>
    <row r="926" spans="1:12">
      <c r="A926">
        <v>1300</v>
      </c>
      <c r="B926">
        <v>488</v>
      </c>
      <c r="C926">
        <v>4</v>
      </c>
      <c r="D926" t="s">
        <v>2379</v>
      </c>
      <c r="E926" s="7">
        <v>7868.34</v>
      </c>
      <c r="F926" s="7">
        <v>13.16</v>
      </c>
      <c r="G926">
        <v>17</v>
      </c>
      <c r="H926" t="s">
        <v>2885</v>
      </c>
      <c r="I926" t="s">
        <v>2377</v>
      </c>
      <c r="J926">
        <v>0</v>
      </c>
      <c r="K926" s="9">
        <f t="shared" si="28"/>
        <v>45505</v>
      </c>
      <c r="L926">
        <f t="shared" si="29"/>
        <v>786834</v>
      </c>
    </row>
    <row r="927" spans="1:12">
      <c r="A927">
        <v>1003</v>
      </c>
      <c r="B927">
        <v>566</v>
      </c>
      <c r="C927">
        <v>2</v>
      </c>
      <c r="D927" t="s">
        <v>2376</v>
      </c>
      <c r="E927" s="7">
        <v>90948</v>
      </c>
      <c r="F927" s="7">
        <v>6.03</v>
      </c>
      <c r="G927">
        <v>24</v>
      </c>
      <c r="H927" t="s">
        <v>1744</v>
      </c>
      <c r="I927" t="s">
        <v>2393</v>
      </c>
      <c r="J927">
        <v>308</v>
      </c>
      <c r="K927" s="9">
        <f t="shared" si="28"/>
        <v>45012</v>
      </c>
      <c r="L927">
        <f t="shared" si="29"/>
        <v>90948</v>
      </c>
    </row>
    <row r="928" spans="1:12">
      <c r="A928">
        <v>1004</v>
      </c>
      <c r="B928">
        <v>721</v>
      </c>
      <c r="C928">
        <v>4</v>
      </c>
      <c r="D928" t="s">
        <v>2376</v>
      </c>
      <c r="E928" s="7">
        <v>39948.35</v>
      </c>
      <c r="F928" s="7">
        <v>14.12</v>
      </c>
      <c r="G928">
        <v>101</v>
      </c>
      <c r="H928" t="s">
        <v>1566</v>
      </c>
      <c r="I928" t="s">
        <v>2377</v>
      </c>
      <c r="J928">
        <v>0</v>
      </c>
      <c r="K928" s="9">
        <f t="shared" si="28"/>
        <v>44462</v>
      </c>
      <c r="L928">
        <f t="shared" si="29"/>
        <v>3994835</v>
      </c>
    </row>
    <row r="929" spans="1:12">
      <c r="A929">
        <v>1005</v>
      </c>
      <c r="B929">
        <v>538</v>
      </c>
      <c r="C929">
        <v>2</v>
      </c>
      <c r="D929" t="s">
        <v>2379</v>
      </c>
      <c r="E929" s="7">
        <v>9676.39</v>
      </c>
      <c r="F929" s="7">
        <v>19.77</v>
      </c>
      <c r="G929">
        <v>23</v>
      </c>
      <c r="H929" t="s">
        <v>2886</v>
      </c>
      <c r="I929" t="s">
        <v>2377</v>
      </c>
      <c r="J929">
        <v>0</v>
      </c>
      <c r="K929" s="9">
        <f t="shared" si="28"/>
        <v>43886</v>
      </c>
      <c r="L929">
        <f t="shared" si="29"/>
        <v>967639</v>
      </c>
    </row>
    <row r="930" spans="1:12">
      <c r="A930">
        <v>1006</v>
      </c>
      <c r="B930">
        <v>555</v>
      </c>
      <c r="C930">
        <v>7</v>
      </c>
      <c r="D930" t="s">
        <v>2390</v>
      </c>
      <c r="E930" s="7">
        <v>21989.01</v>
      </c>
      <c r="F930" s="7">
        <v>14.63</v>
      </c>
      <c r="G930">
        <v>66</v>
      </c>
      <c r="H930" t="s">
        <v>2763</v>
      </c>
      <c r="I930" t="s">
        <v>2393</v>
      </c>
      <c r="J930">
        <v>267</v>
      </c>
      <c r="K930" s="9">
        <f t="shared" si="28"/>
        <v>44987</v>
      </c>
      <c r="L930">
        <f t="shared" si="29"/>
        <v>2198901</v>
      </c>
    </row>
    <row r="931" spans="1:12">
      <c r="A931">
        <v>1007</v>
      </c>
      <c r="B931">
        <v>212</v>
      </c>
      <c r="C931">
        <v>2</v>
      </c>
      <c r="D931" t="s">
        <v>2387</v>
      </c>
      <c r="E931" s="7">
        <v>84894.79</v>
      </c>
      <c r="F931" s="7">
        <v>12.52</v>
      </c>
      <c r="G931">
        <v>306</v>
      </c>
      <c r="H931" t="s">
        <v>2887</v>
      </c>
      <c r="I931" t="s">
        <v>2377</v>
      </c>
      <c r="J931">
        <v>0</v>
      </c>
      <c r="K931" s="9">
        <f t="shared" si="28"/>
        <v>44082</v>
      </c>
      <c r="L931">
        <f t="shared" si="29"/>
        <v>8489479</v>
      </c>
    </row>
    <row r="932" spans="1:12">
      <c r="A932">
        <v>1008</v>
      </c>
      <c r="B932">
        <v>386</v>
      </c>
      <c r="C932">
        <v>7</v>
      </c>
      <c r="D932" t="s">
        <v>2385</v>
      </c>
      <c r="E932" s="7">
        <v>4255.57</v>
      </c>
      <c r="F932" s="7">
        <v>16.79</v>
      </c>
      <c r="G932">
        <v>21</v>
      </c>
      <c r="H932" t="s">
        <v>2888</v>
      </c>
      <c r="I932" t="s">
        <v>2377</v>
      </c>
      <c r="J932">
        <v>0</v>
      </c>
      <c r="K932" s="9">
        <f t="shared" si="28"/>
        <v>44131</v>
      </c>
      <c r="L932">
        <f t="shared" si="29"/>
        <v>425557</v>
      </c>
    </row>
    <row r="933" spans="1:12">
      <c r="A933">
        <v>1009</v>
      </c>
      <c r="B933">
        <v>146</v>
      </c>
      <c r="C933">
        <v>1</v>
      </c>
      <c r="D933" t="s">
        <v>2390</v>
      </c>
      <c r="E933" s="7">
        <v>15209.96</v>
      </c>
      <c r="F933" s="7">
        <v>15.5</v>
      </c>
      <c r="G933">
        <v>47</v>
      </c>
      <c r="H933" t="s">
        <v>2889</v>
      </c>
      <c r="I933" t="s">
        <v>2377</v>
      </c>
      <c r="J933">
        <v>4</v>
      </c>
      <c r="K933" s="9">
        <f t="shared" si="28"/>
        <v>45311</v>
      </c>
      <c r="L933">
        <f t="shared" si="29"/>
        <v>1520996</v>
      </c>
    </row>
    <row r="934" spans="1:12">
      <c r="A934">
        <v>1010</v>
      </c>
      <c r="B934">
        <v>983</v>
      </c>
      <c r="C934">
        <v>7</v>
      </c>
      <c r="D934" t="s">
        <v>2376</v>
      </c>
      <c r="E934" s="7">
        <v>101545.57</v>
      </c>
      <c r="F934" s="7">
        <v>20.56</v>
      </c>
      <c r="G934">
        <v>29</v>
      </c>
      <c r="H934" t="s">
        <v>1503</v>
      </c>
      <c r="I934" t="s">
        <v>2393</v>
      </c>
      <c r="J934">
        <v>312</v>
      </c>
      <c r="K934" s="9">
        <f t="shared" si="28"/>
        <v>44719</v>
      </c>
      <c r="L934">
        <f t="shared" si="29"/>
        <v>10154557</v>
      </c>
    </row>
    <row r="935" spans="1:12">
      <c r="A935">
        <v>1011</v>
      </c>
      <c r="B935">
        <v>387</v>
      </c>
      <c r="C935">
        <v>7</v>
      </c>
      <c r="D935" t="s">
        <v>2379</v>
      </c>
      <c r="E935" s="7">
        <v>14698.87</v>
      </c>
      <c r="F935" s="7">
        <v>7.6</v>
      </c>
      <c r="G935">
        <v>29</v>
      </c>
      <c r="H935" t="s">
        <v>1225</v>
      </c>
      <c r="I935" t="s">
        <v>2393</v>
      </c>
      <c r="J935">
        <v>239</v>
      </c>
      <c r="K935" s="9">
        <f t="shared" si="28"/>
        <v>45074</v>
      </c>
      <c r="L935">
        <f t="shared" si="29"/>
        <v>1469887</v>
      </c>
    </row>
    <row r="936" spans="1:12">
      <c r="A936">
        <v>1012</v>
      </c>
      <c r="B936">
        <v>16</v>
      </c>
      <c r="C936">
        <v>6</v>
      </c>
      <c r="D936" t="s">
        <v>2376</v>
      </c>
      <c r="E936" s="7">
        <v>93089.99</v>
      </c>
      <c r="F936" s="7">
        <v>15.54</v>
      </c>
      <c r="G936">
        <v>31</v>
      </c>
      <c r="H936" t="s">
        <v>2890</v>
      </c>
      <c r="I936" t="s">
        <v>2383</v>
      </c>
      <c r="J936">
        <v>0</v>
      </c>
      <c r="K936" s="9">
        <f t="shared" si="28"/>
        <v>44630</v>
      </c>
      <c r="L936">
        <f t="shared" si="29"/>
        <v>9308999</v>
      </c>
    </row>
    <row r="937" spans="1:12">
      <c r="A937">
        <v>1013</v>
      </c>
      <c r="B937">
        <v>610</v>
      </c>
      <c r="C937">
        <v>3</v>
      </c>
      <c r="D937" t="s">
        <v>2379</v>
      </c>
      <c r="E937" s="7">
        <v>2339.87</v>
      </c>
      <c r="F937" s="7">
        <v>10.33</v>
      </c>
      <c r="G937">
        <v>15</v>
      </c>
      <c r="H937" t="s">
        <v>860</v>
      </c>
      <c r="I937" t="s">
        <v>2383</v>
      </c>
      <c r="J937">
        <v>0</v>
      </c>
      <c r="K937" s="9">
        <f t="shared" si="28"/>
        <v>44227</v>
      </c>
      <c r="L937">
        <f t="shared" si="29"/>
        <v>233987</v>
      </c>
    </row>
    <row r="938" spans="1:12">
      <c r="A938">
        <v>1014</v>
      </c>
      <c r="B938">
        <v>249</v>
      </c>
      <c r="C938">
        <v>6</v>
      </c>
      <c r="D938" t="s">
        <v>2387</v>
      </c>
      <c r="E938" s="7">
        <v>57447.94</v>
      </c>
      <c r="F938" s="7">
        <v>15.32</v>
      </c>
      <c r="G938">
        <v>217</v>
      </c>
      <c r="H938" t="s">
        <v>2891</v>
      </c>
      <c r="I938" t="s">
        <v>2377</v>
      </c>
      <c r="J938">
        <v>0</v>
      </c>
      <c r="K938" s="9">
        <f t="shared" si="28"/>
        <v>43911</v>
      </c>
      <c r="L938">
        <f t="shared" si="29"/>
        <v>5744794</v>
      </c>
    </row>
    <row r="939" spans="1:12">
      <c r="A939">
        <v>1015</v>
      </c>
      <c r="B939">
        <v>194</v>
      </c>
      <c r="C939">
        <v>4</v>
      </c>
      <c r="D939" t="s">
        <v>2390</v>
      </c>
      <c r="E939" s="7">
        <v>8141.19</v>
      </c>
      <c r="F939" s="7">
        <v>7.26</v>
      </c>
      <c r="G939">
        <v>53</v>
      </c>
      <c r="H939" t="s">
        <v>2467</v>
      </c>
      <c r="I939" t="s">
        <v>2383</v>
      </c>
      <c r="J939">
        <v>0</v>
      </c>
      <c r="K939" s="9">
        <f t="shared" si="28"/>
        <v>44438</v>
      </c>
      <c r="L939">
        <f t="shared" si="29"/>
        <v>814119</v>
      </c>
    </row>
    <row r="940" spans="1:12">
      <c r="A940">
        <v>1016</v>
      </c>
      <c r="B940">
        <v>638</v>
      </c>
      <c r="C940">
        <v>2</v>
      </c>
      <c r="D940" t="s">
        <v>2379</v>
      </c>
      <c r="E940" s="7">
        <v>5440.43</v>
      </c>
      <c r="F940" s="7">
        <v>21.2</v>
      </c>
      <c r="G940">
        <v>8</v>
      </c>
      <c r="H940" t="s">
        <v>2892</v>
      </c>
      <c r="I940" t="s">
        <v>2377</v>
      </c>
      <c r="J940">
        <v>0</v>
      </c>
      <c r="K940" s="9">
        <f t="shared" si="28"/>
        <v>45427</v>
      </c>
      <c r="L940">
        <f t="shared" si="29"/>
        <v>544043</v>
      </c>
    </row>
    <row r="941" spans="1:12">
      <c r="A941">
        <v>1017</v>
      </c>
      <c r="B941">
        <v>820</v>
      </c>
      <c r="C941">
        <v>4</v>
      </c>
      <c r="D941" t="s">
        <v>2379</v>
      </c>
      <c r="E941" s="7">
        <v>10035.29</v>
      </c>
      <c r="F941" s="7">
        <v>18.8</v>
      </c>
      <c r="G941">
        <v>55</v>
      </c>
      <c r="H941" t="s">
        <v>1954</v>
      </c>
      <c r="I941" t="s">
        <v>2377</v>
      </c>
      <c r="J941">
        <v>0</v>
      </c>
      <c r="K941" s="9">
        <f t="shared" si="28"/>
        <v>44790</v>
      </c>
      <c r="L941">
        <f t="shared" si="29"/>
        <v>1003529</v>
      </c>
    </row>
    <row r="942" spans="1:12">
      <c r="A942">
        <v>1018</v>
      </c>
      <c r="B942">
        <v>181</v>
      </c>
      <c r="C942">
        <v>4</v>
      </c>
      <c r="D942" t="s">
        <v>2376</v>
      </c>
      <c r="E942" s="7">
        <v>76645.38</v>
      </c>
      <c r="F942" s="7">
        <v>14.95</v>
      </c>
      <c r="G942">
        <v>13</v>
      </c>
      <c r="H942" t="s">
        <v>2893</v>
      </c>
      <c r="I942" t="s">
        <v>2377</v>
      </c>
      <c r="J942">
        <v>0</v>
      </c>
      <c r="K942" s="9">
        <f t="shared" si="28"/>
        <v>44794</v>
      </c>
      <c r="L942">
        <f t="shared" si="29"/>
        <v>7664538</v>
      </c>
    </row>
    <row r="943" spans="1:12">
      <c r="A943">
        <v>1019</v>
      </c>
      <c r="B943">
        <v>117</v>
      </c>
      <c r="C943">
        <v>1</v>
      </c>
      <c r="D943" t="s">
        <v>2385</v>
      </c>
      <c r="E943" s="7">
        <v>685.04</v>
      </c>
      <c r="F943" s="7">
        <v>16.82</v>
      </c>
      <c r="G943">
        <v>15</v>
      </c>
      <c r="H943" t="s">
        <v>2893</v>
      </c>
      <c r="I943" t="s">
        <v>2377</v>
      </c>
      <c r="J943">
        <v>35</v>
      </c>
      <c r="K943" s="9">
        <f t="shared" si="28"/>
        <v>44794</v>
      </c>
      <c r="L943">
        <f t="shared" si="29"/>
        <v>68504</v>
      </c>
    </row>
    <row r="944" spans="1:12">
      <c r="A944">
        <v>1020</v>
      </c>
      <c r="B944">
        <v>927</v>
      </c>
      <c r="C944">
        <v>6</v>
      </c>
      <c r="D944" t="s">
        <v>2376</v>
      </c>
      <c r="E944" s="7">
        <v>26299.85</v>
      </c>
      <c r="F944" s="7">
        <v>16.41</v>
      </c>
      <c r="G944">
        <v>117</v>
      </c>
      <c r="H944" t="s">
        <v>2727</v>
      </c>
      <c r="I944" t="s">
        <v>2377</v>
      </c>
      <c r="J944">
        <v>0</v>
      </c>
      <c r="K944" s="9">
        <f t="shared" si="28"/>
        <v>45458</v>
      </c>
      <c r="L944">
        <f t="shared" si="29"/>
        <v>2629985</v>
      </c>
    </row>
    <row r="945" spans="1:12">
      <c r="A945">
        <v>1021</v>
      </c>
      <c r="B945">
        <v>662</v>
      </c>
      <c r="C945">
        <v>7</v>
      </c>
      <c r="D945" t="s">
        <v>2385</v>
      </c>
      <c r="E945" s="7">
        <v>2557.48</v>
      </c>
      <c r="F945" s="7">
        <v>7.6</v>
      </c>
      <c r="G945">
        <v>8</v>
      </c>
      <c r="H945" t="s">
        <v>2894</v>
      </c>
      <c r="I945" t="s">
        <v>2383</v>
      </c>
      <c r="J945">
        <v>0</v>
      </c>
      <c r="K945" s="9">
        <f t="shared" si="28"/>
        <v>44320</v>
      </c>
      <c r="L945">
        <f t="shared" si="29"/>
        <v>255748</v>
      </c>
    </row>
    <row r="946" spans="1:12">
      <c r="A946">
        <v>1022</v>
      </c>
      <c r="B946">
        <v>18</v>
      </c>
      <c r="C946">
        <v>6</v>
      </c>
      <c r="D946" t="s">
        <v>2376</v>
      </c>
      <c r="E946" s="7">
        <v>22392.77</v>
      </c>
      <c r="F946" s="7">
        <v>15.42</v>
      </c>
      <c r="G946">
        <v>19</v>
      </c>
      <c r="H946" t="s">
        <v>246</v>
      </c>
      <c r="I946" t="s">
        <v>2377</v>
      </c>
      <c r="J946">
        <v>0</v>
      </c>
      <c r="K946" s="9">
        <f t="shared" si="28"/>
        <v>44813</v>
      </c>
      <c r="L946">
        <f t="shared" si="29"/>
        <v>2239277</v>
      </c>
    </row>
    <row r="947" spans="1:12">
      <c r="A947">
        <v>1023</v>
      </c>
      <c r="B947">
        <v>616</v>
      </c>
      <c r="C947">
        <v>1</v>
      </c>
      <c r="D947" t="s">
        <v>2390</v>
      </c>
      <c r="E947" s="7">
        <v>19753.48</v>
      </c>
      <c r="F947" s="7">
        <v>9.67</v>
      </c>
      <c r="G947">
        <v>62</v>
      </c>
      <c r="H947" t="s">
        <v>2196</v>
      </c>
      <c r="I947" t="s">
        <v>2377</v>
      </c>
      <c r="J947">
        <v>0</v>
      </c>
      <c r="K947" s="9">
        <f t="shared" si="28"/>
        <v>45223</v>
      </c>
      <c r="L947">
        <f t="shared" si="29"/>
        <v>1975348</v>
      </c>
    </row>
    <row r="948" spans="1:12">
      <c r="A948">
        <v>1024</v>
      </c>
      <c r="B948">
        <v>575</v>
      </c>
      <c r="C948">
        <v>6</v>
      </c>
      <c r="D948" t="s">
        <v>2390</v>
      </c>
      <c r="E948" s="7">
        <v>38757.97</v>
      </c>
      <c r="F948" s="7">
        <v>7.53</v>
      </c>
      <c r="G948">
        <v>71</v>
      </c>
      <c r="H948" t="s">
        <v>2895</v>
      </c>
      <c r="I948" t="s">
        <v>2383</v>
      </c>
      <c r="J948">
        <v>0</v>
      </c>
      <c r="K948" s="9">
        <f t="shared" si="28"/>
        <v>45684</v>
      </c>
      <c r="L948">
        <f t="shared" si="29"/>
        <v>3875797</v>
      </c>
    </row>
    <row r="949" spans="1:12">
      <c r="A949">
        <v>1025</v>
      </c>
      <c r="B949">
        <v>76</v>
      </c>
      <c r="C949">
        <v>4</v>
      </c>
      <c r="D949" t="s">
        <v>2379</v>
      </c>
      <c r="E949" s="7">
        <v>6573.58</v>
      </c>
      <c r="F949" s="7">
        <v>16.39</v>
      </c>
      <c r="G949">
        <v>18</v>
      </c>
      <c r="H949" t="s">
        <v>999</v>
      </c>
      <c r="I949" t="s">
        <v>2377</v>
      </c>
      <c r="J949">
        <v>0</v>
      </c>
      <c r="K949" s="9">
        <f t="shared" si="28"/>
        <v>45101</v>
      </c>
      <c r="L949">
        <f t="shared" si="29"/>
        <v>657358</v>
      </c>
    </row>
    <row r="950" spans="1:12">
      <c r="A950">
        <v>1026</v>
      </c>
      <c r="B950">
        <v>135</v>
      </c>
      <c r="C950">
        <v>6</v>
      </c>
      <c r="D950" t="s">
        <v>2376</v>
      </c>
      <c r="E950" s="7">
        <v>24924.85</v>
      </c>
      <c r="F950" s="7">
        <v>10.24</v>
      </c>
      <c r="G950">
        <v>53</v>
      </c>
      <c r="H950" t="s">
        <v>2896</v>
      </c>
      <c r="I950" t="s">
        <v>2377</v>
      </c>
      <c r="J950">
        <v>0</v>
      </c>
      <c r="K950" s="9">
        <f t="shared" si="28"/>
        <v>45776</v>
      </c>
      <c r="L950">
        <f t="shared" si="29"/>
        <v>2492485</v>
      </c>
    </row>
    <row r="951" spans="1:12">
      <c r="A951">
        <v>1027</v>
      </c>
      <c r="B951">
        <v>7</v>
      </c>
      <c r="C951">
        <v>7</v>
      </c>
      <c r="D951" t="s">
        <v>2390</v>
      </c>
      <c r="E951" s="7">
        <v>10696.82</v>
      </c>
      <c r="F951" s="7">
        <v>9.32</v>
      </c>
      <c r="G951">
        <v>65</v>
      </c>
      <c r="H951" t="s">
        <v>2897</v>
      </c>
      <c r="I951" t="s">
        <v>2377</v>
      </c>
      <c r="J951">
        <v>0</v>
      </c>
      <c r="K951" s="9">
        <f t="shared" si="28"/>
        <v>44562</v>
      </c>
      <c r="L951">
        <f t="shared" si="29"/>
        <v>1069682</v>
      </c>
    </row>
    <row r="952" spans="1:12">
      <c r="A952">
        <v>1028</v>
      </c>
      <c r="B952">
        <v>470</v>
      </c>
      <c r="C952">
        <v>2</v>
      </c>
      <c r="D952" t="s">
        <v>2387</v>
      </c>
      <c r="E952" s="7">
        <v>188534.87</v>
      </c>
      <c r="F952" s="7">
        <v>8.98</v>
      </c>
      <c r="G952">
        <v>121</v>
      </c>
      <c r="H952" t="s">
        <v>2898</v>
      </c>
      <c r="I952" t="s">
        <v>2377</v>
      </c>
      <c r="J952">
        <v>0</v>
      </c>
      <c r="K952" s="9">
        <f t="shared" si="28"/>
        <v>43983</v>
      </c>
      <c r="L952">
        <f t="shared" si="29"/>
        <v>18853487</v>
      </c>
    </row>
    <row r="953" spans="1:12">
      <c r="A953">
        <v>1029</v>
      </c>
      <c r="B953">
        <v>503</v>
      </c>
      <c r="C953">
        <v>5</v>
      </c>
      <c r="D953" t="s">
        <v>2390</v>
      </c>
      <c r="E953" s="7">
        <v>15967.26</v>
      </c>
      <c r="F953" s="7">
        <v>9.18</v>
      </c>
      <c r="G953">
        <v>68</v>
      </c>
      <c r="H953" t="s">
        <v>2899</v>
      </c>
      <c r="I953" t="s">
        <v>2377</v>
      </c>
      <c r="J953">
        <v>0</v>
      </c>
      <c r="K953" s="9">
        <f t="shared" si="28"/>
        <v>45678</v>
      </c>
      <c r="L953">
        <f t="shared" si="29"/>
        <v>1596726</v>
      </c>
    </row>
    <row r="954" spans="1:12">
      <c r="A954">
        <v>1030</v>
      </c>
      <c r="B954">
        <v>357</v>
      </c>
      <c r="C954">
        <v>4</v>
      </c>
      <c r="D954" t="s">
        <v>2390</v>
      </c>
      <c r="E954" s="7">
        <v>31966.28</v>
      </c>
      <c r="F954" s="7">
        <v>9.15</v>
      </c>
      <c r="G954">
        <v>81</v>
      </c>
      <c r="H954" t="s">
        <v>2595</v>
      </c>
      <c r="I954" t="s">
        <v>2377</v>
      </c>
      <c r="J954">
        <v>0</v>
      </c>
      <c r="K954" s="9">
        <f t="shared" si="28"/>
        <v>43988</v>
      </c>
      <c r="L954">
        <f t="shared" si="29"/>
        <v>3196628</v>
      </c>
    </row>
    <row r="955" spans="1:12">
      <c r="A955">
        <v>1031</v>
      </c>
      <c r="B955">
        <v>838</v>
      </c>
      <c r="C955">
        <v>2</v>
      </c>
      <c r="D955" t="s">
        <v>2390</v>
      </c>
      <c r="E955" s="7">
        <v>29044.95</v>
      </c>
      <c r="F955" s="7">
        <v>13.73</v>
      </c>
      <c r="G955">
        <v>26</v>
      </c>
      <c r="H955" t="s">
        <v>2900</v>
      </c>
      <c r="I955" t="s">
        <v>2377</v>
      </c>
      <c r="J955">
        <v>0</v>
      </c>
      <c r="K955" s="9">
        <f t="shared" si="28"/>
        <v>44601</v>
      </c>
      <c r="L955">
        <f t="shared" si="29"/>
        <v>2904495</v>
      </c>
    </row>
    <row r="956" spans="1:12">
      <c r="A956">
        <v>1032</v>
      </c>
      <c r="B956">
        <v>509</v>
      </c>
      <c r="C956">
        <v>5</v>
      </c>
      <c r="D956" t="s">
        <v>2390</v>
      </c>
      <c r="E956" s="7">
        <v>15625.11</v>
      </c>
      <c r="F956" s="7">
        <v>17.05</v>
      </c>
      <c r="G956">
        <v>78</v>
      </c>
      <c r="H956" t="s">
        <v>444</v>
      </c>
      <c r="I956" t="s">
        <v>2377</v>
      </c>
      <c r="J956">
        <v>0</v>
      </c>
      <c r="K956" s="9">
        <f t="shared" si="28"/>
        <v>44776</v>
      </c>
      <c r="L956">
        <f t="shared" si="29"/>
        <v>1562511</v>
      </c>
    </row>
    <row r="957" spans="1:12">
      <c r="A957">
        <v>1033</v>
      </c>
      <c r="B957">
        <v>955</v>
      </c>
      <c r="C957">
        <v>5</v>
      </c>
      <c r="D957" t="s">
        <v>2390</v>
      </c>
      <c r="E957" s="7">
        <v>11861.23</v>
      </c>
      <c r="F957" s="7">
        <v>20.13</v>
      </c>
      <c r="G957">
        <v>57</v>
      </c>
      <c r="H957" t="s">
        <v>1824</v>
      </c>
      <c r="I957" t="s">
        <v>2377</v>
      </c>
      <c r="J957">
        <v>0</v>
      </c>
      <c r="K957" s="9">
        <f t="shared" si="28"/>
        <v>45157</v>
      </c>
      <c r="L957">
        <f t="shared" si="29"/>
        <v>1186123</v>
      </c>
    </row>
    <row r="958" spans="1:12">
      <c r="A958">
        <v>1034</v>
      </c>
      <c r="B958">
        <v>639</v>
      </c>
      <c r="C958">
        <v>4</v>
      </c>
      <c r="D958" t="s">
        <v>2376</v>
      </c>
      <c r="E958" s="7">
        <v>104853.3</v>
      </c>
      <c r="F958" s="7">
        <v>12.53</v>
      </c>
      <c r="G958">
        <v>65</v>
      </c>
      <c r="H958" t="s">
        <v>1605</v>
      </c>
      <c r="I958" t="s">
        <v>2377</v>
      </c>
      <c r="J958">
        <v>0</v>
      </c>
      <c r="K958" s="9">
        <f t="shared" si="28"/>
        <v>45639</v>
      </c>
      <c r="L958">
        <f t="shared" si="29"/>
        <v>1048533</v>
      </c>
    </row>
    <row r="959" spans="1:12">
      <c r="A959">
        <v>1035</v>
      </c>
      <c r="B959">
        <v>471</v>
      </c>
      <c r="C959">
        <v>1</v>
      </c>
      <c r="D959" t="s">
        <v>2379</v>
      </c>
      <c r="E959" s="7">
        <v>1743.21</v>
      </c>
      <c r="F959" s="7">
        <v>12.81</v>
      </c>
      <c r="G959">
        <v>46</v>
      </c>
      <c r="H959" t="s">
        <v>1459</v>
      </c>
      <c r="I959" t="s">
        <v>2377</v>
      </c>
      <c r="J959">
        <v>48</v>
      </c>
      <c r="K959" s="9">
        <f t="shared" si="28"/>
        <v>45102</v>
      </c>
      <c r="L959">
        <f t="shared" si="29"/>
        <v>174321</v>
      </c>
    </row>
    <row r="960" spans="1:12">
      <c r="A960">
        <v>1036</v>
      </c>
      <c r="B960">
        <v>488</v>
      </c>
      <c r="C960">
        <v>4</v>
      </c>
      <c r="D960" t="s">
        <v>2379</v>
      </c>
      <c r="E960" s="7">
        <v>14363.26</v>
      </c>
      <c r="F960" s="7">
        <v>13.02</v>
      </c>
      <c r="G960">
        <v>27</v>
      </c>
      <c r="H960" t="s">
        <v>2473</v>
      </c>
      <c r="I960" t="s">
        <v>2377</v>
      </c>
      <c r="J960">
        <v>0</v>
      </c>
      <c r="K960" s="9">
        <f t="shared" si="28"/>
        <v>44884</v>
      </c>
      <c r="L960">
        <f t="shared" si="29"/>
        <v>1436326</v>
      </c>
    </row>
    <row r="961" spans="1:12">
      <c r="A961">
        <v>1037</v>
      </c>
      <c r="B961">
        <v>870</v>
      </c>
      <c r="C961">
        <v>6</v>
      </c>
      <c r="D961" t="s">
        <v>2379</v>
      </c>
      <c r="E961" s="7">
        <v>2873.3</v>
      </c>
      <c r="F961" s="7">
        <v>7.03</v>
      </c>
      <c r="G961">
        <v>45</v>
      </c>
      <c r="H961" t="s">
        <v>2510</v>
      </c>
      <c r="I961" t="s">
        <v>2377</v>
      </c>
      <c r="J961">
        <v>0</v>
      </c>
      <c r="K961" s="9">
        <f t="shared" si="28"/>
        <v>44995</v>
      </c>
      <c r="L961">
        <f t="shared" si="29"/>
        <v>28733</v>
      </c>
    </row>
    <row r="962" spans="1:12">
      <c r="A962">
        <v>1038</v>
      </c>
      <c r="B962">
        <v>311</v>
      </c>
      <c r="C962">
        <v>3</v>
      </c>
      <c r="D962" t="s">
        <v>2379</v>
      </c>
      <c r="E962" s="7">
        <v>14390.36</v>
      </c>
      <c r="F962" s="7">
        <v>15.34</v>
      </c>
      <c r="G962">
        <v>21</v>
      </c>
      <c r="H962" t="s">
        <v>249</v>
      </c>
      <c r="I962" t="s">
        <v>2393</v>
      </c>
      <c r="J962">
        <v>338</v>
      </c>
      <c r="K962" s="9">
        <f t="shared" si="28"/>
        <v>45543</v>
      </c>
      <c r="L962">
        <f t="shared" si="29"/>
        <v>1439036</v>
      </c>
    </row>
    <row r="963" spans="1:12">
      <c r="A963">
        <v>1039</v>
      </c>
      <c r="B963">
        <v>292</v>
      </c>
      <c r="C963">
        <v>2</v>
      </c>
      <c r="D963" t="s">
        <v>2379</v>
      </c>
      <c r="E963" s="7">
        <v>3356.59</v>
      </c>
      <c r="F963" s="7">
        <v>17.09</v>
      </c>
      <c r="G963">
        <v>11</v>
      </c>
      <c r="H963" t="s">
        <v>2901</v>
      </c>
      <c r="I963" t="s">
        <v>2377</v>
      </c>
      <c r="J963">
        <v>0</v>
      </c>
      <c r="K963" s="9">
        <f t="shared" ref="K963:K1026" si="30">DATEVALUE(LEFT(H963,10))</f>
        <v>45130</v>
      </c>
      <c r="L963">
        <f t="shared" ref="L963:L1026" si="31">_xlfn.NUMBERVALUE(E963,".",",")</f>
        <v>335659</v>
      </c>
    </row>
    <row r="964" spans="1:12">
      <c r="A964">
        <v>1040</v>
      </c>
      <c r="B964">
        <v>764</v>
      </c>
      <c r="C964">
        <v>5</v>
      </c>
      <c r="D964" t="s">
        <v>2379</v>
      </c>
      <c r="E964" s="7">
        <v>4938.31</v>
      </c>
      <c r="F964" s="7">
        <v>8.47</v>
      </c>
      <c r="G964">
        <v>13</v>
      </c>
      <c r="H964" t="s">
        <v>2902</v>
      </c>
      <c r="I964" t="s">
        <v>2377</v>
      </c>
      <c r="J964">
        <v>0</v>
      </c>
      <c r="K964" s="9">
        <f t="shared" si="30"/>
        <v>45184</v>
      </c>
      <c r="L964">
        <f t="shared" si="31"/>
        <v>493831</v>
      </c>
    </row>
    <row r="965" spans="1:12">
      <c r="A965">
        <v>1041</v>
      </c>
      <c r="B965">
        <v>163</v>
      </c>
      <c r="C965">
        <v>1</v>
      </c>
      <c r="D965" t="s">
        <v>2379</v>
      </c>
      <c r="E965" s="7">
        <v>3548.65</v>
      </c>
      <c r="F965" s="7">
        <v>15.12</v>
      </c>
      <c r="G965">
        <v>7</v>
      </c>
      <c r="H965" t="s">
        <v>1647</v>
      </c>
      <c r="I965" t="s">
        <v>2383</v>
      </c>
      <c r="J965">
        <v>0</v>
      </c>
      <c r="K965" s="9">
        <f t="shared" si="30"/>
        <v>45403</v>
      </c>
      <c r="L965">
        <f t="shared" si="31"/>
        <v>354865</v>
      </c>
    </row>
    <row r="966" spans="1:12">
      <c r="A966">
        <v>1042</v>
      </c>
      <c r="B966">
        <v>892</v>
      </c>
      <c r="C966">
        <v>2</v>
      </c>
      <c r="D966" t="s">
        <v>2379</v>
      </c>
      <c r="E966" s="7">
        <v>10854.54</v>
      </c>
      <c r="F966" s="7">
        <v>9.11</v>
      </c>
      <c r="G966">
        <v>46</v>
      </c>
      <c r="H966" t="s">
        <v>2903</v>
      </c>
      <c r="I966" t="s">
        <v>2393</v>
      </c>
      <c r="J966">
        <v>210</v>
      </c>
      <c r="K966" s="9">
        <f t="shared" si="30"/>
        <v>44569</v>
      </c>
      <c r="L966">
        <f t="shared" si="31"/>
        <v>1085454</v>
      </c>
    </row>
    <row r="967" spans="1:12">
      <c r="A967">
        <v>1043</v>
      </c>
      <c r="B967">
        <v>779</v>
      </c>
      <c r="C967">
        <v>7</v>
      </c>
      <c r="D967" t="s">
        <v>2390</v>
      </c>
      <c r="E967" s="7">
        <v>11931.08</v>
      </c>
      <c r="F967" s="7">
        <v>8.11</v>
      </c>
      <c r="G967">
        <v>53</v>
      </c>
      <c r="H967" t="s">
        <v>2904</v>
      </c>
      <c r="I967" t="s">
        <v>2383</v>
      </c>
      <c r="J967">
        <v>0</v>
      </c>
      <c r="K967" s="9">
        <f t="shared" si="30"/>
        <v>44177</v>
      </c>
      <c r="L967">
        <f t="shared" si="31"/>
        <v>1193108</v>
      </c>
    </row>
    <row r="968" spans="1:12">
      <c r="A968">
        <v>1044</v>
      </c>
      <c r="B968">
        <v>436</v>
      </c>
      <c r="C968">
        <v>2</v>
      </c>
      <c r="D968" t="s">
        <v>2379</v>
      </c>
      <c r="E968" s="7">
        <v>1262.77</v>
      </c>
      <c r="F968" s="7">
        <v>19.82</v>
      </c>
      <c r="G968">
        <v>28</v>
      </c>
      <c r="H968" t="s">
        <v>2905</v>
      </c>
      <c r="I968" t="s">
        <v>2377</v>
      </c>
      <c r="J968">
        <v>0</v>
      </c>
      <c r="K968" s="9">
        <f t="shared" si="30"/>
        <v>44480</v>
      </c>
      <c r="L968">
        <f t="shared" si="31"/>
        <v>126277</v>
      </c>
    </row>
    <row r="969" spans="1:12">
      <c r="A969">
        <v>1045</v>
      </c>
      <c r="B969">
        <v>983</v>
      </c>
      <c r="C969">
        <v>7</v>
      </c>
      <c r="D969" t="s">
        <v>2379</v>
      </c>
      <c r="E969" s="7">
        <v>3459.58</v>
      </c>
      <c r="F969" s="7">
        <v>10.18</v>
      </c>
      <c r="G969">
        <v>13</v>
      </c>
      <c r="H969" t="s">
        <v>2848</v>
      </c>
      <c r="I969" t="s">
        <v>2377</v>
      </c>
      <c r="J969">
        <v>0</v>
      </c>
      <c r="K969" s="9">
        <f t="shared" si="30"/>
        <v>44239</v>
      </c>
      <c r="L969">
        <f t="shared" si="31"/>
        <v>345958</v>
      </c>
    </row>
    <row r="970" spans="1:12">
      <c r="A970">
        <v>1046</v>
      </c>
      <c r="B970">
        <v>795</v>
      </c>
      <c r="C970">
        <v>2</v>
      </c>
      <c r="D970" t="s">
        <v>2385</v>
      </c>
      <c r="E970" s="7">
        <v>3876.3</v>
      </c>
      <c r="F970" s="7">
        <v>10.89</v>
      </c>
      <c r="G970">
        <v>33</v>
      </c>
      <c r="H970" t="s">
        <v>1105</v>
      </c>
      <c r="I970" t="s">
        <v>2377</v>
      </c>
      <c r="J970">
        <v>0</v>
      </c>
      <c r="K970" s="9">
        <f t="shared" si="30"/>
        <v>43989</v>
      </c>
      <c r="L970">
        <f t="shared" si="31"/>
        <v>38763</v>
      </c>
    </row>
    <row r="971" spans="1:12">
      <c r="A971">
        <v>1047</v>
      </c>
      <c r="B971">
        <v>553</v>
      </c>
      <c r="C971">
        <v>4</v>
      </c>
      <c r="D971" t="s">
        <v>2387</v>
      </c>
      <c r="E971" s="7">
        <v>144704.83</v>
      </c>
      <c r="F971" s="7">
        <v>10.36</v>
      </c>
      <c r="G971">
        <v>306</v>
      </c>
      <c r="H971" t="s">
        <v>2906</v>
      </c>
      <c r="I971" t="s">
        <v>2377</v>
      </c>
      <c r="J971">
        <v>0</v>
      </c>
      <c r="K971" s="9">
        <f t="shared" si="30"/>
        <v>44586</v>
      </c>
      <c r="L971">
        <f t="shared" si="31"/>
        <v>14470483</v>
      </c>
    </row>
    <row r="972" spans="1:12">
      <c r="A972">
        <v>1048</v>
      </c>
      <c r="B972">
        <v>337</v>
      </c>
      <c r="C972">
        <v>2</v>
      </c>
      <c r="D972" t="s">
        <v>2387</v>
      </c>
      <c r="E972" s="7">
        <v>57076.09</v>
      </c>
      <c r="F972" s="7">
        <v>10.85</v>
      </c>
      <c r="G972">
        <v>132</v>
      </c>
      <c r="H972" t="s">
        <v>2907</v>
      </c>
      <c r="I972" t="s">
        <v>2377</v>
      </c>
      <c r="J972">
        <v>0</v>
      </c>
      <c r="K972" s="9">
        <f t="shared" si="30"/>
        <v>45536</v>
      </c>
      <c r="L972">
        <f t="shared" si="31"/>
        <v>5707609</v>
      </c>
    </row>
    <row r="973" spans="1:12">
      <c r="A973">
        <v>1049</v>
      </c>
      <c r="B973">
        <v>365</v>
      </c>
      <c r="C973">
        <v>1</v>
      </c>
      <c r="D973" t="s">
        <v>2376</v>
      </c>
      <c r="E973" s="7">
        <v>129511.5</v>
      </c>
      <c r="F973" s="7">
        <v>12.57</v>
      </c>
      <c r="G973">
        <v>17</v>
      </c>
      <c r="H973" t="s">
        <v>579</v>
      </c>
      <c r="I973" t="s">
        <v>2383</v>
      </c>
      <c r="J973">
        <v>0</v>
      </c>
      <c r="K973" s="9">
        <f t="shared" si="30"/>
        <v>43838</v>
      </c>
      <c r="L973">
        <f t="shared" si="31"/>
        <v>1295115</v>
      </c>
    </row>
    <row r="974" spans="1:12">
      <c r="A974">
        <v>1050</v>
      </c>
      <c r="B974">
        <v>234</v>
      </c>
      <c r="C974">
        <v>5</v>
      </c>
      <c r="D974" t="s">
        <v>2379</v>
      </c>
      <c r="E974" s="7">
        <v>10099.75</v>
      </c>
      <c r="F974" s="7">
        <v>19.33</v>
      </c>
      <c r="G974">
        <v>7</v>
      </c>
      <c r="H974" t="s">
        <v>1705</v>
      </c>
      <c r="I974" t="s">
        <v>2383</v>
      </c>
      <c r="J974">
        <v>0</v>
      </c>
      <c r="K974" s="9">
        <f t="shared" si="30"/>
        <v>44356</v>
      </c>
      <c r="L974">
        <f t="shared" si="31"/>
        <v>1009975</v>
      </c>
    </row>
    <row r="975" spans="1:12">
      <c r="A975">
        <v>1051</v>
      </c>
      <c r="B975">
        <v>731</v>
      </c>
      <c r="C975">
        <v>1</v>
      </c>
      <c r="D975" t="s">
        <v>2385</v>
      </c>
      <c r="E975" s="7">
        <v>7070.88</v>
      </c>
      <c r="F975" s="7">
        <v>8.27</v>
      </c>
      <c r="G975">
        <v>25</v>
      </c>
      <c r="H975" t="s">
        <v>2908</v>
      </c>
      <c r="I975" t="s">
        <v>2383</v>
      </c>
      <c r="J975">
        <v>0</v>
      </c>
      <c r="K975" s="9">
        <f t="shared" si="30"/>
        <v>44206</v>
      </c>
      <c r="L975">
        <f t="shared" si="31"/>
        <v>707088</v>
      </c>
    </row>
    <row r="976" spans="1:12">
      <c r="A976">
        <v>1052</v>
      </c>
      <c r="B976">
        <v>731</v>
      </c>
      <c r="C976">
        <v>1</v>
      </c>
      <c r="D976" t="s">
        <v>2379</v>
      </c>
      <c r="E976" s="7">
        <v>5464.15</v>
      </c>
      <c r="F976" s="7">
        <v>8.79</v>
      </c>
      <c r="G976">
        <v>41</v>
      </c>
      <c r="H976" t="s">
        <v>2909</v>
      </c>
      <c r="I976" t="s">
        <v>2377</v>
      </c>
      <c r="J976">
        <v>18</v>
      </c>
      <c r="K976" s="9">
        <f t="shared" si="30"/>
        <v>44216</v>
      </c>
      <c r="L976">
        <f t="shared" si="31"/>
        <v>546415</v>
      </c>
    </row>
    <row r="977" spans="1:12">
      <c r="A977">
        <v>1053</v>
      </c>
      <c r="B977">
        <v>462</v>
      </c>
      <c r="C977">
        <v>5</v>
      </c>
      <c r="D977" t="s">
        <v>2387</v>
      </c>
      <c r="E977" s="7">
        <v>149071.54</v>
      </c>
      <c r="F977" s="7">
        <v>21.33</v>
      </c>
      <c r="G977">
        <v>167</v>
      </c>
      <c r="H977" t="s">
        <v>2910</v>
      </c>
      <c r="I977" t="s">
        <v>2377</v>
      </c>
      <c r="J977">
        <v>0</v>
      </c>
      <c r="K977" s="9">
        <f t="shared" si="30"/>
        <v>45420</v>
      </c>
      <c r="L977">
        <f t="shared" si="31"/>
        <v>14907154</v>
      </c>
    </row>
    <row r="978" spans="1:12">
      <c r="A978">
        <v>1054</v>
      </c>
      <c r="B978">
        <v>162</v>
      </c>
      <c r="C978">
        <v>5</v>
      </c>
      <c r="D978" t="s">
        <v>2390</v>
      </c>
      <c r="E978" s="7">
        <v>30665.71</v>
      </c>
      <c r="F978" s="7">
        <v>15.54</v>
      </c>
      <c r="G978">
        <v>63</v>
      </c>
      <c r="H978" t="s">
        <v>506</v>
      </c>
      <c r="I978" t="s">
        <v>2377</v>
      </c>
      <c r="J978">
        <v>0</v>
      </c>
      <c r="K978" s="9">
        <f t="shared" si="30"/>
        <v>44989</v>
      </c>
      <c r="L978">
        <f t="shared" si="31"/>
        <v>3066571</v>
      </c>
    </row>
    <row r="979" spans="1:12">
      <c r="A979">
        <v>1055</v>
      </c>
      <c r="B979">
        <v>724</v>
      </c>
      <c r="C979">
        <v>4</v>
      </c>
      <c r="D979" t="s">
        <v>2387</v>
      </c>
      <c r="E979" s="7">
        <v>174780.9</v>
      </c>
      <c r="F979" s="7">
        <v>9.09</v>
      </c>
      <c r="G979">
        <v>177</v>
      </c>
      <c r="H979" t="s">
        <v>2659</v>
      </c>
      <c r="I979" t="s">
        <v>2377</v>
      </c>
      <c r="J979">
        <v>5</v>
      </c>
      <c r="K979" s="9">
        <f t="shared" si="30"/>
        <v>43919</v>
      </c>
      <c r="L979">
        <f t="shared" si="31"/>
        <v>1747809</v>
      </c>
    </row>
    <row r="980" spans="1:12">
      <c r="A980">
        <v>1056</v>
      </c>
      <c r="B980">
        <v>21</v>
      </c>
      <c r="C980">
        <v>6</v>
      </c>
      <c r="D980" t="s">
        <v>2385</v>
      </c>
      <c r="E980" s="7">
        <v>828.53</v>
      </c>
      <c r="F980" s="7">
        <v>13.47</v>
      </c>
      <c r="G980">
        <v>26</v>
      </c>
      <c r="H980" t="s">
        <v>2108</v>
      </c>
      <c r="I980" t="s">
        <v>2377</v>
      </c>
      <c r="J980">
        <v>0</v>
      </c>
      <c r="K980" s="9">
        <f t="shared" si="30"/>
        <v>44230</v>
      </c>
      <c r="L980">
        <f t="shared" si="31"/>
        <v>82853</v>
      </c>
    </row>
    <row r="981" spans="1:12">
      <c r="A981">
        <v>1057</v>
      </c>
      <c r="B981">
        <v>328</v>
      </c>
      <c r="C981">
        <v>7</v>
      </c>
      <c r="D981" t="s">
        <v>2376</v>
      </c>
      <c r="E981" s="7">
        <v>149465.18</v>
      </c>
      <c r="F981" s="7">
        <v>10.85</v>
      </c>
      <c r="G981">
        <v>80</v>
      </c>
      <c r="H981" t="s">
        <v>2911</v>
      </c>
      <c r="I981" t="s">
        <v>2383</v>
      </c>
      <c r="J981">
        <v>0</v>
      </c>
      <c r="K981" s="9">
        <f t="shared" si="30"/>
        <v>44164</v>
      </c>
      <c r="L981">
        <f t="shared" si="31"/>
        <v>14946518</v>
      </c>
    </row>
    <row r="982" spans="1:12">
      <c r="A982">
        <v>1058</v>
      </c>
      <c r="B982">
        <v>208</v>
      </c>
      <c r="C982">
        <v>7</v>
      </c>
      <c r="D982" t="s">
        <v>2390</v>
      </c>
      <c r="E982" s="7">
        <v>18130.67</v>
      </c>
      <c r="F982" s="7">
        <v>17.99</v>
      </c>
      <c r="G982">
        <v>72</v>
      </c>
      <c r="H982" t="s">
        <v>2912</v>
      </c>
      <c r="I982" t="s">
        <v>2393</v>
      </c>
      <c r="J982">
        <v>154</v>
      </c>
      <c r="K982" s="9">
        <f t="shared" si="30"/>
        <v>45610</v>
      </c>
      <c r="L982">
        <f t="shared" si="31"/>
        <v>1813067</v>
      </c>
    </row>
    <row r="983" spans="1:12">
      <c r="A983">
        <v>1059</v>
      </c>
      <c r="B983">
        <v>347</v>
      </c>
      <c r="C983">
        <v>3</v>
      </c>
      <c r="D983" t="s">
        <v>2379</v>
      </c>
      <c r="E983" s="7">
        <v>7475.56</v>
      </c>
      <c r="F983" s="7">
        <v>16.78</v>
      </c>
      <c r="G983">
        <v>29</v>
      </c>
      <c r="H983" t="s">
        <v>1299</v>
      </c>
      <c r="I983" t="s">
        <v>2377</v>
      </c>
      <c r="J983">
        <v>0</v>
      </c>
      <c r="K983" s="9">
        <f t="shared" si="30"/>
        <v>45100</v>
      </c>
      <c r="L983">
        <f t="shared" si="31"/>
        <v>747556</v>
      </c>
    </row>
    <row r="984" spans="1:12">
      <c r="A984">
        <v>1060</v>
      </c>
      <c r="B984">
        <v>180</v>
      </c>
      <c r="C984">
        <v>5</v>
      </c>
      <c r="D984" t="s">
        <v>2379</v>
      </c>
      <c r="E984" s="7">
        <v>4253.3</v>
      </c>
      <c r="F984" s="7">
        <v>9.93</v>
      </c>
      <c r="G984">
        <v>41</v>
      </c>
      <c r="H984" t="s">
        <v>2913</v>
      </c>
      <c r="I984" t="s">
        <v>2377</v>
      </c>
      <c r="J984">
        <v>0</v>
      </c>
      <c r="K984" s="9">
        <f t="shared" si="30"/>
        <v>44396</v>
      </c>
      <c r="L984">
        <f t="shared" si="31"/>
        <v>42533</v>
      </c>
    </row>
    <row r="985" spans="1:12">
      <c r="A985">
        <v>1061</v>
      </c>
      <c r="B985">
        <v>547</v>
      </c>
      <c r="C985">
        <v>5</v>
      </c>
      <c r="D985" t="s">
        <v>2379</v>
      </c>
      <c r="E985" s="7">
        <v>10272.68</v>
      </c>
      <c r="F985" s="7">
        <v>20.66</v>
      </c>
      <c r="G985">
        <v>19</v>
      </c>
      <c r="H985" t="s">
        <v>712</v>
      </c>
      <c r="I985" t="s">
        <v>2377</v>
      </c>
      <c r="J985">
        <v>0</v>
      </c>
      <c r="K985" s="9">
        <f t="shared" si="30"/>
        <v>44538</v>
      </c>
      <c r="L985">
        <f t="shared" si="31"/>
        <v>1027268</v>
      </c>
    </row>
    <row r="986" spans="1:12">
      <c r="A986">
        <v>1062</v>
      </c>
      <c r="B986">
        <v>428</v>
      </c>
      <c r="C986">
        <v>7</v>
      </c>
      <c r="D986" t="s">
        <v>2387</v>
      </c>
      <c r="E986" s="7">
        <v>57835.72</v>
      </c>
      <c r="F986" s="7">
        <v>20.82</v>
      </c>
      <c r="G986">
        <v>121</v>
      </c>
      <c r="H986" t="s">
        <v>2758</v>
      </c>
      <c r="I986" t="s">
        <v>2377</v>
      </c>
      <c r="J986">
        <v>0</v>
      </c>
      <c r="K986" s="9">
        <f t="shared" si="30"/>
        <v>44866</v>
      </c>
      <c r="L986">
        <f t="shared" si="31"/>
        <v>5783572</v>
      </c>
    </row>
    <row r="987" spans="1:12">
      <c r="A987">
        <v>1063</v>
      </c>
      <c r="B987">
        <v>507</v>
      </c>
      <c r="C987">
        <v>5</v>
      </c>
      <c r="D987" t="s">
        <v>2379</v>
      </c>
      <c r="E987" s="7">
        <v>7544.84</v>
      </c>
      <c r="F987" s="7">
        <v>7.22</v>
      </c>
      <c r="G987">
        <v>27</v>
      </c>
      <c r="H987" t="s">
        <v>878</v>
      </c>
      <c r="I987" t="s">
        <v>2377</v>
      </c>
      <c r="J987">
        <v>0</v>
      </c>
      <c r="K987" s="9">
        <f t="shared" si="30"/>
        <v>44760</v>
      </c>
      <c r="L987">
        <f t="shared" si="31"/>
        <v>754484</v>
      </c>
    </row>
    <row r="988" spans="1:12">
      <c r="A988">
        <v>1064</v>
      </c>
      <c r="B988">
        <v>983</v>
      </c>
      <c r="C988">
        <v>7</v>
      </c>
      <c r="D988" t="s">
        <v>2387</v>
      </c>
      <c r="E988" s="7">
        <v>148081.85</v>
      </c>
      <c r="F988" s="7">
        <v>15.64</v>
      </c>
      <c r="G988">
        <v>341</v>
      </c>
      <c r="H988" t="s">
        <v>2914</v>
      </c>
      <c r="I988" t="s">
        <v>2377</v>
      </c>
      <c r="J988">
        <v>0</v>
      </c>
      <c r="K988" s="9">
        <f t="shared" si="30"/>
        <v>45242</v>
      </c>
      <c r="L988">
        <f t="shared" si="31"/>
        <v>14808185</v>
      </c>
    </row>
    <row r="989" spans="1:12">
      <c r="A989">
        <v>1065</v>
      </c>
      <c r="B989">
        <v>957</v>
      </c>
      <c r="C989">
        <v>4</v>
      </c>
      <c r="D989" t="s">
        <v>2385</v>
      </c>
      <c r="E989" s="7">
        <v>1138.9</v>
      </c>
      <c r="F989" s="7">
        <v>9.07</v>
      </c>
      <c r="G989">
        <v>26</v>
      </c>
      <c r="H989" t="s">
        <v>2915</v>
      </c>
      <c r="I989" t="s">
        <v>2377</v>
      </c>
      <c r="J989">
        <v>0</v>
      </c>
      <c r="K989" s="9">
        <f t="shared" si="30"/>
        <v>43900</v>
      </c>
      <c r="L989">
        <f t="shared" si="31"/>
        <v>11389</v>
      </c>
    </row>
    <row r="990" spans="1:12">
      <c r="A990">
        <v>1066</v>
      </c>
      <c r="B990">
        <v>636</v>
      </c>
      <c r="C990">
        <v>5</v>
      </c>
      <c r="D990" t="s">
        <v>2379</v>
      </c>
      <c r="E990" s="7">
        <v>7128.01</v>
      </c>
      <c r="F990" s="7">
        <v>7.51</v>
      </c>
      <c r="G990">
        <v>39</v>
      </c>
      <c r="H990" t="s">
        <v>2916</v>
      </c>
      <c r="I990" t="s">
        <v>2393</v>
      </c>
      <c r="J990">
        <v>278</v>
      </c>
      <c r="K990" s="9">
        <f t="shared" si="30"/>
        <v>44969</v>
      </c>
      <c r="L990">
        <f t="shared" si="31"/>
        <v>712801</v>
      </c>
    </row>
    <row r="991" spans="1:12">
      <c r="A991">
        <v>1067</v>
      </c>
      <c r="B991">
        <v>114</v>
      </c>
      <c r="C991">
        <v>5</v>
      </c>
      <c r="D991" t="s">
        <v>2379</v>
      </c>
      <c r="E991" s="7">
        <v>1671.65</v>
      </c>
      <c r="F991" s="7">
        <v>17.66</v>
      </c>
      <c r="G991">
        <v>28</v>
      </c>
      <c r="H991" t="s">
        <v>2917</v>
      </c>
      <c r="I991" t="s">
        <v>2377</v>
      </c>
      <c r="J991">
        <v>0</v>
      </c>
      <c r="K991" s="9">
        <f t="shared" si="30"/>
        <v>44293</v>
      </c>
      <c r="L991">
        <f t="shared" si="31"/>
        <v>167165</v>
      </c>
    </row>
    <row r="992" spans="1:12">
      <c r="A992">
        <v>1068</v>
      </c>
      <c r="B992">
        <v>637</v>
      </c>
      <c r="C992">
        <v>5</v>
      </c>
      <c r="D992" t="s">
        <v>2390</v>
      </c>
      <c r="E992" s="7">
        <v>13746.11</v>
      </c>
      <c r="F992" s="7">
        <v>5.94</v>
      </c>
      <c r="G992">
        <v>56</v>
      </c>
      <c r="H992" t="s">
        <v>1008</v>
      </c>
      <c r="I992" t="s">
        <v>2377</v>
      </c>
      <c r="J992">
        <v>0</v>
      </c>
      <c r="K992" s="9">
        <f t="shared" si="30"/>
        <v>44925</v>
      </c>
      <c r="L992">
        <f t="shared" si="31"/>
        <v>1374611</v>
      </c>
    </row>
    <row r="993" spans="1:12">
      <c r="A993">
        <v>1069</v>
      </c>
      <c r="B993">
        <v>128</v>
      </c>
      <c r="C993">
        <v>1</v>
      </c>
      <c r="D993" t="s">
        <v>2387</v>
      </c>
      <c r="E993" s="7">
        <v>153548.8</v>
      </c>
      <c r="F993" s="7">
        <v>14.36</v>
      </c>
      <c r="G993">
        <v>160</v>
      </c>
      <c r="H993" t="s">
        <v>2918</v>
      </c>
      <c r="I993" t="s">
        <v>2377</v>
      </c>
      <c r="J993">
        <v>86</v>
      </c>
      <c r="K993" s="9">
        <f t="shared" si="30"/>
        <v>44770</v>
      </c>
      <c r="L993">
        <f t="shared" si="31"/>
        <v>1535488</v>
      </c>
    </row>
    <row r="994" spans="1:12">
      <c r="A994">
        <v>1070</v>
      </c>
      <c r="B994">
        <v>906</v>
      </c>
      <c r="C994">
        <v>5</v>
      </c>
      <c r="D994" t="s">
        <v>2387</v>
      </c>
      <c r="E994" s="7">
        <v>91758.06</v>
      </c>
      <c r="F994" s="7">
        <v>15.29</v>
      </c>
      <c r="G994">
        <v>127</v>
      </c>
      <c r="H994" t="s">
        <v>710</v>
      </c>
      <c r="I994" t="s">
        <v>2377</v>
      </c>
      <c r="J994">
        <v>0</v>
      </c>
      <c r="K994" s="9">
        <f t="shared" si="30"/>
        <v>44349</v>
      </c>
      <c r="L994">
        <f t="shared" si="31"/>
        <v>9175806</v>
      </c>
    </row>
    <row r="995" spans="1:12">
      <c r="A995">
        <v>1071</v>
      </c>
      <c r="B995">
        <v>702</v>
      </c>
      <c r="C995">
        <v>2</v>
      </c>
      <c r="D995" t="s">
        <v>2390</v>
      </c>
      <c r="E995" s="7">
        <v>19865.16</v>
      </c>
      <c r="F995" s="7">
        <v>14.74</v>
      </c>
      <c r="G995">
        <v>80</v>
      </c>
      <c r="H995" t="s">
        <v>2919</v>
      </c>
      <c r="I995" t="s">
        <v>2377</v>
      </c>
      <c r="J995">
        <v>0</v>
      </c>
      <c r="K995" s="9">
        <f t="shared" si="30"/>
        <v>44401</v>
      </c>
      <c r="L995">
        <f t="shared" si="31"/>
        <v>1986516</v>
      </c>
    </row>
    <row r="996" spans="1:12">
      <c r="A996">
        <v>1072</v>
      </c>
      <c r="B996">
        <v>247</v>
      </c>
      <c r="C996">
        <v>6</v>
      </c>
      <c r="D996" t="s">
        <v>2390</v>
      </c>
      <c r="E996" s="7">
        <v>17426.09</v>
      </c>
      <c r="F996" s="7">
        <v>19.46</v>
      </c>
      <c r="G996">
        <v>58</v>
      </c>
      <c r="H996" t="s">
        <v>2843</v>
      </c>
      <c r="I996" t="s">
        <v>2383</v>
      </c>
      <c r="J996">
        <v>0</v>
      </c>
      <c r="K996" s="9">
        <f t="shared" si="30"/>
        <v>44149</v>
      </c>
      <c r="L996">
        <f t="shared" si="31"/>
        <v>1742609</v>
      </c>
    </row>
    <row r="997" spans="1:12">
      <c r="A997">
        <v>1073</v>
      </c>
      <c r="B997">
        <v>635</v>
      </c>
      <c r="C997">
        <v>5</v>
      </c>
      <c r="D997" t="s">
        <v>2387</v>
      </c>
      <c r="E997" s="7">
        <v>169031.05</v>
      </c>
      <c r="F997" s="7">
        <v>5.6</v>
      </c>
      <c r="G997">
        <v>287</v>
      </c>
      <c r="H997" t="s">
        <v>223</v>
      </c>
      <c r="I997" t="s">
        <v>2383</v>
      </c>
      <c r="J997">
        <v>0</v>
      </c>
      <c r="K997" s="9">
        <f t="shared" si="30"/>
        <v>44000</v>
      </c>
      <c r="L997">
        <f t="shared" si="31"/>
        <v>16903105</v>
      </c>
    </row>
    <row r="998" spans="1:12">
      <c r="A998">
        <v>1074</v>
      </c>
      <c r="B998">
        <v>87</v>
      </c>
      <c r="C998">
        <v>2</v>
      </c>
      <c r="D998" t="s">
        <v>2379</v>
      </c>
      <c r="E998" s="7">
        <v>1861.61</v>
      </c>
      <c r="F998" s="7">
        <v>18.18</v>
      </c>
      <c r="G998">
        <v>43</v>
      </c>
      <c r="H998" t="s">
        <v>2920</v>
      </c>
      <c r="I998" t="s">
        <v>2377</v>
      </c>
      <c r="J998">
        <v>0</v>
      </c>
      <c r="K998" s="9">
        <f t="shared" si="30"/>
        <v>45509</v>
      </c>
      <c r="L998">
        <f t="shared" si="31"/>
        <v>186161</v>
      </c>
    </row>
    <row r="999" spans="1:12">
      <c r="A999">
        <v>1075</v>
      </c>
      <c r="B999">
        <v>417</v>
      </c>
      <c r="C999">
        <v>3</v>
      </c>
      <c r="D999" t="s">
        <v>2387</v>
      </c>
      <c r="E999" s="7">
        <v>128771.61</v>
      </c>
      <c r="F999" s="7">
        <v>21.81</v>
      </c>
      <c r="G999">
        <v>340</v>
      </c>
      <c r="H999" t="s">
        <v>281</v>
      </c>
      <c r="I999" t="s">
        <v>2393</v>
      </c>
      <c r="J999">
        <v>358</v>
      </c>
      <c r="K999" s="9">
        <f t="shared" si="30"/>
        <v>44068</v>
      </c>
      <c r="L999">
        <f t="shared" si="31"/>
        <v>12877161</v>
      </c>
    </row>
    <row r="1000" spans="1:12">
      <c r="A1000">
        <v>1076</v>
      </c>
      <c r="B1000">
        <v>423</v>
      </c>
      <c r="C1000">
        <v>1</v>
      </c>
      <c r="D1000" t="s">
        <v>2390</v>
      </c>
      <c r="E1000" s="7">
        <v>37545.23</v>
      </c>
      <c r="F1000" s="7">
        <v>7.21</v>
      </c>
      <c r="G1000">
        <v>51</v>
      </c>
      <c r="H1000" t="s">
        <v>1965</v>
      </c>
      <c r="I1000" t="s">
        <v>2377</v>
      </c>
      <c r="J1000">
        <v>0</v>
      </c>
      <c r="K1000" s="9">
        <f t="shared" si="30"/>
        <v>44470</v>
      </c>
      <c r="L1000">
        <f t="shared" si="31"/>
        <v>3754523</v>
      </c>
    </row>
    <row r="1001" spans="1:12">
      <c r="A1001">
        <v>1077</v>
      </c>
      <c r="B1001">
        <v>607</v>
      </c>
      <c r="C1001">
        <v>5</v>
      </c>
      <c r="D1001" t="s">
        <v>2387</v>
      </c>
      <c r="E1001" s="7">
        <v>171066.27</v>
      </c>
      <c r="F1001" s="7">
        <v>6.12</v>
      </c>
      <c r="G1001">
        <v>354</v>
      </c>
      <c r="H1001" t="s">
        <v>2921</v>
      </c>
      <c r="I1001" t="s">
        <v>2377</v>
      </c>
      <c r="J1001">
        <v>0</v>
      </c>
      <c r="K1001" s="9">
        <f t="shared" si="30"/>
        <v>45216</v>
      </c>
      <c r="L1001">
        <f t="shared" si="31"/>
        <v>17106627</v>
      </c>
    </row>
    <row r="1002" spans="1:12">
      <c r="A1002">
        <v>1078</v>
      </c>
      <c r="B1002">
        <v>386</v>
      </c>
      <c r="C1002">
        <v>7</v>
      </c>
      <c r="D1002" t="s">
        <v>2376</v>
      </c>
      <c r="E1002" s="7">
        <v>25807.53</v>
      </c>
      <c r="F1002" s="7">
        <v>18.08</v>
      </c>
      <c r="G1002">
        <v>27</v>
      </c>
      <c r="H1002" t="s">
        <v>2922</v>
      </c>
      <c r="I1002" t="s">
        <v>2393</v>
      </c>
      <c r="J1002">
        <v>92</v>
      </c>
      <c r="K1002" s="9">
        <f t="shared" si="30"/>
        <v>45753</v>
      </c>
      <c r="L1002">
        <f t="shared" si="31"/>
        <v>2580753</v>
      </c>
    </row>
    <row r="1003" spans="1:12">
      <c r="A1003">
        <v>1079</v>
      </c>
      <c r="B1003">
        <v>314</v>
      </c>
      <c r="C1003">
        <v>4</v>
      </c>
      <c r="D1003" t="s">
        <v>2376</v>
      </c>
      <c r="E1003" s="7">
        <v>39655.36</v>
      </c>
      <c r="F1003" s="7">
        <v>16.87</v>
      </c>
      <c r="G1003">
        <v>42</v>
      </c>
      <c r="H1003" t="s">
        <v>2923</v>
      </c>
      <c r="I1003" t="s">
        <v>2377</v>
      </c>
      <c r="J1003">
        <v>0</v>
      </c>
      <c r="K1003" s="9">
        <f t="shared" si="30"/>
        <v>45476</v>
      </c>
      <c r="L1003">
        <f t="shared" si="31"/>
        <v>3965536</v>
      </c>
    </row>
    <row r="1004" spans="1:12">
      <c r="A1004">
        <v>1080</v>
      </c>
      <c r="B1004">
        <v>1</v>
      </c>
      <c r="C1004">
        <v>2</v>
      </c>
      <c r="D1004" t="s">
        <v>2387</v>
      </c>
      <c r="E1004" s="7">
        <v>88708.99</v>
      </c>
      <c r="F1004" s="7">
        <v>11.02</v>
      </c>
      <c r="G1004">
        <v>318</v>
      </c>
      <c r="H1004" t="s">
        <v>2696</v>
      </c>
      <c r="I1004" t="s">
        <v>2383</v>
      </c>
      <c r="J1004">
        <v>0</v>
      </c>
      <c r="K1004" s="9">
        <f t="shared" si="30"/>
        <v>44665</v>
      </c>
      <c r="L1004">
        <f t="shared" si="31"/>
        <v>8870899</v>
      </c>
    </row>
    <row r="1005" spans="1:12">
      <c r="A1005">
        <v>1081</v>
      </c>
      <c r="B1005">
        <v>693</v>
      </c>
      <c r="C1005">
        <v>7</v>
      </c>
      <c r="D1005" t="s">
        <v>2379</v>
      </c>
      <c r="E1005" s="7">
        <v>13161.12</v>
      </c>
      <c r="F1005" s="7">
        <v>19.3</v>
      </c>
      <c r="G1005">
        <v>42</v>
      </c>
      <c r="H1005" t="s">
        <v>1398</v>
      </c>
      <c r="I1005" t="s">
        <v>2377</v>
      </c>
      <c r="J1005">
        <v>0</v>
      </c>
      <c r="K1005" s="9">
        <f t="shared" si="30"/>
        <v>44887</v>
      </c>
      <c r="L1005">
        <f t="shared" si="31"/>
        <v>1316112</v>
      </c>
    </row>
    <row r="1006" spans="1:12">
      <c r="A1006">
        <v>1082</v>
      </c>
      <c r="B1006">
        <v>802</v>
      </c>
      <c r="C1006">
        <v>3</v>
      </c>
      <c r="D1006" t="s">
        <v>2376</v>
      </c>
      <c r="E1006" s="7">
        <v>94076.26</v>
      </c>
      <c r="F1006" s="7">
        <v>17.89</v>
      </c>
      <c r="G1006">
        <v>18</v>
      </c>
      <c r="H1006" t="s">
        <v>2924</v>
      </c>
      <c r="I1006" t="s">
        <v>2383</v>
      </c>
      <c r="J1006">
        <v>0</v>
      </c>
      <c r="K1006" s="9">
        <f t="shared" si="30"/>
        <v>43982</v>
      </c>
      <c r="L1006">
        <f t="shared" si="31"/>
        <v>9407626</v>
      </c>
    </row>
    <row r="1007" spans="1:12">
      <c r="A1007">
        <v>1083</v>
      </c>
      <c r="B1007">
        <v>985</v>
      </c>
      <c r="C1007">
        <v>4</v>
      </c>
      <c r="D1007" t="s">
        <v>2376</v>
      </c>
      <c r="E1007" s="7">
        <v>37975.35</v>
      </c>
      <c r="F1007" s="7">
        <v>17.72</v>
      </c>
      <c r="G1007">
        <v>20</v>
      </c>
      <c r="H1007" t="s">
        <v>2260</v>
      </c>
      <c r="I1007" t="s">
        <v>2377</v>
      </c>
      <c r="J1007">
        <v>0</v>
      </c>
      <c r="K1007" s="9">
        <f t="shared" si="30"/>
        <v>45493</v>
      </c>
      <c r="L1007">
        <f t="shared" si="31"/>
        <v>3797535</v>
      </c>
    </row>
    <row r="1008" spans="1:12">
      <c r="A1008">
        <v>1084</v>
      </c>
      <c r="B1008">
        <v>91</v>
      </c>
      <c r="C1008">
        <v>7</v>
      </c>
      <c r="D1008" t="s">
        <v>2379</v>
      </c>
      <c r="E1008" s="7">
        <v>2184.03</v>
      </c>
      <c r="F1008" s="7">
        <v>18.69</v>
      </c>
      <c r="G1008">
        <v>9</v>
      </c>
      <c r="H1008" t="s">
        <v>2925</v>
      </c>
      <c r="I1008" t="s">
        <v>2377</v>
      </c>
      <c r="J1008">
        <v>0</v>
      </c>
      <c r="K1008" s="9">
        <f t="shared" si="30"/>
        <v>44673</v>
      </c>
      <c r="L1008">
        <f t="shared" si="31"/>
        <v>218403</v>
      </c>
    </row>
    <row r="1009" spans="1:12">
      <c r="A1009">
        <v>1085</v>
      </c>
      <c r="B1009">
        <v>876</v>
      </c>
      <c r="C1009">
        <v>1</v>
      </c>
      <c r="D1009" t="s">
        <v>2387</v>
      </c>
      <c r="E1009" s="7">
        <v>144807.37</v>
      </c>
      <c r="F1009" s="7">
        <v>21.78</v>
      </c>
      <c r="G1009">
        <v>292</v>
      </c>
      <c r="H1009" t="s">
        <v>2654</v>
      </c>
      <c r="I1009" t="s">
        <v>2377</v>
      </c>
      <c r="J1009">
        <v>0</v>
      </c>
      <c r="K1009" s="9">
        <f t="shared" si="30"/>
        <v>44424</v>
      </c>
      <c r="L1009">
        <f t="shared" si="31"/>
        <v>14480737</v>
      </c>
    </row>
    <row r="1010" spans="1:12">
      <c r="A1010">
        <v>1086</v>
      </c>
      <c r="B1010">
        <v>810</v>
      </c>
      <c r="C1010">
        <v>1</v>
      </c>
      <c r="D1010" t="s">
        <v>2387</v>
      </c>
      <c r="E1010" s="7">
        <v>101267.01</v>
      </c>
      <c r="F1010" s="7">
        <v>5.71</v>
      </c>
      <c r="G1010">
        <v>171</v>
      </c>
      <c r="H1010" t="s">
        <v>2926</v>
      </c>
      <c r="I1010" t="s">
        <v>2377</v>
      </c>
      <c r="J1010">
        <v>82</v>
      </c>
      <c r="K1010" s="9">
        <f t="shared" si="30"/>
        <v>45384</v>
      </c>
      <c r="L1010">
        <f t="shared" si="31"/>
        <v>10126701</v>
      </c>
    </row>
    <row r="1011" spans="1:12">
      <c r="A1011">
        <v>1087</v>
      </c>
      <c r="B1011">
        <v>139</v>
      </c>
      <c r="C1011">
        <v>3</v>
      </c>
      <c r="D1011" t="s">
        <v>2387</v>
      </c>
      <c r="E1011" s="7">
        <v>50900.31</v>
      </c>
      <c r="F1011" s="7">
        <v>13.37</v>
      </c>
      <c r="G1011">
        <v>277</v>
      </c>
      <c r="H1011" t="s">
        <v>257</v>
      </c>
      <c r="I1011" t="s">
        <v>2383</v>
      </c>
      <c r="J1011">
        <v>0</v>
      </c>
      <c r="K1011" s="9">
        <f t="shared" si="30"/>
        <v>45601</v>
      </c>
      <c r="L1011">
        <f t="shared" si="31"/>
        <v>5090031</v>
      </c>
    </row>
    <row r="1012" spans="1:12">
      <c r="A1012">
        <v>1088</v>
      </c>
      <c r="B1012">
        <v>301</v>
      </c>
      <c r="C1012">
        <v>2</v>
      </c>
      <c r="D1012" t="s">
        <v>2376</v>
      </c>
      <c r="E1012" s="7">
        <v>141396.62</v>
      </c>
      <c r="F1012" s="7">
        <v>9.44</v>
      </c>
      <c r="G1012">
        <v>63</v>
      </c>
      <c r="H1012" t="s">
        <v>2448</v>
      </c>
      <c r="I1012" t="s">
        <v>2377</v>
      </c>
      <c r="J1012">
        <v>0</v>
      </c>
      <c r="K1012" s="9">
        <f t="shared" si="30"/>
        <v>45099</v>
      </c>
      <c r="L1012">
        <f t="shared" si="31"/>
        <v>14139662</v>
      </c>
    </row>
    <row r="1013" spans="1:12">
      <c r="A1013">
        <v>1089</v>
      </c>
      <c r="B1013">
        <v>825</v>
      </c>
      <c r="C1013">
        <v>3</v>
      </c>
      <c r="D1013" t="s">
        <v>2390</v>
      </c>
      <c r="E1013" s="7">
        <v>17286.57</v>
      </c>
      <c r="F1013" s="7">
        <v>5.92</v>
      </c>
      <c r="G1013">
        <v>27</v>
      </c>
      <c r="H1013" t="s">
        <v>2927</v>
      </c>
      <c r="I1013" t="s">
        <v>2377</v>
      </c>
      <c r="J1013">
        <v>0</v>
      </c>
      <c r="K1013" s="9">
        <f t="shared" si="30"/>
        <v>44844</v>
      </c>
      <c r="L1013">
        <f t="shared" si="31"/>
        <v>1728657</v>
      </c>
    </row>
    <row r="1014" spans="1:12">
      <c r="A1014">
        <v>1090</v>
      </c>
      <c r="B1014">
        <v>831</v>
      </c>
      <c r="C1014">
        <v>5</v>
      </c>
      <c r="D1014" t="s">
        <v>2379</v>
      </c>
      <c r="E1014" s="7">
        <v>5059.56</v>
      </c>
      <c r="F1014" s="7">
        <v>15.23</v>
      </c>
      <c r="G1014">
        <v>48</v>
      </c>
      <c r="H1014" t="s">
        <v>2503</v>
      </c>
      <c r="I1014" t="s">
        <v>2377</v>
      </c>
      <c r="J1014">
        <v>66</v>
      </c>
      <c r="K1014" s="9">
        <f t="shared" si="30"/>
        <v>45512</v>
      </c>
      <c r="L1014">
        <f t="shared" si="31"/>
        <v>505956</v>
      </c>
    </row>
    <row r="1015" spans="1:12">
      <c r="A1015">
        <v>1091</v>
      </c>
      <c r="B1015">
        <v>211</v>
      </c>
      <c r="C1015">
        <v>4</v>
      </c>
      <c r="D1015" t="s">
        <v>2387</v>
      </c>
      <c r="E1015" s="7">
        <v>119266.88</v>
      </c>
      <c r="F1015" s="7">
        <v>21.79</v>
      </c>
      <c r="G1015">
        <v>338</v>
      </c>
      <c r="H1015" t="s">
        <v>2855</v>
      </c>
      <c r="I1015" t="s">
        <v>2377</v>
      </c>
      <c r="J1015">
        <v>0</v>
      </c>
      <c r="K1015" s="9">
        <f t="shared" si="30"/>
        <v>45126</v>
      </c>
      <c r="L1015">
        <f t="shared" si="31"/>
        <v>11926688</v>
      </c>
    </row>
    <row r="1016" spans="1:12">
      <c r="A1016">
        <v>1092</v>
      </c>
      <c r="B1016">
        <v>566</v>
      </c>
      <c r="C1016">
        <v>2</v>
      </c>
      <c r="D1016" t="s">
        <v>2390</v>
      </c>
      <c r="E1016" s="7">
        <v>15947.25</v>
      </c>
      <c r="F1016" s="7">
        <v>17.27</v>
      </c>
      <c r="G1016">
        <v>79</v>
      </c>
      <c r="H1016" t="s">
        <v>426</v>
      </c>
      <c r="I1016" t="s">
        <v>2377</v>
      </c>
      <c r="J1016">
        <v>0</v>
      </c>
      <c r="K1016" s="9">
        <f t="shared" si="30"/>
        <v>44639</v>
      </c>
      <c r="L1016">
        <f t="shared" si="31"/>
        <v>1594725</v>
      </c>
    </row>
    <row r="1017" spans="1:12">
      <c r="A1017">
        <v>1093</v>
      </c>
      <c r="B1017">
        <v>632</v>
      </c>
      <c r="C1017">
        <v>3</v>
      </c>
      <c r="D1017" t="s">
        <v>2390</v>
      </c>
      <c r="E1017" s="7">
        <v>11067.77</v>
      </c>
      <c r="F1017" s="7">
        <v>10.06</v>
      </c>
      <c r="G1017">
        <v>40</v>
      </c>
      <c r="H1017" t="s">
        <v>2928</v>
      </c>
      <c r="I1017" t="s">
        <v>2383</v>
      </c>
      <c r="J1017">
        <v>0</v>
      </c>
      <c r="K1017" s="9">
        <f t="shared" si="30"/>
        <v>45665</v>
      </c>
      <c r="L1017">
        <f t="shared" si="31"/>
        <v>1106777</v>
      </c>
    </row>
    <row r="1018" spans="1:12">
      <c r="A1018">
        <v>1094</v>
      </c>
      <c r="B1018">
        <v>619</v>
      </c>
      <c r="C1018">
        <v>4</v>
      </c>
      <c r="D1018" t="s">
        <v>2390</v>
      </c>
      <c r="E1018" s="7">
        <v>33464.15</v>
      </c>
      <c r="F1018" s="7">
        <v>10.61</v>
      </c>
      <c r="G1018">
        <v>39</v>
      </c>
      <c r="H1018" t="s">
        <v>2929</v>
      </c>
      <c r="I1018" t="s">
        <v>2383</v>
      </c>
      <c r="J1018">
        <v>0</v>
      </c>
      <c r="K1018" s="9">
        <f t="shared" si="30"/>
        <v>44768</v>
      </c>
      <c r="L1018">
        <f t="shared" si="31"/>
        <v>3346415</v>
      </c>
    </row>
    <row r="1019" spans="1:12">
      <c r="A1019">
        <v>1095</v>
      </c>
      <c r="B1019">
        <v>47</v>
      </c>
      <c r="C1019">
        <v>6</v>
      </c>
      <c r="D1019" t="s">
        <v>2385</v>
      </c>
      <c r="E1019" s="7">
        <v>547.41</v>
      </c>
      <c r="F1019" s="7">
        <v>7.95</v>
      </c>
      <c r="G1019">
        <v>34</v>
      </c>
      <c r="H1019" t="s">
        <v>1352</v>
      </c>
      <c r="I1019" t="s">
        <v>2393</v>
      </c>
      <c r="J1019">
        <v>326</v>
      </c>
      <c r="K1019" s="9">
        <f t="shared" si="30"/>
        <v>45075</v>
      </c>
      <c r="L1019">
        <f t="shared" si="31"/>
        <v>54741</v>
      </c>
    </row>
    <row r="1020" spans="1:12">
      <c r="A1020">
        <v>1096</v>
      </c>
      <c r="B1020">
        <v>572</v>
      </c>
      <c r="C1020">
        <v>2</v>
      </c>
      <c r="D1020" t="s">
        <v>2385</v>
      </c>
      <c r="E1020" s="7">
        <v>5168.1</v>
      </c>
      <c r="F1020" s="7">
        <v>21.69</v>
      </c>
      <c r="G1020">
        <v>14</v>
      </c>
      <c r="H1020" t="s">
        <v>331</v>
      </c>
      <c r="I1020" t="s">
        <v>2377</v>
      </c>
      <c r="J1020">
        <v>0</v>
      </c>
      <c r="K1020" s="9">
        <f t="shared" si="30"/>
        <v>44284</v>
      </c>
      <c r="L1020">
        <f t="shared" si="31"/>
        <v>51681</v>
      </c>
    </row>
    <row r="1021" spans="1:12">
      <c r="A1021">
        <v>1097</v>
      </c>
      <c r="B1021">
        <v>339</v>
      </c>
      <c r="C1021">
        <v>6</v>
      </c>
      <c r="D1021" t="s">
        <v>2387</v>
      </c>
      <c r="E1021" s="7">
        <v>133551.57</v>
      </c>
      <c r="F1021" s="7">
        <v>19.96</v>
      </c>
      <c r="G1021">
        <v>332</v>
      </c>
      <c r="H1021" t="s">
        <v>2615</v>
      </c>
      <c r="I1021" t="s">
        <v>2377</v>
      </c>
      <c r="J1021">
        <v>0</v>
      </c>
      <c r="K1021" s="9">
        <f t="shared" si="30"/>
        <v>44102</v>
      </c>
      <c r="L1021">
        <f t="shared" si="31"/>
        <v>13355157</v>
      </c>
    </row>
    <row r="1022" spans="1:12">
      <c r="A1022">
        <v>1098</v>
      </c>
      <c r="B1022">
        <v>366</v>
      </c>
      <c r="C1022">
        <v>1</v>
      </c>
      <c r="D1022" t="s">
        <v>2379</v>
      </c>
      <c r="E1022" s="7">
        <v>13136.95</v>
      </c>
      <c r="F1022" s="7">
        <v>9.12</v>
      </c>
      <c r="G1022">
        <v>44</v>
      </c>
      <c r="H1022" t="s">
        <v>2761</v>
      </c>
      <c r="I1022" t="s">
        <v>2377</v>
      </c>
      <c r="J1022">
        <v>0</v>
      </c>
      <c r="K1022" s="9">
        <f t="shared" si="30"/>
        <v>44744</v>
      </c>
      <c r="L1022">
        <f t="shared" si="31"/>
        <v>1313695</v>
      </c>
    </row>
    <row r="1023" spans="1:12">
      <c r="A1023">
        <v>1099</v>
      </c>
      <c r="B1023">
        <v>680</v>
      </c>
      <c r="C1023">
        <v>1</v>
      </c>
      <c r="D1023" t="s">
        <v>2379</v>
      </c>
      <c r="E1023" s="7">
        <v>3012.34</v>
      </c>
      <c r="F1023" s="7">
        <v>14.31</v>
      </c>
      <c r="G1023">
        <v>28</v>
      </c>
      <c r="H1023" t="s">
        <v>2930</v>
      </c>
      <c r="I1023" t="s">
        <v>2377</v>
      </c>
      <c r="J1023">
        <v>0</v>
      </c>
      <c r="K1023" s="9">
        <f t="shared" si="30"/>
        <v>45154</v>
      </c>
      <c r="L1023">
        <f t="shared" si="31"/>
        <v>301234</v>
      </c>
    </row>
    <row r="1024" spans="1:12">
      <c r="A1024">
        <v>1100</v>
      </c>
      <c r="B1024">
        <v>488</v>
      </c>
      <c r="C1024">
        <v>4</v>
      </c>
      <c r="D1024" t="s">
        <v>2387</v>
      </c>
      <c r="E1024" s="7">
        <v>135042.69</v>
      </c>
      <c r="F1024" s="7">
        <v>13.57</v>
      </c>
      <c r="G1024">
        <v>138</v>
      </c>
      <c r="H1024" t="s">
        <v>815</v>
      </c>
      <c r="I1024" t="s">
        <v>2377</v>
      </c>
      <c r="J1024">
        <v>65</v>
      </c>
      <c r="K1024" s="9">
        <f t="shared" si="30"/>
        <v>44429</v>
      </c>
      <c r="L1024">
        <f t="shared" si="31"/>
        <v>13504269</v>
      </c>
    </row>
    <row r="1025" spans="1:12">
      <c r="A1025">
        <v>1101</v>
      </c>
      <c r="B1025">
        <v>973</v>
      </c>
      <c r="C1025">
        <v>6</v>
      </c>
      <c r="D1025" t="s">
        <v>2379</v>
      </c>
      <c r="E1025" s="7">
        <v>2942.65</v>
      </c>
      <c r="F1025" s="7">
        <v>21.43</v>
      </c>
      <c r="G1025">
        <v>31</v>
      </c>
      <c r="H1025" t="s">
        <v>2931</v>
      </c>
      <c r="I1025" t="s">
        <v>2377</v>
      </c>
      <c r="J1025">
        <v>0</v>
      </c>
      <c r="K1025" s="9">
        <f t="shared" si="30"/>
        <v>45032</v>
      </c>
      <c r="L1025">
        <f t="shared" si="31"/>
        <v>294265</v>
      </c>
    </row>
    <row r="1026" spans="1:12">
      <c r="A1026">
        <v>1102</v>
      </c>
      <c r="B1026">
        <v>872</v>
      </c>
      <c r="C1026">
        <v>1</v>
      </c>
      <c r="D1026" t="s">
        <v>2379</v>
      </c>
      <c r="E1026" s="7">
        <v>6816.88</v>
      </c>
      <c r="F1026" s="7">
        <v>12.12</v>
      </c>
      <c r="G1026">
        <v>10</v>
      </c>
      <c r="H1026" t="s">
        <v>2932</v>
      </c>
      <c r="I1026" t="s">
        <v>2377</v>
      </c>
      <c r="J1026">
        <v>0</v>
      </c>
      <c r="K1026" s="9">
        <f t="shared" si="30"/>
        <v>43996</v>
      </c>
      <c r="L1026">
        <f t="shared" si="31"/>
        <v>681688</v>
      </c>
    </row>
    <row r="1027" spans="1:12">
      <c r="A1027">
        <v>1103</v>
      </c>
      <c r="B1027">
        <v>636</v>
      </c>
      <c r="C1027">
        <v>5</v>
      </c>
      <c r="D1027" t="s">
        <v>2376</v>
      </c>
      <c r="E1027" s="7">
        <v>88832.17</v>
      </c>
      <c r="F1027" s="7">
        <v>9.47</v>
      </c>
      <c r="G1027">
        <v>107</v>
      </c>
      <c r="H1027" t="s">
        <v>2702</v>
      </c>
      <c r="I1027" t="s">
        <v>2383</v>
      </c>
      <c r="J1027">
        <v>0</v>
      </c>
      <c r="K1027" s="9">
        <f t="shared" ref="K1027:K1090" si="32">DATEVALUE(LEFT(H1027,10))</f>
        <v>45105</v>
      </c>
      <c r="L1027">
        <f t="shared" ref="L1027:L1090" si="33">_xlfn.NUMBERVALUE(E1027,".",",")</f>
        <v>8883217</v>
      </c>
    </row>
    <row r="1028" spans="1:12">
      <c r="A1028">
        <v>1104</v>
      </c>
      <c r="B1028">
        <v>236</v>
      </c>
      <c r="C1028">
        <v>1</v>
      </c>
      <c r="D1028" t="s">
        <v>2387</v>
      </c>
      <c r="E1028" s="7">
        <v>194496.68</v>
      </c>
      <c r="F1028" s="7">
        <v>12.36</v>
      </c>
      <c r="G1028">
        <v>212</v>
      </c>
      <c r="H1028" t="s">
        <v>1845</v>
      </c>
      <c r="I1028" t="s">
        <v>2383</v>
      </c>
      <c r="J1028">
        <v>0</v>
      </c>
      <c r="K1028" s="9">
        <f t="shared" si="32"/>
        <v>45522</v>
      </c>
      <c r="L1028">
        <f t="shared" si="33"/>
        <v>19449668</v>
      </c>
    </row>
    <row r="1029" spans="1:12">
      <c r="A1029">
        <v>1105</v>
      </c>
      <c r="B1029">
        <v>97</v>
      </c>
      <c r="C1029">
        <v>4</v>
      </c>
      <c r="D1029" t="s">
        <v>2379</v>
      </c>
      <c r="E1029" s="7">
        <v>8676.21</v>
      </c>
      <c r="F1029" s="7">
        <v>17.03</v>
      </c>
      <c r="G1029">
        <v>52</v>
      </c>
      <c r="H1029" t="s">
        <v>2933</v>
      </c>
      <c r="I1029" t="s">
        <v>2377</v>
      </c>
      <c r="J1029">
        <v>0</v>
      </c>
      <c r="K1029" s="9">
        <f t="shared" si="32"/>
        <v>44676</v>
      </c>
      <c r="L1029">
        <f t="shared" si="33"/>
        <v>867621</v>
      </c>
    </row>
    <row r="1030" spans="1:12">
      <c r="A1030">
        <v>1106</v>
      </c>
      <c r="B1030">
        <v>240</v>
      </c>
      <c r="C1030">
        <v>6</v>
      </c>
      <c r="D1030" t="s">
        <v>2390</v>
      </c>
      <c r="E1030" s="7">
        <v>33814.05</v>
      </c>
      <c r="F1030" s="7">
        <v>15.58</v>
      </c>
      <c r="G1030">
        <v>74</v>
      </c>
      <c r="H1030" t="s">
        <v>2595</v>
      </c>
      <c r="I1030" t="s">
        <v>2377</v>
      </c>
      <c r="J1030">
        <v>0</v>
      </c>
      <c r="K1030" s="9">
        <f t="shared" si="32"/>
        <v>43988</v>
      </c>
      <c r="L1030">
        <f t="shared" si="33"/>
        <v>3381405</v>
      </c>
    </row>
    <row r="1031" spans="1:12">
      <c r="A1031">
        <v>1107</v>
      </c>
      <c r="B1031">
        <v>38</v>
      </c>
      <c r="C1031">
        <v>4</v>
      </c>
      <c r="D1031" t="s">
        <v>2376</v>
      </c>
      <c r="E1031" s="7">
        <v>57502.63</v>
      </c>
      <c r="F1031" s="7">
        <v>11.63</v>
      </c>
      <c r="G1031">
        <v>77</v>
      </c>
      <c r="H1031" t="s">
        <v>2934</v>
      </c>
      <c r="I1031" t="s">
        <v>2393</v>
      </c>
      <c r="J1031">
        <v>341</v>
      </c>
      <c r="K1031" s="9">
        <f t="shared" si="32"/>
        <v>44957</v>
      </c>
      <c r="L1031">
        <f t="shared" si="33"/>
        <v>5750263</v>
      </c>
    </row>
    <row r="1032" spans="1:12">
      <c r="A1032">
        <v>1108</v>
      </c>
      <c r="B1032">
        <v>967</v>
      </c>
      <c r="C1032">
        <v>4</v>
      </c>
      <c r="D1032" t="s">
        <v>2387</v>
      </c>
      <c r="E1032" s="7">
        <v>146702.97</v>
      </c>
      <c r="F1032" s="7">
        <v>20.27</v>
      </c>
      <c r="G1032">
        <v>245</v>
      </c>
      <c r="H1032" t="s">
        <v>2128</v>
      </c>
      <c r="I1032" t="s">
        <v>2377</v>
      </c>
      <c r="J1032">
        <v>0</v>
      </c>
      <c r="K1032" s="9">
        <f t="shared" si="32"/>
        <v>45455</v>
      </c>
      <c r="L1032">
        <f t="shared" si="33"/>
        <v>14670297</v>
      </c>
    </row>
    <row r="1033" spans="1:12">
      <c r="A1033">
        <v>1109</v>
      </c>
      <c r="B1033">
        <v>159</v>
      </c>
      <c r="C1033">
        <v>7</v>
      </c>
      <c r="D1033" t="s">
        <v>2390</v>
      </c>
      <c r="E1033" s="7">
        <v>24707.07</v>
      </c>
      <c r="F1033" s="7">
        <v>13.43</v>
      </c>
      <c r="G1033">
        <v>31</v>
      </c>
      <c r="H1033" t="s">
        <v>1211</v>
      </c>
      <c r="I1033" t="s">
        <v>2383</v>
      </c>
      <c r="J1033">
        <v>0</v>
      </c>
      <c r="K1033" s="9">
        <f t="shared" si="32"/>
        <v>44831</v>
      </c>
      <c r="L1033">
        <f t="shared" si="33"/>
        <v>2470707</v>
      </c>
    </row>
    <row r="1034" spans="1:12">
      <c r="A1034">
        <v>1110</v>
      </c>
      <c r="B1034">
        <v>490</v>
      </c>
      <c r="C1034">
        <v>3</v>
      </c>
      <c r="D1034" t="s">
        <v>2385</v>
      </c>
      <c r="E1034" s="7">
        <v>4697.17</v>
      </c>
      <c r="F1034" s="7">
        <v>7.58</v>
      </c>
      <c r="G1034">
        <v>22</v>
      </c>
      <c r="H1034" t="s">
        <v>2935</v>
      </c>
      <c r="I1034" t="s">
        <v>2377</v>
      </c>
      <c r="J1034">
        <v>77</v>
      </c>
      <c r="K1034" s="9">
        <f t="shared" si="32"/>
        <v>45765</v>
      </c>
      <c r="L1034">
        <f t="shared" si="33"/>
        <v>469717</v>
      </c>
    </row>
    <row r="1035" spans="1:12">
      <c r="A1035">
        <v>1111</v>
      </c>
      <c r="B1035">
        <v>994</v>
      </c>
      <c r="C1035">
        <v>3</v>
      </c>
      <c r="D1035" t="s">
        <v>2390</v>
      </c>
      <c r="E1035" s="7">
        <v>26255.37</v>
      </c>
      <c r="F1035" s="7">
        <v>21.9</v>
      </c>
      <c r="G1035">
        <v>70</v>
      </c>
      <c r="H1035" t="s">
        <v>789</v>
      </c>
      <c r="I1035" t="s">
        <v>2383</v>
      </c>
      <c r="J1035">
        <v>0</v>
      </c>
      <c r="K1035" s="9">
        <f t="shared" si="32"/>
        <v>45479</v>
      </c>
      <c r="L1035">
        <f t="shared" si="33"/>
        <v>2625537</v>
      </c>
    </row>
    <row r="1036" spans="1:12">
      <c r="A1036">
        <v>1112</v>
      </c>
      <c r="B1036">
        <v>63</v>
      </c>
      <c r="C1036">
        <v>4</v>
      </c>
      <c r="D1036" t="s">
        <v>2379</v>
      </c>
      <c r="E1036" s="7">
        <v>3701.82</v>
      </c>
      <c r="F1036" s="7">
        <v>15.29</v>
      </c>
      <c r="G1036">
        <v>26</v>
      </c>
      <c r="H1036" t="s">
        <v>2917</v>
      </c>
      <c r="I1036" t="s">
        <v>2377</v>
      </c>
      <c r="J1036">
        <v>35</v>
      </c>
      <c r="K1036" s="9">
        <f t="shared" si="32"/>
        <v>44293</v>
      </c>
      <c r="L1036">
        <f t="shared" si="33"/>
        <v>370182</v>
      </c>
    </row>
    <row r="1037" spans="1:12">
      <c r="A1037">
        <v>1113</v>
      </c>
      <c r="B1037">
        <v>863</v>
      </c>
      <c r="C1037">
        <v>7</v>
      </c>
      <c r="D1037" t="s">
        <v>2390</v>
      </c>
      <c r="E1037" s="7">
        <v>38718.66</v>
      </c>
      <c r="F1037" s="7">
        <v>14.8</v>
      </c>
      <c r="G1037">
        <v>31</v>
      </c>
      <c r="H1037" t="s">
        <v>2640</v>
      </c>
      <c r="I1037" t="s">
        <v>2393</v>
      </c>
      <c r="J1037">
        <v>98</v>
      </c>
      <c r="K1037" s="9">
        <f t="shared" si="32"/>
        <v>43954</v>
      </c>
      <c r="L1037">
        <f t="shared" si="33"/>
        <v>3871866</v>
      </c>
    </row>
    <row r="1038" spans="1:12">
      <c r="A1038">
        <v>1114</v>
      </c>
      <c r="B1038">
        <v>201</v>
      </c>
      <c r="C1038">
        <v>4</v>
      </c>
      <c r="D1038" t="s">
        <v>2376</v>
      </c>
      <c r="E1038" s="7">
        <v>118684.22</v>
      </c>
      <c r="F1038" s="7">
        <v>7.87</v>
      </c>
      <c r="G1038">
        <v>50</v>
      </c>
      <c r="H1038" t="s">
        <v>2378</v>
      </c>
      <c r="I1038" t="s">
        <v>2383</v>
      </c>
      <c r="J1038">
        <v>0</v>
      </c>
      <c r="K1038" s="9">
        <f t="shared" si="32"/>
        <v>43971</v>
      </c>
      <c r="L1038">
        <f t="shared" si="33"/>
        <v>11868422</v>
      </c>
    </row>
    <row r="1039" spans="1:12">
      <c r="A1039">
        <v>1115</v>
      </c>
      <c r="B1039">
        <v>961</v>
      </c>
      <c r="C1039">
        <v>6</v>
      </c>
      <c r="D1039" t="s">
        <v>2379</v>
      </c>
      <c r="E1039" s="7">
        <v>4012.33</v>
      </c>
      <c r="F1039" s="7">
        <v>20.17</v>
      </c>
      <c r="G1039">
        <v>22</v>
      </c>
      <c r="H1039" t="s">
        <v>458</v>
      </c>
      <c r="I1039" t="s">
        <v>2377</v>
      </c>
      <c r="J1039">
        <v>0</v>
      </c>
      <c r="K1039" s="9">
        <f t="shared" si="32"/>
        <v>45095</v>
      </c>
      <c r="L1039">
        <f t="shared" si="33"/>
        <v>401233</v>
      </c>
    </row>
    <row r="1040" spans="1:12">
      <c r="A1040">
        <v>1116</v>
      </c>
      <c r="B1040">
        <v>855</v>
      </c>
      <c r="C1040">
        <v>5</v>
      </c>
      <c r="D1040" t="s">
        <v>2379</v>
      </c>
      <c r="E1040" s="7">
        <v>13663.6</v>
      </c>
      <c r="F1040" s="7">
        <v>17.35</v>
      </c>
      <c r="G1040">
        <v>45</v>
      </c>
      <c r="H1040" t="s">
        <v>796</v>
      </c>
      <c r="I1040" t="s">
        <v>2383</v>
      </c>
      <c r="J1040">
        <v>0</v>
      </c>
      <c r="K1040" s="9">
        <f t="shared" si="32"/>
        <v>43890</v>
      </c>
      <c r="L1040">
        <f t="shared" si="33"/>
        <v>136636</v>
      </c>
    </row>
    <row r="1041" spans="1:12">
      <c r="A1041">
        <v>1117</v>
      </c>
      <c r="B1041">
        <v>888</v>
      </c>
      <c r="C1041">
        <v>7</v>
      </c>
      <c r="D1041" t="s">
        <v>2385</v>
      </c>
      <c r="E1041" s="7">
        <v>7820.62</v>
      </c>
      <c r="F1041" s="7">
        <v>9.6</v>
      </c>
      <c r="G1041">
        <v>21</v>
      </c>
      <c r="H1041" t="s">
        <v>2936</v>
      </c>
      <c r="I1041" t="s">
        <v>2377</v>
      </c>
      <c r="J1041">
        <v>79</v>
      </c>
      <c r="K1041" s="9">
        <f t="shared" si="32"/>
        <v>44915</v>
      </c>
      <c r="L1041">
        <f t="shared" si="33"/>
        <v>782062</v>
      </c>
    </row>
    <row r="1042" spans="1:12">
      <c r="A1042">
        <v>1118</v>
      </c>
      <c r="B1042">
        <v>195</v>
      </c>
      <c r="C1042">
        <v>4</v>
      </c>
      <c r="D1042" t="s">
        <v>2390</v>
      </c>
      <c r="E1042" s="7">
        <v>18546.87</v>
      </c>
      <c r="F1042" s="7">
        <v>7.77</v>
      </c>
      <c r="G1042">
        <v>31</v>
      </c>
      <c r="H1042" t="s">
        <v>2937</v>
      </c>
      <c r="I1042" t="s">
        <v>2377</v>
      </c>
      <c r="J1042">
        <v>19</v>
      </c>
      <c r="K1042" s="9">
        <f t="shared" si="32"/>
        <v>45619</v>
      </c>
      <c r="L1042">
        <f t="shared" si="33"/>
        <v>1854687</v>
      </c>
    </row>
    <row r="1043" spans="1:12">
      <c r="A1043">
        <v>1119</v>
      </c>
      <c r="B1043">
        <v>409</v>
      </c>
      <c r="C1043">
        <v>1</v>
      </c>
      <c r="D1043" t="s">
        <v>2379</v>
      </c>
      <c r="E1043" s="7">
        <v>7972.09</v>
      </c>
      <c r="F1043" s="7">
        <v>17.76</v>
      </c>
      <c r="G1043">
        <v>52</v>
      </c>
      <c r="H1043" t="s">
        <v>128</v>
      </c>
      <c r="I1043" t="s">
        <v>2377</v>
      </c>
      <c r="J1043">
        <v>0</v>
      </c>
      <c r="K1043" s="9">
        <f t="shared" si="32"/>
        <v>45261</v>
      </c>
      <c r="L1043">
        <f t="shared" si="33"/>
        <v>797209</v>
      </c>
    </row>
    <row r="1044" spans="1:12">
      <c r="A1044">
        <v>1120</v>
      </c>
      <c r="B1044">
        <v>234</v>
      </c>
      <c r="C1044">
        <v>5</v>
      </c>
      <c r="D1044" t="s">
        <v>2379</v>
      </c>
      <c r="E1044" s="7">
        <v>12831.02</v>
      </c>
      <c r="F1044" s="7">
        <v>20.64</v>
      </c>
      <c r="G1044">
        <v>38</v>
      </c>
      <c r="H1044" t="s">
        <v>2938</v>
      </c>
      <c r="I1044" t="s">
        <v>2383</v>
      </c>
      <c r="J1044">
        <v>0</v>
      </c>
      <c r="K1044" s="9">
        <f t="shared" si="32"/>
        <v>45503</v>
      </c>
      <c r="L1044">
        <f t="shared" si="33"/>
        <v>1283102</v>
      </c>
    </row>
    <row r="1045" spans="1:12">
      <c r="A1045">
        <v>1121</v>
      </c>
      <c r="B1045">
        <v>971</v>
      </c>
      <c r="C1045">
        <v>7</v>
      </c>
      <c r="D1045" t="s">
        <v>2390</v>
      </c>
      <c r="E1045" s="7">
        <v>8948.58</v>
      </c>
      <c r="F1045" s="7">
        <v>19.25</v>
      </c>
      <c r="G1045">
        <v>77</v>
      </c>
      <c r="H1045" t="s">
        <v>1649</v>
      </c>
      <c r="I1045" t="s">
        <v>2377</v>
      </c>
      <c r="J1045">
        <v>0</v>
      </c>
      <c r="K1045" s="9">
        <f t="shared" si="32"/>
        <v>44046</v>
      </c>
      <c r="L1045">
        <f t="shared" si="33"/>
        <v>894858</v>
      </c>
    </row>
    <row r="1046" spans="1:12">
      <c r="A1046">
        <v>1122</v>
      </c>
      <c r="B1046">
        <v>769</v>
      </c>
      <c r="C1046">
        <v>3</v>
      </c>
      <c r="D1046" t="s">
        <v>2379</v>
      </c>
      <c r="E1046" s="7">
        <v>6958.27</v>
      </c>
      <c r="F1046" s="7">
        <v>13.86</v>
      </c>
      <c r="G1046">
        <v>8</v>
      </c>
      <c r="H1046" t="s">
        <v>2464</v>
      </c>
      <c r="I1046" t="s">
        <v>2377</v>
      </c>
      <c r="J1046">
        <v>2</v>
      </c>
      <c r="K1046" s="9">
        <f t="shared" si="32"/>
        <v>45373</v>
      </c>
      <c r="L1046">
        <f t="shared" si="33"/>
        <v>695827</v>
      </c>
    </row>
    <row r="1047" spans="1:12">
      <c r="A1047">
        <v>1123</v>
      </c>
      <c r="B1047">
        <v>585</v>
      </c>
      <c r="C1047">
        <v>5</v>
      </c>
      <c r="D1047" t="s">
        <v>2390</v>
      </c>
      <c r="E1047" s="7">
        <v>26780.71</v>
      </c>
      <c r="F1047" s="7">
        <v>14.71</v>
      </c>
      <c r="G1047">
        <v>70</v>
      </c>
      <c r="H1047" t="s">
        <v>2676</v>
      </c>
      <c r="I1047" t="s">
        <v>2377</v>
      </c>
      <c r="J1047">
        <v>19</v>
      </c>
      <c r="K1047" s="9">
        <f t="shared" si="32"/>
        <v>44109</v>
      </c>
      <c r="L1047">
        <f t="shared" si="33"/>
        <v>2678071</v>
      </c>
    </row>
    <row r="1048" spans="1:12">
      <c r="A1048">
        <v>1124</v>
      </c>
      <c r="B1048">
        <v>116</v>
      </c>
      <c r="C1048">
        <v>4</v>
      </c>
      <c r="D1048" t="s">
        <v>2387</v>
      </c>
      <c r="E1048" s="7">
        <v>138356.75</v>
      </c>
      <c r="F1048" s="7">
        <v>18.29</v>
      </c>
      <c r="G1048">
        <v>328</v>
      </c>
      <c r="H1048" t="s">
        <v>2660</v>
      </c>
      <c r="I1048" t="s">
        <v>2377</v>
      </c>
      <c r="J1048">
        <v>0</v>
      </c>
      <c r="K1048" s="9">
        <f t="shared" si="32"/>
        <v>44162</v>
      </c>
      <c r="L1048">
        <f t="shared" si="33"/>
        <v>13835675</v>
      </c>
    </row>
    <row r="1049" spans="1:12">
      <c r="A1049">
        <v>1125</v>
      </c>
      <c r="B1049">
        <v>22</v>
      </c>
      <c r="C1049">
        <v>4</v>
      </c>
      <c r="D1049" t="s">
        <v>2387</v>
      </c>
      <c r="E1049" s="7">
        <v>199763.33</v>
      </c>
      <c r="F1049" s="7">
        <v>8.01</v>
      </c>
      <c r="G1049">
        <v>173</v>
      </c>
      <c r="H1049" t="s">
        <v>2939</v>
      </c>
      <c r="I1049" t="s">
        <v>2393</v>
      </c>
      <c r="J1049">
        <v>119</v>
      </c>
      <c r="K1049" s="9">
        <f t="shared" si="32"/>
        <v>45785</v>
      </c>
      <c r="L1049">
        <f t="shared" si="33"/>
        <v>19976333</v>
      </c>
    </row>
    <row r="1050" spans="1:12">
      <c r="A1050">
        <v>1126</v>
      </c>
      <c r="B1050">
        <v>554</v>
      </c>
      <c r="C1050">
        <v>6</v>
      </c>
      <c r="D1050" t="s">
        <v>2390</v>
      </c>
      <c r="E1050" s="7">
        <v>24621.89</v>
      </c>
      <c r="F1050" s="7">
        <v>10.28</v>
      </c>
      <c r="G1050">
        <v>42</v>
      </c>
      <c r="H1050" t="s">
        <v>2940</v>
      </c>
      <c r="I1050" t="s">
        <v>2383</v>
      </c>
      <c r="J1050">
        <v>0</v>
      </c>
      <c r="K1050" s="9">
        <f t="shared" si="32"/>
        <v>44829</v>
      </c>
      <c r="L1050">
        <f t="shared" si="33"/>
        <v>2462189</v>
      </c>
    </row>
    <row r="1051" spans="1:12">
      <c r="A1051">
        <v>1127</v>
      </c>
      <c r="B1051">
        <v>915</v>
      </c>
      <c r="C1051">
        <v>3</v>
      </c>
      <c r="D1051" t="s">
        <v>2390</v>
      </c>
      <c r="E1051" s="7">
        <v>20365.81</v>
      </c>
      <c r="F1051" s="7">
        <v>21.52</v>
      </c>
      <c r="G1051">
        <v>53</v>
      </c>
      <c r="H1051" t="s">
        <v>2573</v>
      </c>
      <c r="I1051" t="s">
        <v>2393</v>
      </c>
      <c r="J1051">
        <v>247</v>
      </c>
      <c r="K1051" s="9">
        <f t="shared" si="32"/>
        <v>44270</v>
      </c>
      <c r="L1051">
        <f t="shared" si="33"/>
        <v>2036581</v>
      </c>
    </row>
    <row r="1052" spans="1:12">
      <c r="A1052">
        <v>628</v>
      </c>
      <c r="B1052">
        <v>500</v>
      </c>
      <c r="C1052">
        <v>5</v>
      </c>
      <c r="D1052" t="s">
        <v>2387</v>
      </c>
      <c r="E1052" s="7">
        <v>56883.47</v>
      </c>
      <c r="F1052" s="7">
        <v>17.76</v>
      </c>
      <c r="G1052">
        <v>349</v>
      </c>
      <c r="H1052" t="s">
        <v>506</v>
      </c>
      <c r="I1052" t="s">
        <v>2377</v>
      </c>
      <c r="J1052">
        <v>0</v>
      </c>
      <c r="K1052" s="9">
        <f t="shared" si="32"/>
        <v>44989</v>
      </c>
      <c r="L1052">
        <f t="shared" si="33"/>
        <v>5688347</v>
      </c>
    </row>
    <row r="1053" spans="1:12">
      <c r="A1053">
        <v>629</v>
      </c>
      <c r="B1053">
        <v>801</v>
      </c>
      <c r="C1053">
        <v>5</v>
      </c>
      <c r="D1053" t="s">
        <v>2385</v>
      </c>
      <c r="E1053" s="7">
        <v>8463.72</v>
      </c>
      <c r="F1053" s="7">
        <v>5.97</v>
      </c>
      <c r="G1053">
        <v>23</v>
      </c>
      <c r="H1053" t="s">
        <v>2941</v>
      </c>
      <c r="I1053" t="s">
        <v>2377</v>
      </c>
      <c r="J1053">
        <v>0</v>
      </c>
      <c r="K1053" s="9">
        <f t="shared" si="32"/>
        <v>44327</v>
      </c>
      <c r="L1053">
        <f t="shared" si="33"/>
        <v>846372</v>
      </c>
    </row>
    <row r="1054" spans="1:12">
      <c r="A1054">
        <v>630</v>
      </c>
      <c r="B1054">
        <v>403</v>
      </c>
      <c r="C1054">
        <v>1</v>
      </c>
      <c r="D1054" t="s">
        <v>2390</v>
      </c>
      <c r="E1054" s="7">
        <v>32828.37</v>
      </c>
      <c r="F1054" s="7">
        <v>13.24</v>
      </c>
      <c r="G1054">
        <v>52</v>
      </c>
      <c r="H1054" t="s">
        <v>1540</v>
      </c>
      <c r="I1054" t="s">
        <v>2377</v>
      </c>
      <c r="J1054">
        <v>0</v>
      </c>
      <c r="K1054" s="9">
        <f t="shared" si="32"/>
        <v>45372</v>
      </c>
      <c r="L1054">
        <f t="shared" si="33"/>
        <v>3282837</v>
      </c>
    </row>
    <row r="1055" spans="1:12">
      <c r="A1055">
        <v>631</v>
      </c>
      <c r="B1055">
        <v>946</v>
      </c>
      <c r="C1055">
        <v>1</v>
      </c>
      <c r="D1055" t="s">
        <v>2387</v>
      </c>
      <c r="E1055" s="7">
        <v>145550.8</v>
      </c>
      <c r="F1055" s="7">
        <v>8.4</v>
      </c>
      <c r="G1055">
        <v>227</v>
      </c>
      <c r="H1055" t="s">
        <v>2942</v>
      </c>
      <c r="I1055" t="s">
        <v>2377</v>
      </c>
      <c r="J1055">
        <v>0</v>
      </c>
      <c r="K1055" s="9">
        <f t="shared" si="32"/>
        <v>45226</v>
      </c>
      <c r="L1055">
        <f t="shared" si="33"/>
        <v>1455508</v>
      </c>
    </row>
    <row r="1056" spans="1:12">
      <c r="A1056">
        <v>632</v>
      </c>
      <c r="B1056">
        <v>926</v>
      </c>
      <c r="C1056">
        <v>1</v>
      </c>
      <c r="D1056" t="s">
        <v>2379</v>
      </c>
      <c r="E1056" s="7">
        <v>6035.31</v>
      </c>
      <c r="F1056" s="7">
        <v>9.67</v>
      </c>
      <c r="G1056">
        <v>18</v>
      </c>
      <c r="H1056" t="s">
        <v>2875</v>
      </c>
      <c r="I1056" t="s">
        <v>2377</v>
      </c>
      <c r="J1056">
        <v>0</v>
      </c>
      <c r="K1056" s="9">
        <f t="shared" si="32"/>
        <v>45257</v>
      </c>
      <c r="L1056">
        <f t="shared" si="33"/>
        <v>603531</v>
      </c>
    </row>
    <row r="1057" spans="1:12">
      <c r="A1057">
        <v>633</v>
      </c>
      <c r="B1057">
        <v>208</v>
      </c>
      <c r="C1057">
        <v>7</v>
      </c>
      <c r="D1057" t="s">
        <v>2379</v>
      </c>
      <c r="E1057" s="7">
        <v>5334.64</v>
      </c>
      <c r="F1057" s="7">
        <v>12.3</v>
      </c>
      <c r="G1057">
        <v>10</v>
      </c>
      <c r="H1057" t="s">
        <v>2710</v>
      </c>
      <c r="I1057" t="s">
        <v>2377</v>
      </c>
      <c r="J1057">
        <v>0</v>
      </c>
      <c r="K1057" s="9">
        <f t="shared" si="32"/>
        <v>44007</v>
      </c>
      <c r="L1057">
        <f t="shared" si="33"/>
        <v>533464</v>
      </c>
    </row>
    <row r="1058" spans="1:12">
      <c r="A1058">
        <v>634</v>
      </c>
      <c r="B1058">
        <v>14</v>
      </c>
      <c r="C1058">
        <v>6</v>
      </c>
      <c r="D1058" t="s">
        <v>2390</v>
      </c>
      <c r="E1058" s="7">
        <v>13912.69</v>
      </c>
      <c r="F1058" s="7">
        <v>8.38</v>
      </c>
      <c r="G1058">
        <v>71</v>
      </c>
      <c r="H1058" t="s">
        <v>2943</v>
      </c>
      <c r="I1058" t="s">
        <v>2383</v>
      </c>
      <c r="J1058">
        <v>0</v>
      </c>
      <c r="K1058" s="9">
        <f t="shared" si="32"/>
        <v>44412</v>
      </c>
      <c r="L1058">
        <f t="shared" si="33"/>
        <v>1391269</v>
      </c>
    </row>
    <row r="1059" spans="1:12">
      <c r="A1059">
        <v>635</v>
      </c>
      <c r="B1059">
        <v>445</v>
      </c>
      <c r="C1059">
        <v>4</v>
      </c>
      <c r="D1059" t="s">
        <v>2387</v>
      </c>
      <c r="E1059" s="7">
        <v>152434.27</v>
      </c>
      <c r="F1059" s="7">
        <v>21.17</v>
      </c>
      <c r="G1059">
        <v>217</v>
      </c>
      <c r="H1059" t="s">
        <v>2944</v>
      </c>
      <c r="I1059" t="s">
        <v>2377</v>
      </c>
      <c r="J1059">
        <v>0</v>
      </c>
      <c r="K1059" s="9">
        <f t="shared" si="32"/>
        <v>44377</v>
      </c>
      <c r="L1059">
        <f t="shared" si="33"/>
        <v>15243427</v>
      </c>
    </row>
    <row r="1060" spans="1:12">
      <c r="A1060">
        <v>636</v>
      </c>
      <c r="B1060">
        <v>726</v>
      </c>
      <c r="C1060">
        <v>4</v>
      </c>
      <c r="D1060" t="s">
        <v>2379</v>
      </c>
      <c r="E1060" s="7">
        <v>3771.32</v>
      </c>
      <c r="F1060" s="7">
        <v>10.64</v>
      </c>
      <c r="G1060">
        <v>50</v>
      </c>
      <c r="H1060" t="s">
        <v>2922</v>
      </c>
      <c r="I1060" t="s">
        <v>2377</v>
      </c>
      <c r="J1060">
        <v>0</v>
      </c>
      <c r="K1060" s="9">
        <f t="shared" si="32"/>
        <v>45753</v>
      </c>
      <c r="L1060">
        <f t="shared" si="33"/>
        <v>377132</v>
      </c>
    </row>
    <row r="1061" spans="1:12">
      <c r="A1061">
        <v>637</v>
      </c>
      <c r="B1061">
        <v>611</v>
      </c>
      <c r="C1061">
        <v>6</v>
      </c>
      <c r="D1061" t="s">
        <v>2376</v>
      </c>
      <c r="E1061" s="7">
        <v>31115.44</v>
      </c>
      <c r="F1061" s="7">
        <v>20.54</v>
      </c>
      <c r="G1061">
        <v>72</v>
      </c>
      <c r="H1061" t="s">
        <v>2796</v>
      </c>
      <c r="I1061" t="s">
        <v>2383</v>
      </c>
      <c r="J1061">
        <v>0</v>
      </c>
      <c r="K1061" s="9">
        <f t="shared" si="32"/>
        <v>45548</v>
      </c>
      <c r="L1061">
        <f t="shared" si="33"/>
        <v>3111544</v>
      </c>
    </row>
    <row r="1062" spans="1:12">
      <c r="A1062">
        <v>638</v>
      </c>
      <c r="B1062">
        <v>355</v>
      </c>
      <c r="C1062">
        <v>4</v>
      </c>
      <c r="D1062" t="s">
        <v>2385</v>
      </c>
      <c r="E1062" s="7">
        <v>3240.71</v>
      </c>
      <c r="F1062" s="7">
        <v>9.15</v>
      </c>
      <c r="G1062">
        <v>30</v>
      </c>
      <c r="H1062" t="s">
        <v>2593</v>
      </c>
      <c r="I1062" t="s">
        <v>2393</v>
      </c>
      <c r="J1062">
        <v>313</v>
      </c>
      <c r="K1062" s="9">
        <f t="shared" si="32"/>
        <v>44631</v>
      </c>
      <c r="L1062">
        <f t="shared" si="33"/>
        <v>324071</v>
      </c>
    </row>
    <row r="1063" spans="1:12">
      <c r="A1063">
        <v>639</v>
      </c>
      <c r="B1063">
        <v>283</v>
      </c>
      <c r="C1063">
        <v>1</v>
      </c>
      <c r="D1063" t="s">
        <v>2387</v>
      </c>
      <c r="E1063" s="7">
        <v>95485.57</v>
      </c>
      <c r="F1063" s="7">
        <v>8.08</v>
      </c>
      <c r="G1063">
        <v>303</v>
      </c>
      <c r="H1063" t="s">
        <v>2740</v>
      </c>
      <c r="I1063" t="s">
        <v>2377</v>
      </c>
      <c r="J1063">
        <v>0</v>
      </c>
      <c r="K1063" s="9">
        <f t="shared" si="32"/>
        <v>44929</v>
      </c>
      <c r="L1063">
        <f t="shared" si="33"/>
        <v>9548557</v>
      </c>
    </row>
    <row r="1064" spans="1:12">
      <c r="A1064">
        <v>640</v>
      </c>
      <c r="B1064">
        <v>492</v>
      </c>
      <c r="C1064">
        <v>4</v>
      </c>
      <c r="D1064" t="s">
        <v>2376</v>
      </c>
      <c r="E1064" s="7">
        <v>118125.17</v>
      </c>
      <c r="F1064" s="7">
        <v>12.12</v>
      </c>
      <c r="G1064">
        <v>26</v>
      </c>
      <c r="H1064" t="s">
        <v>2945</v>
      </c>
      <c r="I1064" t="s">
        <v>2383</v>
      </c>
      <c r="J1064">
        <v>0</v>
      </c>
      <c r="K1064" s="9">
        <f t="shared" si="32"/>
        <v>44608</v>
      </c>
      <c r="L1064">
        <f t="shared" si="33"/>
        <v>11812517</v>
      </c>
    </row>
    <row r="1065" spans="1:12">
      <c r="A1065">
        <v>641</v>
      </c>
      <c r="B1065">
        <v>990</v>
      </c>
      <c r="C1065">
        <v>3</v>
      </c>
      <c r="D1065" t="s">
        <v>2387</v>
      </c>
      <c r="E1065" s="7">
        <v>176426.84</v>
      </c>
      <c r="F1065" s="7">
        <v>17.63</v>
      </c>
      <c r="G1065">
        <v>206</v>
      </c>
      <c r="H1065" t="s">
        <v>2389</v>
      </c>
      <c r="I1065" t="s">
        <v>2377</v>
      </c>
      <c r="J1065">
        <v>14</v>
      </c>
      <c r="K1065" s="9">
        <f t="shared" si="32"/>
        <v>45256</v>
      </c>
      <c r="L1065">
        <f t="shared" si="33"/>
        <v>17642684</v>
      </c>
    </row>
    <row r="1066" spans="1:12">
      <c r="A1066">
        <v>642</v>
      </c>
      <c r="B1066">
        <v>404</v>
      </c>
      <c r="C1066">
        <v>3</v>
      </c>
      <c r="D1066" t="s">
        <v>2390</v>
      </c>
      <c r="E1066" s="7">
        <v>24149.51</v>
      </c>
      <c r="F1066" s="7">
        <v>10.95</v>
      </c>
      <c r="G1066">
        <v>62</v>
      </c>
      <c r="H1066" t="s">
        <v>2603</v>
      </c>
      <c r="I1066" t="s">
        <v>2377</v>
      </c>
      <c r="J1066">
        <v>0</v>
      </c>
      <c r="K1066" s="9">
        <f t="shared" si="32"/>
        <v>44346</v>
      </c>
      <c r="L1066">
        <f t="shared" si="33"/>
        <v>2414951</v>
      </c>
    </row>
    <row r="1067" spans="1:12">
      <c r="A1067">
        <v>643</v>
      </c>
      <c r="B1067">
        <v>755</v>
      </c>
      <c r="C1067">
        <v>3</v>
      </c>
      <c r="D1067" t="s">
        <v>2376</v>
      </c>
      <c r="E1067" s="7">
        <v>145127.96</v>
      </c>
      <c r="F1067" s="7">
        <v>19.94</v>
      </c>
      <c r="G1067">
        <v>12</v>
      </c>
      <c r="H1067" t="s">
        <v>2946</v>
      </c>
      <c r="I1067" t="s">
        <v>2377</v>
      </c>
      <c r="J1067">
        <v>0</v>
      </c>
      <c r="K1067" s="9">
        <f t="shared" si="32"/>
        <v>44019</v>
      </c>
      <c r="L1067">
        <f t="shared" si="33"/>
        <v>14512796</v>
      </c>
    </row>
    <row r="1068" spans="1:12">
      <c r="A1068">
        <v>644</v>
      </c>
      <c r="B1068">
        <v>346</v>
      </c>
      <c r="C1068">
        <v>1</v>
      </c>
      <c r="D1068" t="s">
        <v>2379</v>
      </c>
      <c r="E1068" s="7">
        <v>4075.89</v>
      </c>
      <c r="F1068" s="7">
        <v>10.13</v>
      </c>
      <c r="G1068">
        <v>58</v>
      </c>
      <c r="H1068" t="s">
        <v>2558</v>
      </c>
      <c r="I1068" t="s">
        <v>2383</v>
      </c>
      <c r="J1068">
        <v>0</v>
      </c>
      <c r="K1068" s="9">
        <f t="shared" si="32"/>
        <v>44956</v>
      </c>
      <c r="L1068">
        <f t="shared" si="33"/>
        <v>407589</v>
      </c>
    </row>
    <row r="1069" spans="1:12">
      <c r="A1069">
        <v>645</v>
      </c>
      <c r="B1069">
        <v>423</v>
      </c>
      <c r="C1069">
        <v>1</v>
      </c>
      <c r="D1069" t="s">
        <v>2376</v>
      </c>
      <c r="E1069" s="7">
        <v>104416.1</v>
      </c>
      <c r="F1069" s="7">
        <v>21.22</v>
      </c>
      <c r="G1069">
        <v>73</v>
      </c>
      <c r="H1069" t="s">
        <v>2398</v>
      </c>
      <c r="I1069" t="s">
        <v>2377</v>
      </c>
      <c r="J1069">
        <v>0</v>
      </c>
      <c r="K1069" s="9">
        <f t="shared" si="32"/>
        <v>44741</v>
      </c>
      <c r="L1069">
        <f t="shared" si="33"/>
        <v>1044161</v>
      </c>
    </row>
    <row r="1070" spans="1:12">
      <c r="A1070">
        <v>646</v>
      </c>
      <c r="B1070">
        <v>686</v>
      </c>
      <c r="C1070">
        <v>5</v>
      </c>
      <c r="D1070" t="s">
        <v>2390</v>
      </c>
      <c r="E1070" s="7">
        <v>33853.1</v>
      </c>
      <c r="F1070" s="7">
        <v>14.03</v>
      </c>
      <c r="G1070">
        <v>48</v>
      </c>
      <c r="H1070" t="s">
        <v>2322</v>
      </c>
      <c r="I1070" t="s">
        <v>2377</v>
      </c>
      <c r="J1070">
        <v>22</v>
      </c>
      <c r="K1070" s="9">
        <f t="shared" si="32"/>
        <v>45445</v>
      </c>
      <c r="L1070">
        <f t="shared" si="33"/>
        <v>338531</v>
      </c>
    </row>
    <row r="1071" spans="1:12">
      <c r="A1071">
        <v>647</v>
      </c>
      <c r="B1071">
        <v>567</v>
      </c>
      <c r="C1071">
        <v>3</v>
      </c>
      <c r="D1071" t="s">
        <v>2376</v>
      </c>
      <c r="E1071" s="7">
        <v>38198.81</v>
      </c>
      <c r="F1071" s="7">
        <v>13.18</v>
      </c>
      <c r="G1071">
        <v>44</v>
      </c>
      <c r="H1071" t="s">
        <v>572</v>
      </c>
      <c r="I1071" t="s">
        <v>2393</v>
      </c>
      <c r="J1071">
        <v>203</v>
      </c>
      <c r="K1071" s="9">
        <f t="shared" si="32"/>
        <v>45401</v>
      </c>
      <c r="L1071">
        <f t="shared" si="33"/>
        <v>3819881</v>
      </c>
    </row>
    <row r="1072" spans="1:12">
      <c r="A1072">
        <v>648</v>
      </c>
      <c r="B1072">
        <v>428</v>
      </c>
      <c r="C1072">
        <v>7</v>
      </c>
      <c r="D1072" t="s">
        <v>2379</v>
      </c>
      <c r="E1072" s="7">
        <v>11089.7</v>
      </c>
      <c r="F1072" s="7">
        <v>15.45</v>
      </c>
      <c r="G1072">
        <v>6</v>
      </c>
      <c r="H1072" t="s">
        <v>2438</v>
      </c>
      <c r="I1072" t="s">
        <v>2377</v>
      </c>
      <c r="J1072">
        <v>0</v>
      </c>
      <c r="K1072" s="9">
        <f t="shared" si="32"/>
        <v>45446</v>
      </c>
      <c r="L1072">
        <f t="shared" si="33"/>
        <v>110897</v>
      </c>
    </row>
    <row r="1073" spans="1:12">
      <c r="A1073">
        <v>649</v>
      </c>
      <c r="B1073">
        <v>41</v>
      </c>
      <c r="C1073">
        <v>6</v>
      </c>
      <c r="D1073" t="s">
        <v>2387</v>
      </c>
      <c r="E1073" s="7">
        <v>140532.71</v>
      </c>
      <c r="F1073" s="7">
        <v>10</v>
      </c>
      <c r="G1073">
        <v>312</v>
      </c>
      <c r="H1073" t="s">
        <v>2947</v>
      </c>
      <c r="I1073" t="s">
        <v>2377</v>
      </c>
      <c r="J1073">
        <v>0</v>
      </c>
      <c r="K1073" s="9">
        <f t="shared" si="32"/>
        <v>44242</v>
      </c>
      <c r="L1073">
        <f t="shared" si="33"/>
        <v>14053271</v>
      </c>
    </row>
    <row r="1074" spans="1:12">
      <c r="A1074">
        <v>650</v>
      </c>
      <c r="B1074">
        <v>640</v>
      </c>
      <c r="C1074">
        <v>2</v>
      </c>
      <c r="D1074" t="s">
        <v>2390</v>
      </c>
      <c r="E1074" s="7">
        <v>25179.81</v>
      </c>
      <c r="F1074" s="7">
        <v>12.94</v>
      </c>
      <c r="G1074">
        <v>64</v>
      </c>
      <c r="H1074" t="s">
        <v>77</v>
      </c>
      <c r="I1074" t="s">
        <v>2377</v>
      </c>
      <c r="J1074">
        <v>0</v>
      </c>
      <c r="K1074" s="9">
        <f t="shared" si="32"/>
        <v>44154</v>
      </c>
      <c r="L1074">
        <f t="shared" si="33"/>
        <v>2517981</v>
      </c>
    </row>
    <row r="1075" spans="1:12">
      <c r="A1075">
        <v>651</v>
      </c>
      <c r="B1075">
        <v>302</v>
      </c>
      <c r="C1075">
        <v>2</v>
      </c>
      <c r="D1075" t="s">
        <v>2390</v>
      </c>
      <c r="E1075" s="7">
        <v>16820.11</v>
      </c>
      <c r="F1075" s="7">
        <v>10.83</v>
      </c>
      <c r="G1075">
        <v>70</v>
      </c>
      <c r="H1075" t="s">
        <v>2948</v>
      </c>
      <c r="I1075" t="s">
        <v>2383</v>
      </c>
      <c r="J1075">
        <v>0</v>
      </c>
      <c r="K1075" s="9">
        <f t="shared" si="32"/>
        <v>45240</v>
      </c>
      <c r="L1075">
        <f t="shared" si="33"/>
        <v>1682011</v>
      </c>
    </row>
    <row r="1076" spans="1:12">
      <c r="A1076">
        <v>652</v>
      </c>
      <c r="B1076">
        <v>229</v>
      </c>
      <c r="C1076">
        <v>5</v>
      </c>
      <c r="D1076" t="s">
        <v>2390</v>
      </c>
      <c r="E1076" s="7">
        <v>17141.5</v>
      </c>
      <c r="F1076" s="7">
        <v>6.16</v>
      </c>
      <c r="G1076">
        <v>81</v>
      </c>
      <c r="H1076" t="s">
        <v>685</v>
      </c>
      <c r="I1076" t="s">
        <v>2377</v>
      </c>
      <c r="J1076">
        <v>0</v>
      </c>
      <c r="K1076" s="9">
        <f t="shared" si="32"/>
        <v>45520</v>
      </c>
      <c r="L1076">
        <f t="shared" si="33"/>
        <v>171415</v>
      </c>
    </row>
    <row r="1077" spans="1:12">
      <c r="A1077">
        <v>653</v>
      </c>
      <c r="B1077">
        <v>461</v>
      </c>
      <c r="C1077">
        <v>6</v>
      </c>
      <c r="D1077" t="s">
        <v>2385</v>
      </c>
      <c r="E1077" s="7">
        <v>664.45</v>
      </c>
      <c r="F1077" s="7">
        <v>6.66</v>
      </c>
      <c r="G1077">
        <v>16</v>
      </c>
      <c r="H1077" t="s">
        <v>2949</v>
      </c>
      <c r="I1077" t="s">
        <v>2377</v>
      </c>
      <c r="J1077">
        <v>0</v>
      </c>
      <c r="K1077" s="9">
        <f t="shared" si="32"/>
        <v>44990</v>
      </c>
      <c r="L1077">
        <f t="shared" si="33"/>
        <v>66445</v>
      </c>
    </row>
    <row r="1078" spans="1:12">
      <c r="A1078">
        <v>654</v>
      </c>
      <c r="B1078">
        <v>206</v>
      </c>
      <c r="C1078">
        <v>1</v>
      </c>
      <c r="D1078" t="s">
        <v>2387</v>
      </c>
      <c r="E1078" s="7">
        <v>151528.99</v>
      </c>
      <c r="F1078" s="7">
        <v>21.12</v>
      </c>
      <c r="G1078">
        <v>355</v>
      </c>
      <c r="H1078" t="s">
        <v>2950</v>
      </c>
      <c r="I1078" t="s">
        <v>2377</v>
      </c>
      <c r="J1078">
        <v>0</v>
      </c>
      <c r="K1078" s="9">
        <f t="shared" si="32"/>
        <v>45725</v>
      </c>
      <c r="L1078">
        <f t="shared" si="33"/>
        <v>15152899</v>
      </c>
    </row>
    <row r="1079" spans="1:12">
      <c r="A1079">
        <v>655</v>
      </c>
      <c r="B1079">
        <v>730</v>
      </c>
      <c r="C1079">
        <v>7</v>
      </c>
      <c r="D1079" t="s">
        <v>2385</v>
      </c>
      <c r="E1079" s="7">
        <v>9965.05</v>
      </c>
      <c r="F1079" s="7">
        <v>21.28</v>
      </c>
      <c r="G1079">
        <v>29</v>
      </c>
      <c r="H1079" t="s">
        <v>638</v>
      </c>
      <c r="I1079" t="s">
        <v>2377</v>
      </c>
      <c r="J1079">
        <v>0</v>
      </c>
      <c r="K1079" s="9">
        <f t="shared" si="32"/>
        <v>44848</v>
      </c>
      <c r="L1079">
        <f t="shared" si="33"/>
        <v>996505</v>
      </c>
    </row>
    <row r="1080" spans="1:12">
      <c r="A1080">
        <v>656</v>
      </c>
      <c r="B1080">
        <v>271</v>
      </c>
      <c r="C1080">
        <v>3</v>
      </c>
      <c r="D1080" t="s">
        <v>2390</v>
      </c>
      <c r="E1080" s="7">
        <v>26231.07</v>
      </c>
      <c r="F1080" s="7">
        <v>7.3</v>
      </c>
      <c r="G1080">
        <v>76</v>
      </c>
      <c r="H1080" t="s">
        <v>911</v>
      </c>
      <c r="I1080" t="s">
        <v>2377</v>
      </c>
      <c r="J1080">
        <v>0</v>
      </c>
      <c r="K1080" s="9">
        <f t="shared" si="32"/>
        <v>45342</v>
      </c>
      <c r="L1080">
        <f t="shared" si="33"/>
        <v>2623107</v>
      </c>
    </row>
    <row r="1081" spans="1:12">
      <c r="A1081">
        <v>657</v>
      </c>
      <c r="B1081">
        <v>517</v>
      </c>
      <c r="C1081">
        <v>7</v>
      </c>
      <c r="D1081" t="s">
        <v>2390</v>
      </c>
      <c r="E1081" s="7">
        <v>35877.6</v>
      </c>
      <c r="F1081" s="7">
        <v>5.76</v>
      </c>
      <c r="G1081">
        <v>70</v>
      </c>
      <c r="H1081" t="s">
        <v>2951</v>
      </c>
      <c r="I1081" t="s">
        <v>2377</v>
      </c>
      <c r="J1081">
        <v>35</v>
      </c>
      <c r="K1081" s="9">
        <f t="shared" si="32"/>
        <v>44943</v>
      </c>
      <c r="L1081">
        <f t="shared" si="33"/>
        <v>358776</v>
      </c>
    </row>
    <row r="1082" spans="1:12">
      <c r="A1082">
        <v>658</v>
      </c>
      <c r="B1082">
        <v>37</v>
      </c>
      <c r="C1082">
        <v>4</v>
      </c>
      <c r="D1082" t="s">
        <v>2390</v>
      </c>
      <c r="E1082" s="7">
        <v>31408.17</v>
      </c>
      <c r="F1082" s="7">
        <v>19.6</v>
      </c>
      <c r="G1082">
        <v>41</v>
      </c>
      <c r="H1082" t="s">
        <v>2952</v>
      </c>
      <c r="I1082" t="s">
        <v>2393</v>
      </c>
      <c r="J1082">
        <v>136</v>
      </c>
      <c r="K1082" s="9">
        <f t="shared" si="32"/>
        <v>44157</v>
      </c>
      <c r="L1082">
        <f t="shared" si="33"/>
        <v>3140817</v>
      </c>
    </row>
    <row r="1083" spans="1:12">
      <c r="A1083">
        <v>659</v>
      </c>
      <c r="B1083">
        <v>282</v>
      </c>
      <c r="C1083">
        <v>6</v>
      </c>
      <c r="D1083" t="s">
        <v>2376</v>
      </c>
      <c r="E1083" s="7">
        <v>23399.9</v>
      </c>
      <c r="F1083" s="7">
        <v>21.4</v>
      </c>
      <c r="G1083">
        <v>49</v>
      </c>
      <c r="H1083" t="s">
        <v>1761</v>
      </c>
      <c r="I1083" t="s">
        <v>2383</v>
      </c>
      <c r="J1083">
        <v>0</v>
      </c>
      <c r="K1083" s="9">
        <f t="shared" si="32"/>
        <v>44483</v>
      </c>
      <c r="L1083">
        <f t="shared" si="33"/>
        <v>233999</v>
      </c>
    </row>
    <row r="1084" spans="1:12">
      <c r="A1084">
        <v>660</v>
      </c>
      <c r="B1084">
        <v>233</v>
      </c>
      <c r="C1084">
        <v>1</v>
      </c>
      <c r="D1084" t="s">
        <v>2379</v>
      </c>
      <c r="E1084" s="7">
        <v>3881.41</v>
      </c>
      <c r="F1084" s="7">
        <v>10.62</v>
      </c>
      <c r="G1084">
        <v>18</v>
      </c>
      <c r="H1084" t="s">
        <v>2953</v>
      </c>
      <c r="I1084" t="s">
        <v>2377</v>
      </c>
      <c r="J1084">
        <v>0</v>
      </c>
      <c r="K1084" s="9">
        <f t="shared" si="32"/>
        <v>45020</v>
      </c>
      <c r="L1084">
        <f t="shared" si="33"/>
        <v>388141</v>
      </c>
    </row>
    <row r="1085" spans="1:12">
      <c r="A1085">
        <v>661</v>
      </c>
      <c r="B1085">
        <v>488</v>
      </c>
      <c r="C1085">
        <v>4</v>
      </c>
      <c r="D1085" t="s">
        <v>2379</v>
      </c>
      <c r="E1085" s="7">
        <v>11670.45</v>
      </c>
      <c r="F1085" s="7">
        <v>13.46</v>
      </c>
      <c r="G1085">
        <v>59</v>
      </c>
      <c r="H1085" t="s">
        <v>1647</v>
      </c>
      <c r="I1085" t="s">
        <v>2377</v>
      </c>
      <c r="J1085">
        <v>86</v>
      </c>
      <c r="K1085" s="9">
        <f t="shared" si="32"/>
        <v>45403</v>
      </c>
      <c r="L1085">
        <f t="shared" si="33"/>
        <v>1167045</v>
      </c>
    </row>
    <row r="1086" spans="1:12">
      <c r="A1086">
        <v>662</v>
      </c>
      <c r="B1086">
        <v>254</v>
      </c>
      <c r="C1086">
        <v>1</v>
      </c>
      <c r="D1086" t="s">
        <v>2379</v>
      </c>
      <c r="E1086" s="7">
        <v>4423.67</v>
      </c>
      <c r="F1086" s="7">
        <v>14.85</v>
      </c>
      <c r="G1086">
        <v>25</v>
      </c>
      <c r="H1086" t="s">
        <v>2954</v>
      </c>
      <c r="I1086" t="s">
        <v>2377</v>
      </c>
      <c r="J1086">
        <v>0</v>
      </c>
      <c r="K1086" s="9">
        <f t="shared" si="32"/>
        <v>44618</v>
      </c>
      <c r="L1086">
        <f t="shared" si="33"/>
        <v>442367</v>
      </c>
    </row>
    <row r="1087" spans="1:12">
      <c r="A1087">
        <v>663</v>
      </c>
      <c r="B1087">
        <v>331</v>
      </c>
      <c r="C1087">
        <v>5</v>
      </c>
      <c r="D1087" t="s">
        <v>2385</v>
      </c>
      <c r="E1087" s="7">
        <v>5096.92</v>
      </c>
      <c r="F1087" s="7">
        <v>13.93</v>
      </c>
      <c r="G1087">
        <v>27</v>
      </c>
      <c r="H1087" t="s">
        <v>2834</v>
      </c>
      <c r="I1087" t="s">
        <v>2383</v>
      </c>
      <c r="J1087">
        <v>0</v>
      </c>
      <c r="K1087" s="9">
        <f t="shared" si="32"/>
        <v>44568</v>
      </c>
      <c r="L1087">
        <f t="shared" si="33"/>
        <v>509692</v>
      </c>
    </row>
    <row r="1088" spans="1:12">
      <c r="A1088">
        <v>664</v>
      </c>
      <c r="B1088">
        <v>981</v>
      </c>
      <c r="C1088">
        <v>4</v>
      </c>
      <c r="D1088" t="s">
        <v>2387</v>
      </c>
      <c r="E1088" s="7">
        <v>52153.4</v>
      </c>
      <c r="F1088" s="7">
        <v>7.49</v>
      </c>
      <c r="G1088">
        <v>210</v>
      </c>
      <c r="H1088" t="s">
        <v>2712</v>
      </c>
      <c r="I1088" t="s">
        <v>2383</v>
      </c>
      <c r="J1088">
        <v>0</v>
      </c>
      <c r="K1088" s="9">
        <f t="shared" si="32"/>
        <v>45202</v>
      </c>
      <c r="L1088">
        <f t="shared" si="33"/>
        <v>521534</v>
      </c>
    </row>
    <row r="1089" spans="1:12">
      <c r="A1089">
        <v>665</v>
      </c>
      <c r="B1089">
        <v>883</v>
      </c>
      <c r="C1089">
        <v>2</v>
      </c>
      <c r="D1089" t="s">
        <v>2379</v>
      </c>
      <c r="E1089" s="7">
        <v>1266.27</v>
      </c>
      <c r="F1089" s="7">
        <v>18.34</v>
      </c>
      <c r="G1089">
        <v>45</v>
      </c>
      <c r="H1089" t="s">
        <v>1198</v>
      </c>
      <c r="I1089" t="s">
        <v>2377</v>
      </c>
      <c r="J1089">
        <v>13</v>
      </c>
      <c r="K1089" s="9">
        <f t="shared" si="32"/>
        <v>45119</v>
      </c>
      <c r="L1089">
        <f t="shared" si="33"/>
        <v>126627</v>
      </c>
    </row>
    <row r="1090" spans="1:12">
      <c r="A1090">
        <v>666</v>
      </c>
      <c r="B1090">
        <v>536</v>
      </c>
      <c r="C1090">
        <v>1</v>
      </c>
      <c r="D1090" t="s">
        <v>2390</v>
      </c>
      <c r="E1090" s="7">
        <v>16662.44</v>
      </c>
      <c r="F1090" s="7">
        <v>14.24</v>
      </c>
      <c r="G1090">
        <v>66</v>
      </c>
      <c r="H1090" t="s">
        <v>2955</v>
      </c>
      <c r="I1090" t="s">
        <v>2377</v>
      </c>
      <c r="J1090">
        <v>0</v>
      </c>
      <c r="K1090" s="9">
        <f t="shared" si="32"/>
        <v>45271</v>
      </c>
      <c r="L1090">
        <f t="shared" si="33"/>
        <v>1666244</v>
      </c>
    </row>
    <row r="1091" spans="1:12">
      <c r="A1091">
        <v>667</v>
      </c>
      <c r="B1091">
        <v>918</v>
      </c>
      <c r="C1091">
        <v>7</v>
      </c>
      <c r="D1091" t="s">
        <v>2387</v>
      </c>
      <c r="E1091" s="7">
        <v>157592.58</v>
      </c>
      <c r="F1091" s="7">
        <v>7</v>
      </c>
      <c r="G1091">
        <v>131</v>
      </c>
      <c r="H1091" t="s">
        <v>2693</v>
      </c>
      <c r="I1091" t="s">
        <v>2377</v>
      </c>
      <c r="J1091">
        <v>0</v>
      </c>
      <c r="K1091" s="9">
        <f t="shared" ref="K1091:K1154" si="34">DATEVALUE(LEFT(H1091,10))</f>
        <v>44681</v>
      </c>
      <c r="L1091">
        <f t="shared" ref="L1091:L1154" si="35">_xlfn.NUMBERVALUE(E1091,".",",")</f>
        <v>15759258</v>
      </c>
    </row>
    <row r="1092" spans="1:12">
      <c r="A1092">
        <v>668</v>
      </c>
      <c r="B1092">
        <v>626</v>
      </c>
      <c r="C1092">
        <v>4</v>
      </c>
      <c r="D1092" t="s">
        <v>2376</v>
      </c>
      <c r="E1092" s="7">
        <v>67826.8</v>
      </c>
      <c r="F1092" s="7">
        <v>12.93</v>
      </c>
      <c r="G1092">
        <v>81</v>
      </c>
      <c r="H1092" t="s">
        <v>2919</v>
      </c>
      <c r="I1092" t="s">
        <v>2377</v>
      </c>
      <c r="J1092">
        <v>0</v>
      </c>
      <c r="K1092" s="9">
        <f t="shared" si="34"/>
        <v>44401</v>
      </c>
      <c r="L1092">
        <f t="shared" si="35"/>
        <v>678268</v>
      </c>
    </row>
    <row r="1093" spans="1:12">
      <c r="A1093">
        <v>669</v>
      </c>
      <c r="B1093">
        <v>273</v>
      </c>
      <c r="C1093">
        <v>1</v>
      </c>
      <c r="D1093" t="s">
        <v>2390</v>
      </c>
      <c r="E1093" s="7">
        <v>8928.01</v>
      </c>
      <c r="F1093" s="7">
        <v>8.16</v>
      </c>
      <c r="G1093">
        <v>24</v>
      </c>
      <c r="H1093" t="s">
        <v>343</v>
      </c>
      <c r="I1093" t="s">
        <v>2377</v>
      </c>
      <c r="J1093">
        <v>0</v>
      </c>
      <c r="K1093" s="9">
        <f t="shared" si="34"/>
        <v>44784</v>
      </c>
      <c r="L1093">
        <f t="shared" si="35"/>
        <v>892801</v>
      </c>
    </row>
    <row r="1094" spans="1:12">
      <c r="A1094">
        <v>670</v>
      </c>
      <c r="B1094">
        <v>619</v>
      </c>
      <c r="C1094">
        <v>4</v>
      </c>
      <c r="D1094" t="s">
        <v>2387</v>
      </c>
      <c r="E1094" s="7">
        <v>79629.62</v>
      </c>
      <c r="F1094" s="7">
        <v>9.13</v>
      </c>
      <c r="G1094">
        <v>182</v>
      </c>
      <c r="H1094" t="s">
        <v>2860</v>
      </c>
      <c r="I1094" t="s">
        <v>2377</v>
      </c>
      <c r="J1094">
        <v>0</v>
      </c>
      <c r="K1094" s="9">
        <f t="shared" si="34"/>
        <v>44914</v>
      </c>
      <c r="L1094">
        <f t="shared" si="35"/>
        <v>7962962</v>
      </c>
    </row>
    <row r="1095" spans="1:12">
      <c r="A1095">
        <v>671</v>
      </c>
      <c r="B1095">
        <v>181</v>
      </c>
      <c r="C1095">
        <v>4</v>
      </c>
      <c r="D1095" t="s">
        <v>2376</v>
      </c>
      <c r="E1095" s="7">
        <v>75000.89</v>
      </c>
      <c r="F1095" s="7">
        <v>6.82</v>
      </c>
      <c r="G1095">
        <v>40</v>
      </c>
      <c r="H1095" t="s">
        <v>2140</v>
      </c>
      <c r="I1095" t="s">
        <v>2377</v>
      </c>
      <c r="J1095">
        <v>0</v>
      </c>
      <c r="K1095" s="9">
        <f t="shared" si="34"/>
        <v>44456</v>
      </c>
      <c r="L1095">
        <f t="shared" si="35"/>
        <v>7500089</v>
      </c>
    </row>
    <row r="1096" spans="1:12">
      <c r="A1096">
        <v>672</v>
      </c>
      <c r="B1096">
        <v>796</v>
      </c>
      <c r="C1096">
        <v>4</v>
      </c>
      <c r="D1096" t="s">
        <v>2387</v>
      </c>
      <c r="E1096" s="7">
        <v>114341.2</v>
      </c>
      <c r="F1096" s="7">
        <v>20.14</v>
      </c>
      <c r="G1096">
        <v>146</v>
      </c>
      <c r="H1096" t="s">
        <v>2415</v>
      </c>
      <c r="I1096" t="s">
        <v>2383</v>
      </c>
      <c r="J1096">
        <v>0</v>
      </c>
      <c r="K1096" s="9">
        <f t="shared" si="34"/>
        <v>44011</v>
      </c>
      <c r="L1096">
        <f t="shared" si="35"/>
        <v>1143412</v>
      </c>
    </row>
    <row r="1097" spans="1:12">
      <c r="A1097">
        <v>673</v>
      </c>
      <c r="B1097">
        <v>808</v>
      </c>
      <c r="C1097">
        <v>5</v>
      </c>
      <c r="D1097" t="s">
        <v>2379</v>
      </c>
      <c r="E1097" s="7">
        <v>5195.82</v>
      </c>
      <c r="F1097" s="7">
        <v>17.4</v>
      </c>
      <c r="G1097">
        <v>44</v>
      </c>
      <c r="H1097" t="s">
        <v>702</v>
      </c>
      <c r="I1097" t="s">
        <v>2383</v>
      </c>
      <c r="J1097">
        <v>0</v>
      </c>
      <c r="K1097" s="9">
        <f t="shared" si="34"/>
        <v>44217</v>
      </c>
      <c r="L1097">
        <f t="shared" si="35"/>
        <v>519582</v>
      </c>
    </row>
    <row r="1098" spans="1:12">
      <c r="A1098">
        <v>674</v>
      </c>
      <c r="B1098">
        <v>43</v>
      </c>
      <c r="C1098">
        <v>7</v>
      </c>
      <c r="D1098" t="s">
        <v>2379</v>
      </c>
      <c r="E1098" s="7">
        <v>4805.76</v>
      </c>
      <c r="F1098" s="7">
        <v>10.26</v>
      </c>
      <c r="G1098">
        <v>55</v>
      </c>
      <c r="H1098" t="s">
        <v>2478</v>
      </c>
      <c r="I1098" t="s">
        <v>2393</v>
      </c>
      <c r="J1098">
        <v>115</v>
      </c>
      <c r="K1098" s="9">
        <f t="shared" si="34"/>
        <v>44555</v>
      </c>
      <c r="L1098">
        <f t="shared" si="35"/>
        <v>480576</v>
      </c>
    </row>
    <row r="1099" spans="1:12">
      <c r="A1099">
        <v>675</v>
      </c>
      <c r="B1099">
        <v>367</v>
      </c>
      <c r="C1099">
        <v>6</v>
      </c>
      <c r="D1099" t="s">
        <v>2376</v>
      </c>
      <c r="E1099" s="7">
        <v>86062.2</v>
      </c>
      <c r="F1099" s="7">
        <v>20.46</v>
      </c>
      <c r="G1099">
        <v>97</v>
      </c>
      <c r="H1099" t="s">
        <v>2956</v>
      </c>
      <c r="I1099" t="s">
        <v>2377</v>
      </c>
      <c r="J1099">
        <v>0</v>
      </c>
      <c r="K1099" s="9">
        <f t="shared" si="34"/>
        <v>44982</v>
      </c>
      <c r="L1099">
        <f t="shared" si="35"/>
        <v>860622</v>
      </c>
    </row>
    <row r="1100" spans="1:12">
      <c r="A1100">
        <v>676</v>
      </c>
      <c r="B1100">
        <v>772</v>
      </c>
      <c r="C1100">
        <v>2</v>
      </c>
      <c r="D1100" t="s">
        <v>2387</v>
      </c>
      <c r="E1100" s="7">
        <v>101469.26</v>
      </c>
      <c r="F1100" s="7">
        <v>6.97</v>
      </c>
      <c r="G1100">
        <v>229</v>
      </c>
      <c r="H1100" t="s">
        <v>2357</v>
      </c>
      <c r="I1100" t="s">
        <v>2377</v>
      </c>
      <c r="J1100">
        <v>0</v>
      </c>
      <c r="K1100" s="9">
        <f t="shared" si="34"/>
        <v>43984</v>
      </c>
      <c r="L1100">
        <f t="shared" si="35"/>
        <v>10146926</v>
      </c>
    </row>
    <row r="1101" spans="1:12">
      <c r="A1101">
        <v>677</v>
      </c>
      <c r="B1101">
        <v>980</v>
      </c>
      <c r="C1101">
        <v>5</v>
      </c>
      <c r="D1101" t="s">
        <v>2387</v>
      </c>
      <c r="E1101" s="7">
        <v>120209.7</v>
      </c>
      <c r="F1101" s="7">
        <v>21.85</v>
      </c>
      <c r="G1101">
        <v>340</v>
      </c>
      <c r="H1101" t="s">
        <v>2752</v>
      </c>
      <c r="I1101" t="s">
        <v>2377</v>
      </c>
      <c r="J1101">
        <v>0</v>
      </c>
      <c r="K1101" s="9">
        <f t="shared" si="34"/>
        <v>44704</v>
      </c>
      <c r="L1101">
        <f t="shared" si="35"/>
        <v>1202097</v>
      </c>
    </row>
    <row r="1102" spans="1:12">
      <c r="A1102">
        <v>678</v>
      </c>
      <c r="B1102">
        <v>435</v>
      </c>
      <c r="C1102">
        <v>5</v>
      </c>
      <c r="D1102" t="s">
        <v>2379</v>
      </c>
      <c r="E1102" s="7">
        <v>10050.36</v>
      </c>
      <c r="F1102" s="7">
        <v>15.63</v>
      </c>
      <c r="G1102">
        <v>45</v>
      </c>
      <c r="H1102" t="s">
        <v>2957</v>
      </c>
      <c r="I1102" t="s">
        <v>2377</v>
      </c>
      <c r="J1102">
        <v>0</v>
      </c>
      <c r="K1102" s="9">
        <f t="shared" si="34"/>
        <v>43972</v>
      </c>
      <c r="L1102">
        <f t="shared" si="35"/>
        <v>1005036</v>
      </c>
    </row>
    <row r="1103" spans="1:12">
      <c r="A1103">
        <v>679</v>
      </c>
      <c r="B1103">
        <v>16</v>
      </c>
      <c r="C1103">
        <v>6</v>
      </c>
      <c r="D1103" t="s">
        <v>2390</v>
      </c>
      <c r="E1103" s="7">
        <v>36264.45</v>
      </c>
      <c r="F1103" s="7">
        <v>16.6</v>
      </c>
      <c r="G1103">
        <v>44</v>
      </c>
      <c r="H1103" t="s">
        <v>539</v>
      </c>
      <c r="I1103" t="s">
        <v>2377</v>
      </c>
      <c r="J1103">
        <v>0</v>
      </c>
      <c r="K1103" s="9">
        <f t="shared" si="34"/>
        <v>44807</v>
      </c>
      <c r="L1103">
        <f t="shared" si="35"/>
        <v>3626445</v>
      </c>
    </row>
    <row r="1104" spans="1:12">
      <c r="A1104">
        <v>680</v>
      </c>
      <c r="B1104">
        <v>876</v>
      </c>
      <c r="C1104">
        <v>1</v>
      </c>
      <c r="D1104" t="s">
        <v>2385</v>
      </c>
      <c r="E1104" s="7">
        <v>7697.61</v>
      </c>
      <c r="F1104" s="7">
        <v>18.7</v>
      </c>
      <c r="G1104">
        <v>31</v>
      </c>
      <c r="H1104" t="s">
        <v>2526</v>
      </c>
      <c r="I1104" t="s">
        <v>2377</v>
      </c>
      <c r="J1104">
        <v>62</v>
      </c>
      <c r="K1104" s="9">
        <f t="shared" si="34"/>
        <v>45352</v>
      </c>
      <c r="L1104">
        <f t="shared" si="35"/>
        <v>769761</v>
      </c>
    </row>
    <row r="1105" spans="1:12">
      <c r="A1105">
        <v>681</v>
      </c>
      <c r="B1105">
        <v>740</v>
      </c>
      <c r="C1105">
        <v>2</v>
      </c>
      <c r="D1105" t="s">
        <v>2376</v>
      </c>
      <c r="E1105" s="7">
        <v>59051.04</v>
      </c>
      <c r="F1105" s="7">
        <v>9.49</v>
      </c>
      <c r="G1105">
        <v>97</v>
      </c>
      <c r="H1105" t="s">
        <v>2958</v>
      </c>
      <c r="I1105" t="s">
        <v>2383</v>
      </c>
      <c r="J1105">
        <v>0</v>
      </c>
      <c r="K1105" s="9">
        <f t="shared" si="34"/>
        <v>45343</v>
      </c>
      <c r="L1105">
        <f t="shared" si="35"/>
        <v>5905104</v>
      </c>
    </row>
    <row r="1106" spans="1:12">
      <c r="A1106">
        <v>682</v>
      </c>
      <c r="B1106">
        <v>258</v>
      </c>
      <c r="C1106">
        <v>5</v>
      </c>
      <c r="D1106" t="s">
        <v>2387</v>
      </c>
      <c r="E1106" s="7">
        <v>128527.35</v>
      </c>
      <c r="F1106" s="7">
        <v>15.95</v>
      </c>
      <c r="G1106">
        <v>248</v>
      </c>
      <c r="H1106" t="s">
        <v>2959</v>
      </c>
      <c r="I1106" t="s">
        <v>2377</v>
      </c>
      <c r="J1106">
        <v>0</v>
      </c>
      <c r="K1106" s="9">
        <f t="shared" si="34"/>
        <v>45836</v>
      </c>
      <c r="L1106">
        <f t="shared" si="35"/>
        <v>12852735</v>
      </c>
    </row>
    <row r="1107" spans="1:12">
      <c r="A1107">
        <v>683</v>
      </c>
      <c r="B1107">
        <v>372</v>
      </c>
      <c r="C1107">
        <v>4</v>
      </c>
      <c r="D1107" t="s">
        <v>2390</v>
      </c>
      <c r="E1107" s="7">
        <v>33472.2</v>
      </c>
      <c r="F1107" s="7">
        <v>14.57</v>
      </c>
      <c r="G1107">
        <v>71</v>
      </c>
      <c r="H1107" t="s">
        <v>2960</v>
      </c>
      <c r="I1107" t="s">
        <v>2383</v>
      </c>
      <c r="J1107">
        <v>0</v>
      </c>
      <c r="K1107" s="9">
        <f t="shared" si="34"/>
        <v>43857</v>
      </c>
      <c r="L1107">
        <f t="shared" si="35"/>
        <v>334722</v>
      </c>
    </row>
    <row r="1108" spans="1:12">
      <c r="A1108">
        <v>684</v>
      </c>
      <c r="B1108">
        <v>855</v>
      </c>
      <c r="C1108">
        <v>5</v>
      </c>
      <c r="D1108" t="s">
        <v>2387</v>
      </c>
      <c r="E1108" s="7">
        <v>83856.21</v>
      </c>
      <c r="F1108" s="7">
        <v>18.55</v>
      </c>
      <c r="G1108">
        <v>301</v>
      </c>
      <c r="H1108" t="s">
        <v>2961</v>
      </c>
      <c r="I1108" t="s">
        <v>2377</v>
      </c>
      <c r="J1108">
        <v>0</v>
      </c>
      <c r="K1108" s="9">
        <f t="shared" si="34"/>
        <v>44218</v>
      </c>
      <c r="L1108">
        <f t="shared" si="35"/>
        <v>8385621</v>
      </c>
    </row>
    <row r="1109" spans="1:12">
      <c r="A1109">
        <v>685</v>
      </c>
      <c r="B1109">
        <v>129</v>
      </c>
      <c r="C1109">
        <v>4</v>
      </c>
      <c r="D1109" t="s">
        <v>2387</v>
      </c>
      <c r="E1109" s="7">
        <v>121946.46</v>
      </c>
      <c r="F1109" s="7">
        <v>12.16</v>
      </c>
      <c r="G1109">
        <v>127</v>
      </c>
      <c r="H1109" t="s">
        <v>2589</v>
      </c>
      <c r="I1109" t="s">
        <v>2377</v>
      </c>
      <c r="J1109">
        <v>0</v>
      </c>
      <c r="K1109" s="9">
        <f t="shared" si="34"/>
        <v>44502</v>
      </c>
      <c r="L1109">
        <f t="shared" si="35"/>
        <v>12194646</v>
      </c>
    </row>
    <row r="1110" spans="1:12">
      <c r="A1110">
        <v>686</v>
      </c>
      <c r="B1110">
        <v>273</v>
      </c>
      <c r="C1110">
        <v>1</v>
      </c>
      <c r="D1110" t="s">
        <v>2379</v>
      </c>
      <c r="E1110" s="7">
        <v>6694.92</v>
      </c>
      <c r="F1110" s="7">
        <v>10.54</v>
      </c>
      <c r="G1110">
        <v>53</v>
      </c>
      <c r="H1110" t="s">
        <v>2962</v>
      </c>
      <c r="I1110" t="s">
        <v>2377</v>
      </c>
      <c r="J1110">
        <v>0</v>
      </c>
      <c r="K1110" s="9">
        <f t="shared" si="34"/>
        <v>44805</v>
      </c>
      <c r="L1110">
        <f t="shared" si="35"/>
        <v>669492</v>
      </c>
    </row>
    <row r="1111" spans="1:12">
      <c r="A1111">
        <v>687</v>
      </c>
      <c r="B1111">
        <v>247</v>
      </c>
      <c r="C1111">
        <v>6</v>
      </c>
      <c r="D1111" t="s">
        <v>2387</v>
      </c>
      <c r="E1111" s="7">
        <v>133047.42</v>
      </c>
      <c r="F1111" s="7">
        <v>11.27</v>
      </c>
      <c r="G1111">
        <v>272</v>
      </c>
      <c r="H1111" t="s">
        <v>2963</v>
      </c>
      <c r="I1111" t="s">
        <v>2383</v>
      </c>
      <c r="J1111">
        <v>0</v>
      </c>
      <c r="K1111" s="9">
        <f t="shared" si="34"/>
        <v>45378</v>
      </c>
      <c r="L1111">
        <f t="shared" si="35"/>
        <v>13304742</v>
      </c>
    </row>
    <row r="1112" spans="1:12">
      <c r="A1112">
        <v>688</v>
      </c>
      <c r="B1112">
        <v>878</v>
      </c>
      <c r="C1112">
        <v>7</v>
      </c>
      <c r="D1112" t="s">
        <v>2376</v>
      </c>
      <c r="E1112" s="7">
        <v>145529.64</v>
      </c>
      <c r="F1112" s="7">
        <v>6.65</v>
      </c>
      <c r="G1112">
        <v>75</v>
      </c>
      <c r="H1112" t="s">
        <v>2590</v>
      </c>
      <c r="I1112" t="s">
        <v>2377</v>
      </c>
      <c r="J1112">
        <v>0</v>
      </c>
      <c r="K1112" s="9">
        <f t="shared" si="34"/>
        <v>45816</v>
      </c>
      <c r="L1112">
        <f t="shared" si="35"/>
        <v>14552964</v>
      </c>
    </row>
    <row r="1113" spans="1:12">
      <c r="A1113">
        <v>689</v>
      </c>
      <c r="B1113">
        <v>930</v>
      </c>
      <c r="C1113">
        <v>1</v>
      </c>
      <c r="D1113" t="s">
        <v>2379</v>
      </c>
      <c r="E1113" s="7">
        <v>9879.76</v>
      </c>
      <c r="F1113" s="7">
        <v>21.25</v>
      </c>
      <c r="G1113">
        <v>36</v>
      </c>
      <c r="H1113" t="s">
        <v>2964</v>
      </c>
      <c r="I1113" t="s">
        <v>2377</v>
      </c>
      <c r="J1113">
        <v>0</v>
      </c>
      <c r="K1113" s="9">
        <f t="shared" si="34"/>
        <v>45794</v>
      </c>
      <c r="L1113">
        <f t="shared" si="35"/>
        <v>987976</v>
      </c>
    </row>
    <row r="1114" spans="1:12">
      <c r="A1114">
        <v>690</v>
      </c>
      <c r="B1114">
        <v>60</v>
      </c>
      <c r="C1114">
        <v>7</v>
      </c>
      <c r="D1114" t="s">
        <v>2376</v>
      </c>
      <c r="E1114" s="7">
        <v>102312.4</v>
      </c>
      <c r="F1114" s="7">
        <v>7.11</v>
      </c>
      <c r="G1114">
        <v>84</v>
      </c>
      <c r="H1114" t="s">
        <v>740</v>
      </c>
      <c r="I1114" t="s">
        <v>2377</v>
      </c>
      <c r="J1114">
        <v>9</v>
      </c>
      <c r="K1114" s="9">
        <f t="shared" si="34"/>
        <v>43928</v>
      </c>
      <c r="L1114">
        <f t="shared" si="35"/>
        <v>1023124</v>
      </c>
    </row>
    <row r="1115" spans="1:12">
      <c r="A1115">
        <v>691</v>
      </c>
      <c r="B1115">
        <v>147</v>
      </c>
      <c r="C1115">
        <v>6</v>
      </c>
      <c r="D1115" t="s">
        <v>2376</v>
      </c>
      <c r="E1115" s="7">
        <v>70635.58</v>
      </c>
      <c r="F1115" s="7">
        <v>21.39</v>
      </c>
      <c r="G1115">
        <v>29</v>
      </c>
      <c r="H1115" t="s">
        <v>2965</v>
      </c>
      <c r="I1115" t="s">
        <v>2377</v>
      </c>
      <c r="J1115">
        <v>0</v>
      </c>
      <c r="K1115" s="9">
        <f t="shared" si="34"/>
        <v>44211</v>
      </c>
      <c r="L1115">
        <f t="shared" si="35"/>
        <v>7063558</v>
      </c>
    </row>
    <row r="1116" spans="1:12">
      <c r="A1116">
        <v>692</v>
      </c>
      <c r="B1116">
        <v>158</v>
      </c>
      <c r="C1116">
        <v>6</v>
      </c>
      <c r="D1116" t="s">
        <v>2387</v>
      </c>
      <c r="E1116" s="7">
        <v>69536.64</v>
      </c>
      <c r="F1116" s="7">
        <v>21.24</v>
      </c>
      <c r="G1116">
        <v>218</v>
      </c>
      <c r="H1116" t="s">
        <v>2485</v>
      </c>
      <c r="I1116" t="s">
        <v>2377</v>
      </c>
      <c r="J1116">
        <v>0</v>
      </c>
      <c r="K1116" s="9">
        <f t="shared" si="34"/>
        <v>45025</v>
      </c>
      <c r="L1116">
        <f t="shared" si="35"/>
        <v>6953664</v>
      </c>
    </row>
    <row r="1117" spans="1:12">
      <c r="A1117">
        <v>693</v>
      </c>
      <c r="B1117">
        <v>93</v>
      </c>
      <c r="C1117">
        <v>3</v>
      </c>
      <c r="D1117" t="s">
        <v>2385</v>
      </c>
      <c r="E1117" s="7">
        <v>8368.26</v>
      </c>
      <c r="F1117" s="7">
        <v>15.9</v>
      </c>
      <c r="G1117">
        <v>15</v>
      </c>
      <c r="H1117" t="s">
        <v>2123</v>
      </c>
      <c r="I1117" t="s">
        <v>2377</v>
      </c>
      <c r="J1117">
        <v>66</v>
      </c>
      <c r="K1117" s="9">
        <f t="shared" si="34"/>
        <v>44062</v>
      </c>
      <c r="L1117">
        <f t="shared" si="35"/>
        <v>836826</v>
      </c>
    </row>
    <row r="1118" spans="1:12">
      <c r="A1118">
        <v>694</v>
      </c>
      <c r="B1118">
        <v>223</v>
      </c>
      <c r="C1118">
        <v>6</v>
      </c>
      <c r="D1118" t="s">
        <v>2376</v>
      </c>
      <c r="E1118" s="7">
        <v>74245.27</v>
      </c>
      <c r="F1118" s="7">
        <v>19.86</v>
      </c>
      <c r="G1118">
        <v>45</v>
      </c>
      <c r="H1118" t="s">
        <v>2966</v>
      </c>
      <c r="I1118" t="s">
        <v>2383</v>
      </c>
      <c r="J1118">
        <v>0</v>
      </c>
      <c r="K1118" s="9">
        <f t="shared" si="34"/>
        <v>45795</v>
      </c>
      <c r="L1118">
        <f t="shared" si="35"/>
        <v>7424527</v>
      </c>
    </row>
    <row r="1119" spans="1:12">
      <c r="A1119">
        <v>695</v>
      </c>
      <c r="B1119">
        <v>745</v>
      </c>
      <c r="C1119">
        <v>7</v>
      </c>
      <c r="D1119" t="s">
        <v>2385</v>
      </c>
      <c r="E1119" s="7">
        <v>3000.12</v>
      </c>
      <c r="F1119" s="7">
        <v>18.78</v>
      </c>
      <c r="G1119">
        <v>34</v>
      </c>
      <c r="H1119" t="s">
        <v>2823</v>
      </c>
      <c r="I1119" t="s">
        <v>2383</v>
      </c>
      <c r="J1119">
        <v>0</v>
      </c>
      <c r="K1119" s="9">
        <f t="shared" si="34"/>
        <v>43832</v>
      </c>
      <c r="L1119">
        <f t="shared" si="35"/>
        <v>300012</v>
      </c>
    </row>
    <row r="1120" spans="1:12">
      <c r="A1120">
        <v>696</v>
      </c>
      <c r="B1120">
        <v>608</v>
      </c>
      <c r="C1120">
        <v>6</v>
      </c>
      <c r="D1120" t="s">
        <v>2376</v>
      </c>
      <c r="E1120" s="7">
        <v>109269.17</v>
      </c>
      <c r="F1120" s="7">
        <v>20.87</v>
      </c>
      <c r="G1120">
        <v>51</v>
      </c>
      <c r="H1120" t="s">
        <v>2157</v>
      </c>
      <c r="I1120" t="s">
        <v>2377</v>
      </c>
      <c r="J1120">
        <v>0</v>
      </c>
      <c r="K1120" s="9">
        <f t="shared" si="34"/>
        <v>45338</v>
      </c>
      <c r="L1120">
        <f t="shared" si="35"/>
        <v>10926917</v>
      </c>
    </row>
    <row r="1121" spans="1:12">
      <c r="A1121">
        <v>697</v>
      </c>
      <c r="B1121">
        <v>923</v>
      </c>
      <c r="C1121">
        <v>1</v>
      </c>
      <c r="D1121" t="s">
        <v>2379</v>
      </c>
      <c r="E1121" s="7">
        <v>7954.24</v>
      </c>
      <c r="F1121" s="7">
        <v>16.72</v>
      </c>
      <c r="G1121">
        <v>29</v>
      </c>
      <c r="H1121" t="s">
        <v>2556</v>
      </c>
      <c r="I1121" t="s">
        <v>2377</v>
      </c>
      <c r="J1121">
        <v>0</v>
      </c>
      <c r="K1121" s="9">
        <f t="shared" si="34"/>
        <v>45137</v>
      </c>
      <c r="L1121">
        <f t="shared" si="35"/>
        <v>795424</v>
      </c>
    </row>
    <row r="1122" spans="1:12">
      <c r="A1122">
        <v>698</v>
      </c>
      <c r="B1122">
        <v>888</v>
      </c>
      <c r="C1122">
        <v>7</v>
      </c>
      <c r="D1122" t="s">
        <v>2387</v>
      </c>
      <c r="E1122" s="7">
        <v>72203.04</v>
      </c>
      <c r="F1122" s="7">
        <v>9.6</v>
      </c>
      <c r="G1122">
        <v>259</v>
      </c>
      <c r="H1122" t="s">
        <v>2829</v>
      </c>
      <c r="I1122" t="s">
        <v>2377</v>
      </c>
      <c r="J1122">
        <v>0</v>
      </c>
      <c r="K1122" s="9">
        <f t="shared" si="34"/>
        <v>43958</v>
      </c>
      <c r="L1122">
        <f t="shared" si="35"/>
        <v>7220304</v>
      </c>
    </row>
    <row r="1123" spans="1:12">
      <c r="A1123">
        <v>699</v>
      </c>
      <c r="B1123">
        <v>903</v>
      </c>
      <c r="C1123">
        <v>4</v>
      </c>
      <c r="D1123" t="s">
        <v>2387</v>
      </c>
      <c r="E1123" s="7">
        <v>109012.16</v>
      </c>
      <c r="F1123" s="7">
        <v>18.02</v>
      </c>
      <c r="G1123">
        <v>207</v>
      </c>
      <c r="H1123" t="s">
        <v>450</v>
      </c>
      <c r="I1123" t="s">
        <v>2377</v>
      </c>
      <c r="J1123">
        <v>0</v>
      </c>
      <c r="K1123" s="9">
        <f t="shared" si="34"/>
        <v>45027</v>
      </c>
      <c r="L1123">
        <f t="shared" si="35"/>
        <v>10901216</v>
      </c>
    </row>
    <row r="1124" spans="1:12">
      <c r="A1124">
        <v>700</v>
      </c>
      <c r="B1124">
        <v>795</v>
      </c>
      <c r="C1124">
        <v>2</v>
      </c>
      <c r="D1124" t="s">
        <v>2379</v>
      </c>
      <c r="E1124" s="7">
        <v>3723.32</v>
      </c>
      <c r="F1124" s="7">
        <v>11.66</v>
      </c>
      <c r="G1124">
        <v>18</v>
      </c>
      <c r="H1124" t="s">
        <v>2967</v>
      </c>
      <c r="I1124" t="s">
        <v>2377</v>
      </c>
      <c r="J1124">
        <v>0</v>
      </c>
      <c r="K1124" s="9">
        <f t="shared" si="34"/>
        <v>44141</v>
      </c>
      <c r="L1124">
        <f t="shared" si="35"/>
        <v>372332</v>
      </c>
    </row>
    <row r="1125" spans="1:12">
      <c r="A1125">
        <v>701</v>
      </c>
      <c r="B1125">
        <v>338</v>
      </c>
      <c r="C1125">
        <v>2</v>
      </c>
      <c r="D1125" t="s">
        <v>2376</v>
      </c>
      <c r="E1125" s="7">
        <v>44298.56</v>
      </c>
      <c r="F1125" s="7">
        <v>21.27</v>
      </c>
      <c r="G1125">
        <v>23</v>
      </c>
      <c r="H1125" t="s">
        <v>1315</v>
      </c>
      <c r="I1125" t="s">
        <v>2377</v>
      </c>
      <c r="J1125">
        <v>0</v>
      </c>
      <c r="K1125" s="9">
        <f t="shared" si="34"/>
        <v>44312</v>
      </c>
      <c r="L1125">
        <f t="shared" si="35"/>
        <v>4429856</v>
      </c>
    </row>
    <row r="1126" spans="1:12">
      <c r="A1126">
        <v>702</v>
      </c>
      <c r="B1126">
        <v>747</v>
      </c>
      <c r="C1126">
        <v>3</v>
      </c>
      <c r="D1126" t="s">
        <v>2387</v>
      </c>
      <c r="E1126" s="7">
        <v>176944</v>
      </c>
      <c r="F1126" s="7">
        <v>19.86</v>
      </c>
      <c r="G1126">
        <v>173</v>
      </c>
      <c r="H1126" t="s">
        <v>2658</v>
      </c>
      <c r="I1126" t="s">
        <v>2377</v>
      </c>
      <c r="J1126">
        <v>0</v>
      </c>
      <c r="K1126" s="9">
        <f t="shared" si="34"/>
        <v>44918</v>
      </c>
      <c r="L1126">
        <f t="shared" si="35"/>
        <v>176944</v>
      </c>
    </row>
    <row r="1127" spans="1:12">
      <c r="A1127">
        <v>703</v>
      </c>
      <c r="B1127">
        <v>748</v>
      </c>
      <c r="C1127">
        <v>2</v>
      </c>
      <c r="D1127" t="s">
        <v>2387</v>
      </c>
      <c r="E1127" s="7">
        <v>159515.08</v>
      </c>
      <c r="F1127" s="7">
        <v>10.9</v>
      </c>
      <c r="G1127">
        <v>287</v>
      </c>
      <c r="H1127" t="s">
        <v>2567</v>
      </c>
      <c r="I1127" t="s">
        <v>2377</v>
      </c>
      <c r="J1127">
        <v>0</v>
      </c>
      <c r="K1127" s="9">
        <f t="shared" si="34"/>
        <v>44384</v>
      </c>
      <c r="L1127">
        <f t="shared" si="35"/>
        <v>15951508</v>
      </c>
    </row>
    <row r="1128" spans="1:12">
      <c r="A1128">
        <v>704</v>
      </c>
      <c r="B1128">
        <v>247</v>
      </c>
      <c r="C1128">
        <v>6</v>
      </c>
      <c r="D1128" t="s">
        <v>2379</v>
      </c>
      <c r="E1128" s="7">
        <v>10329.68</v>
      </c>
      <c r="F1128" s="7">
        <v>18.69</v>
      </c>
      <c r="G1128">
        <v>10</v>
      </c>
      <c r="H1128" t="s">
        <v>1084</v>
      </c>
      <c r="I1128" t="s">
        <v>2377</v>
      </c>
      <c r="J1128">
        <v>0</v>
      </c>
      <c r="K1128" s="9">
        <f t="shared" si="34"/>
        <v>44779</v>
      </c>
      <c r="L1128">
        <f t="shared" si="35"/>
        <v>1032968</v>
      </c>
    </row>
    <row r="1129" spans="1:12">
      <c r="A1129">
        <v>705</v>
      </c>
      <c r="B1129">
        <v>721</v>
      </c>
      <c r="C1129">
        <v>4</v>
      </c>
      <c r="D1129" t="s">
        <v>2390</v>
      </c>
      <c r="E1129" s="7">
        <v>30071.86</v>
      </c>
      <c r="F1129" s="7">
        <v>10.16</v>
      </c>
      <c r="G1129">
        <v>37</v>
      </c>
      <c r="H1129" t="s">
        <v>2057</v>
      </c>
      <c r="I1129" t="s">
        <v>2377</v>
      </c>
      <c r="J1129">
        <v>0</v>
      </c>
      <c r="K1129" s="9">
        <f t="shared" si="34"/>
        <v>45231</v>
      </c>
      <c r="L1129">
        <f t="shared" si="35"/>
        <v>3007186</v>
      </c>
    </row>
    <row r="1130" spans="1:12">
      <c r="A1130">
        <v>706</v>
      </c>
      <c r="B1130">
        <v>172</v>
      </c>
      <c r="C1130">
        <v>5</v>
      </c>
      <c r="D1130" t="s">
        <v>2390</v>
      </c>
      <c r="E1130" s="7">
        <v>26805.41</v>
      </c>
      <c r="F1130" s="7">
        <v>7.34</v>
      </c>
      <c r="G1130">
        <v>62</v>
      </c>
      <c r="H1130" t="s">
        <v>2968</v>
      </c>
      <c r="I1130" t="s">
        <v>2383</v>
      </c>
      <c r="J1130">
        <v>0</v>
      </c>
      <c r="K1130" s="9">
        <f t="shared" si="34"/>
        <v>45361</v>
      </c>
      <c r="L1130">
        <f t="shared" si="35"/>
        <v>2680541</v>
      </c>
    </row>
    <row r="1131" spans="1:12">
      <c r="A1131">
        <v>707</v>
      </c>
      <c r="B1131">
        <v>543</v>
      </c>
      <c r="C1131">
        <v>2</v>
      </c>
      <c r="D1131" t="s">
        <v>2376</v>
      </c>
      <c r="E1131" s="7">
        <v>140201.08</v>
      </c>
      <c r="F1131" s="7">
        <v>17.56</v>
      </c>
      <c r="G1131">
        <v>113</v>
      </c>
      <c r="H1131" t="s">
        <v>2802</v>
      </c>
      <c r="I1131" t="s">
        <v>2377</v>
      </c>
      <c r="J1131">
        <v>0</v>
      </c>
      <c r="K1131" s="9">
        <f t="shared" si="34"/>
        <v>44695</v>
      </c>
      <c r="L1131">
        <f t="shared" si="35"/>
        <v>14020108</v>
      </c>
    </row>
    <row r="1132" spans="1:12">
      <c r="A1132">
        <v>708</v>
      </c>
      <c r="B1132">
        <v>584</v>
      </c>
      <c r="C1132">
        <v>1</v>
      </c>
      <c r="D1132" t="s">
        <v>2390</v>
      </c>
      <c r="E1132" s="7">
        <v>35306.16</v>
      </c>
      <c r="F1132" s="7">
        <v>17.97</v>
      </c>
      <c r="G1132">
        <v>35</v>
      </c>
      <c r="H1132" t="s">
        <v>1219</v>
      </c>
      <c r="I1132" t="s">
        <v>2377</v>
      </c>
      <c r="J1132">
        <v>0</v>
      </c>
      <c r="K1132" s="9">
        <f t="shared" si="34"/>
        <v>45260</v>
      </c>
      <c r="L1132">
        <f t="shared" si="35"/>
        <v>3530616</v>
      </c>
    </row>
    <row r="1133" spans="1:12">
      <c r="A1133">
        <v>709</v>
      </c>
      <c r="B1133">
        <v>467</v>
      </c>
      <c r="C1133">
        <v>1</v>
      </c>
      <c r="D1133" t="s">
        <v>2379</v>
      </c>
      <c r="E1133" s="7">
        <v>8504.55</v>
      </c>
      <c r="F1133" s="7">
        <v>8.02</v>
      </c>
      <c r="G1133">
        <v>30</v>
      </c>
      <c r="H1133" t="s">
        <v>802</v>
      </c>
      <c r="I1133" t="s">
        <v>2377</v>
      </c>
      <c r="J1133">
        <v>0</v>
      </c>
      <c r="K1133" s="9">
        <f t="shared" si="34"/>
        <v>44311</v>
      </c>
      <c r="L1133">
        <f t="shared" si="35"/>
        <v>850455</v>
      </c>
    </row>
    <row r="1134" spans="1:12">
      <c r="A1134">
        <v>710</v>
      </c>
      <c r="B1134">
        <v>919</v>
      </c>
      <c r="C1134">
        <v>1</v>
      </c>
      <c r="D1134" t="s">
        <v>2390</v>
      </c>
      <c r="E1134" s="7">
        <v>18168.63</v>
      </c>
      <c r="F1134" s="7">
        <v>13.24</v>
      </c>
      <c r="G1134">
        <v>44</v>
      </c>
      <c r="H1134" t="s">
        <v>324</v>
      </c>
      <c r="I1134" t="s">
        <v>2393</v>
      </c>
      <c r="J1134">
        <v>161</v>
      </c>
      <c r="K1134" s="9">
        <f t="shared" si="34"/>
        <v>43907</v>
      </c>
      <c r="L1134">
        <f t="shared" si="35"/>
        <v>1816863</v>
      </c>
    </row>
    <row r="1135" spans="1:12">
      <c r="A1135">
        <v>711</v>
      </c>
      <c r="B1135">
        <v>977</v>
      </c>
      <c r="C1135">
        <v>1</v>
      </c>
      <c r="D1135" t="s">
        <v>2379</v>
      </c>
      <c r="E1135" s="7">
        <v>9456.42</v>
      </c>
      <c r="F1135" s="7">
        <v>9.01</v>
      </c>
      <c r="G1135">
        <v>50</v>
      </c>
      <c r="H1135" t="s">
        <v>2969</v>
      </c>
      <c r="I1135" t="s">
        <v>2383</v>
      </c>
      <c r="J1135">
        <v>0</v>
      </c>
      <c r="K1135" s="9">
        <f t="shared" si="34"/>
        <v>45219</v>
      </c>
      <c r="L1135">
        <f t="shared" si="35"/>
        <v>945642</v>
      </c>
    </row>
    <row r="1136" spans="1:12">
      <c r="A1136">
        <v>712</v>
      </c>
      <c r="B1136">
        <v>809</v>
      </c>
      <c r="C1136">
        <v>4</v>
      </c>
      <c r="D1136" t="s">
        <v>2387</v>
      </c>
      <c r="E1136" s="7">
        <v>78237.47</v>
      </c>
      <c r="F1136" s="7">
        <v>21.84</v>
      </c>
      <c r="G1136">
        <v>330</v>
      </c>
      <c r="H1136" t="s">
        <v>439</v>
      </c>
      <c r="I1136" t="s">
        <v>2377</v>
      </c>
      <c r="J1136">
        <v>0</v>
      </c>
      <c r="K1136" s="9">
        <f t="shared" si="34"/>
        <v>43862</v>
      </c>
      <c r="L1136">
        <f t="shared" si="35"/>
        <v>7823747</v>
      </c>
    </row>
    <row r="1137" spans="1:12">
      <c r="A1137">
        <v>713</v>
      </c>
      <c r="B1137">
        <v>117</v>
      </c>
      <c r="C1137">
        <v>1</v>
      </c>
      <c r="D1137" t="s">
        <v>2379</v>
      </c>
      <c r="E1137" s="7">
        <v>11860.45</v>
      </c>
      <c r="F1137" s="7">
        <v>18.9</v>
      </c>
      <c r="G1137">
        <v>8</v>
      </c>
      <c r="H1137" t="s">
        <v>2970</v>
      </c>
      <c r="I1137" t="s">
        <v>2383</v>
      </c>
      <c r="J1137">
        <v>0</v>
      </c>
      <c r="K1137" s="9">
        <f t="shared" si="34"/>
        <v>44588</v>
      </c>
      <c r="L1137">
        <f t="shared" si="35"/>
        <v>1186045</v>
      </c>
    </row>
    <row r="1138" spans="1:12">
      <c r="A1138">
        <v>714</v>
      </c>
      <c r="B1138">
        <v>2</v>
      </c>
      <c r="C1138">
        <v>5</v>
      </c>
      <c r="D1138" t="s">
        <v>2379</v>
      </c>
      <c r="E1138" s="7">
        <v>1697.42</v>
      </c>
      <c r="F1138" s="7">
        <v>9.72</v>
      </c>
      <c r="G1138">
        <v>19</v>
      </c>
      <c r="H1138" t="s">
        <v>2971</v>
      </c>
      <c r="I1138" t="s">
        <v>2377</v>
      </c>
      <c r="J1138">
        <v>0</v>
      </c>
      <c r="K1138" s="9">
        <f t="shared" si="34"/>
        <v>44279</v>
      </c>
      <c r="L1138">
        <f t="shared" si="35"/>
        <v>169742</v>
      </c>
    </row>
    <row r="1139" spans="1:12">
      <c r="A1139">
        <v>715</v>
      </c>
      <c r="B1139">
        <v>976</v>
      </c>
      <c r="C1139">
        <v>1</v>
      </c>
      <c r="D1139" t="s">
        <v>2379</v>
      </c>
      <c r="E1139" s="7">
        <v>1364.1</v>
      </c>
      <c r="F1139" s="7">
        <v>5.13</v>
      </c>
      <c r="G1139">
        <v>30</v>
      </c>
      <c r="H1139" t="s">
        <v>2972</v>
      </c>
      <c r="I1139" t="s">
        <v>2377</v>
      </c>
      <c r="J1139">
        <v>0</v>
      </c>
      <c r="K1139" s="9">
        <f t="shared" si="34"/>
        <v>45835</v>
      </c>
      <c r="L1139">
        <f t="shared" si="35"/>
        <v>13641</v>
      </c>
    </row>
    <row r="1140" spans="1:12">
      <c r="A1140">
        <v>716</v>
      </c>
      <c r="B1140">
        <v>800</v>
      </c>
      <c r="C1140">
        <v>3</v>
      </c>
      <c r="D1140" t="s">
        <v>2379</v>
      </c>
      <c r="E1140" s="7">
        <v>10084.4</v>
      </c>
      <c r="F1140" s="7">
        <v>12.51</v>
      </c>
      <c r="G1140">
        <v>28</v>
      </c>
      <c r="H1140" t="s">
        <v>2961</v>
      </c>
      <c r="I1140" t="s">
        <v>2377</v>
      </c>
      <c r="J1140">
        <v>0</v>
      </c>
      <c r="K1140" s="9">
        <f t="shared" si="34"/>
        <v>44218</v>
      </c>
      <c r="L1140">
        <f t="shared" si="35"/>
        <v>100844</v>
      </c>
    </row>
    <row r="1141" spans="1:12">
      <c r="A1141">
        <v>717</v>
      </c>
      <c r="B1141">
        <v>276</v>
      </c>
      <c r="C1141">
        <v>6</v>
      </c>
      <c r="D1141" t="s">
        <v>2379</v>
      </c>
      <c r="E1141" s="7">
        <v>2337.77</v>
      </c>
      <c r="F1141" s="7">
        <v>7.68</v>
      </c>
      <c r="G1141">
        <v>25</v>
      </c>
      <c r="H1141" t="s">
        <v>2973</v>
      </c>
      <c r="I1141" t="s">
        <v>2383</v>
      </c>
      <c r="J1141">
        <v>0</v>
      </c>
      <c r="K1141" s="9">
        <f t="shared" si="34"/>
        <v>45561</v>
      </c>
      <c r="L1141">
        <f t="shared" si="35"/>
        <v>233777</v>
      </c>
    </row>
    <row r="1142" spans="1:12">
      <c r="A1142">
        <v>718</v>
      </c>
      <c r="B1142">
        <v>956</v>
      </c>
      <c r="C1142">
        <v>3</v>
      </c>
      <c r="D1142" t="s">
        <v>2376</v>
      </c>
      <c r="E1142" s="7">
        <v>23396.17</v>
      </c>
      <c r="F1142" s="7">
        <v>19.99</v>
      </c>
      <c r="G1142">
        <v>104</v>
      </c>
      <c r="H1142" t="s">
        <v>1046</v>
      </c>
      <c r="I1142" t="s">
        <v>2383</v>
      </c>
      <c r="J1142">
        <v>0</v>
      </c>
      <c r="K1142" s="9">
        <f t="shared" si="34"/>
        <v>43917</v>
      </c>
      <c r="L1142">
        <f t="shared" si="35"/>
        <v>2339617</v>
      </c>
    </row>
    <row r="1143" spans="1:12">
      <c r="A1143">
        <v>719</v>
      </c>
      <c r="B1143">
        <v>866</v>
      </c>
      <c r="C1143">
        <v>5</v>
      </c>
      <c r="D1143" t="s">
        <v>2385</v>
      </c>
      <c r="E1143" s="7">
        <v>4005.61</v>
      </c>
      <c r="F1143" s="7">
        <v>15.98</v>
      </c>
      <c r="G1143">
        <v>10</v>
      </c>
      <c r="H1143" t="s">
        <v>2974</v>
      </c>
      <c r="I1143" t="s">
        <v>2393</v>
      </c>
      <c r="J1143">
        <v>205</v>
      </c>
      <c r="K1143" s="9">
        <f t="shared" si="34"/>
        <v>45608</v>
      </c>
      <c r="L1143">
        <f t="shared" si="35"/>
        <v>400561</v>
      </c>
    </row>
    <row r="1144" spans="1:12">
      <c r="A1144">
        <v>720</v>
      </c>
      <c r="B1144">
        <v>257</v>
      </c>
      <c r="C1144">
        <v>7</v>
      </c>
      <c r="D1144" t="s">
        <v>2390</v>
      </c>
      <c r="E1144" s="7">
        <v>30830.58</v>
      </c>
      <c r="F1144" s="7">
        <v>8.22</v>
      </c>
      <c r="G1144">
        <v>40</v>
      </c>
      <c r="H1144" t="s">
        <v>2723</v>
      </c>
      <c r="I1144" t="s">
        <v>2377</v>
      </c>
      <c r="J1144">
        <v>0</v>
      </c>
      <c r="K1144" s="9">
        <f t="shared" si="34"/>
        <v>44797</v>
      </c>
      <c r="L1144">
        <f t="shared" si="35"/>
        <v>3083058</v>
      </c>
    </row>
    <row r="1145" spans="1:12">
      <c r="A1145">
        <v>721</v>
      </c>
      <c r="B1145">
        <v>316</v>
      </c>
      <c r="C1145">
        <v>1</v>
      </c>
      <c r="D1145" t="s">
        <v>2390</v>
      </c>
      <c r="E1145" s="7">
        <v>8376.02</v>
      </c>
      <c r="F1145" s="7">
        <v>15.19</v>
      </c>
      <c r="G1145">
        <v>32</v>
      </c>
      <c r="H1145" t="s">
        <v>2752</v>
      </c>
      <c r="I1145" t="s">
        <v>2377</v>
      </c>
      <c r="J1145">
        <v>0</v>
      </c>
      <c r="K1145" s="9">
        <f t="shared" si="34"/>
        <v>44704</v>
      </c>
      <c r="L1145">
        <f t="shared" si="35"/>
        <v>837602</v>
      </c>
    </row>
    <row r="1146" spans="1:12">
      <c r="A1146">
        <v>722</v>
      </c>
      <c r="B1146">
        <v>129</v>
      </c>
      <c r="C1146">
        <v>4</v>
      </c>
      <c r="D1146" t="s">
        <v>2379</v>
      </c>
      <c r="E1146" s="7">
        <v>9207.61</v>
      </c>
      <c r="F1146" s="7">
        <v>10.76</v>
      </c>
      <c r="G1146">
        <v>53</v>
      </c>
      <c r="H1146" t="s">
        <v>2426</v>
      </c>
      <c r="I1146" t="s">
        <v>2383</v>
      </c>
      <c r="J1146">
        <v>0</v>
      </c>
      <c r="K1146" s="9">
        <f t="shared" si="34"/>
        <v>43932</v>
      </c>
      <c r="L1146">
        <f t="shared" si="35"/>
        <v>920761</v>
      </c>
    </row>
    <row r="1147" spans="1:12">
      <c r="A1147">
        <v>723</v>
      </c>
      <c r="B1147">
        <v>270</v>
      </c>
      <c r="C1147">
        <v>7</v>
      </c>
      <c r="D1147" t="s">
        <v>2387</v>
      </c>
      <c r="E1147" s="7">
        <v>75275.39</v>
      </c>
      <c r="F1147" s="7">
        <v>10.01</v>
      </c>
      <c r="G1147">
        <v>300</v>
      </c>
      <c r="H1147" t="s">
        <v>321</v>
      </c>
      <c r="I1147" t="s">
        <v>2377</v>
      </c>
      <c r="J1147">
        <v>0</v>
      </c>
      <c r="K1147" s="9">
        <f t="shared" si="34"/>
        <v>44430</v>
      </c>
      <c r="L1147">
        <f t="shared" si="35"/>
        <v>7527539</v>
      </c>
    </row>
    <row r="1148" spans="1:12">
      <c r="A1148">
        <v>724</v>
      </c>
      <c r="B1148">
        <v>527</v>
      </c>
      <c r="C1148">
        <v>1</v>
      </c>
      <c r="D1148" t="s">
        <v>2376</v>
      </c>
      <c r="E1148" s="7">
        <v>148628.82</v>
      </c>
      <c r="F1148" s="7">
        <v>9.84</v>
      </c>
      <c r="G1148">
        <v>101</v>
      </c>
      <c r="H1148" t="s">
        <v>2975</v>
      </c>
      <c r="I1148" t="s">
        <v>2377</v>
      </c>
      <c r="J1148">
        <v>0</v>
      </c>
      <c r="K1148" s="9">
        <f t="shared" si="34"/>
        <v>45513</v>
      </c>
      <c r="L1148">
        <f t="shared" si="35"/>
        <v>14862882</v>
      </c>
    </row>
    <row r="1149" spans="1:12">
      <c r="A1149">
        <v>725</v>
      </c>
      <c r="B1149">
        <v>147</v>
      </c>
      <c r="C1149">
        <v>6</v>
      </c>
      <c r="D1149" t="s">
        <v>2390</v>
      </c>
      <c r="E1149" s="7">
        <v>31432.82</v>
      </c>
      <c r="F1149" s="7">
        <v>12.78</v>
      </c>
      <c r="G1149">
        <v>34</v>
      </c>
      <c r="H1149" t="s">
        <v>1626</v>
      </c>
      <c r="I1149" t="s">
        <v>2377</v>
      </c>
      <c r="J1149">
        <v>88</v>
      </c>
      <c r="K1149" s="9">
        <f t="shared" si="34"/>
        <v>44466</v>
      </c>
      <c r="L1149">
        <f t="shared" si="35"/>
        <v>3143282</v>
      </c>
    </row>
    <row r="1150" spans="1:12">
      <c r="A1150">
        <v>726</v>
      </c>
      <c r="B1150">
        <v>564</v>
      </c>
      <c r="C1150">
        <v>6</v>
      </c>
      <c r="D1150" t="s">
        <v>2385</v>
      </c>
      <c r="E1150" s="7">
        <v>887.49</v>
      </c>
      <c r="F1150" s="7">
        <v>20.91</v>
      </c>
      <c r="G1150">
        <v>35</v>
      </c>
      <c r="H1150" t="s">
        <v>2711</v>
      </c>
      <c r="I1150" t="s">
        <v>2377</v>
      </c>
      <c r="J1150">
        <v>0</v>
      </c>
      <c r="K1150" s="9">
        <f t="shared" si="34"/>
        <v>45220</v>
      </c>
      <c r="L1150">
        <f t="shared" si="35"/>
        <v>88749</v>
      </c>
    </row>
    <row r="1151" spans="1:12">
      <c r="A1151">
        <v>727</v>
      </c>
      <c r="B1151">
        <v>462</v>
      </c>
      <c r="C1151">
        <v>5</v>
      </c>
      <c r="D1151" t="s">
        <v>2379</v>
      </c>
      <c r="E1151" s="7">
        <v>9052.98</v>
      </c>
      <c r="F1151" s="7">
        <v>20.51</v>
      </c>
      <c r="G1151">
        <v>32</v>
      </c>
      <c r="H1151" t="s">
        <v>2005</v>
      </c>
      <c r="I1151" t="s">
        <v>2377</v>
      </c>
      <c r="J1151">
        <v>24</v>
      </c>
      <c r="K1151" s="9">
        <f t="shared" si="34"/>
        <v>45083</v>
      </c>
      <c r="L1151">
        <f t="shared" si="35"/>
        <v>905298</v>
      </c>
    </row>
    <row r="1152" spans="1:12">
      <c r="A1152">
        <v>728</v>
      </c>
      <c r="B1152">
        <v>844</v>
      </c>
      <c r="C1152">
        <v>1</v>
      </c>
      <c r="D1152" t="s">
        <v>2390</v>
      </c>
      <c r="E1152" s="7">
        <v>22007.18</v>
      </c>
      <c r="F1152" s="7">
        <v>15.11</v>
      </c>
      <c r="G1152">
        <v>60</v>
      </c>
      <c r="H1152" t="s">
        <v>2163</v>
      </c>
      <c r="I1152" t="s">
        <v>2377</v>
      </c>
      <c r="J1152">
        <v>0</v>
      </c>
      <c r="K1152" s="9">
        <f t="shared" si="34"/>
        <v>44724</v>
      </c>
      <c r="L1152">
        <f t="shared" si="35"/>
        <v>2200718</v>
      </c>
    </row>
    <row r="1153" spans="1:12">
      <c r="A1153">
        <v>729</v>
      </c>
      <c r="B1153">
        <v>758</v>
      </c>
      <c r="C1153">
        <v>7</v>
      </c>
      <c r="D1153" t="s">
        <v>2390</v>
      </c>
      <c r="E1153" s="7">
        <v>28970.69</v>
      </c>
      <c r="F1153" s="7">
        <v>17.01</v>
      </c>
      <c r="G1153">
        <v>34</v>
      </c>
      <c r="H1153" t="s">
        <v>2976</v>
      </c>
      <c r="I1153" t="s">
        <v>2377</v>
      </c>
      <c r="J1153">
        <v>70</v>
      </c>
      <c r="K1153" s="9">
        <f t="shared" si="34"/>
        <v>44358</v>
      </c>
      <c r="L1153">
        <f t="shared" si="35"/>
        <v>2897069</v>
      </c>
    </row>
    <row r="1154" spans="1:12">
      <c r="A1154">
        <v>730</v>
      </c>
      <c r="B1154">
        <v>279</v>
      </c>
      <c r="C1154">
        <v>5</v>
      </c>
      <c r="D1154" t="s">
        <v>2390</v>
      </c>
      <c r="E1154" s="7">
        <v>11944.06</v>
      </c>
      <c r="F1154" s="7">
        <v>19.89</v>
      </c>
      <c r="G1154">
        <v>42</v>
      </c>
      <c r="H1154" t="s">
        <v>2977</v>
      </c>
      <c r="I1154" t="s">
        <v>2377</v>
      </c>
      <c r="J1154">
        <v>0</v>
      </c>
      <c r="K1154" s="9">
        <f t="shared" si="34"/>
        <v>44390</v>
      </c>
      <c r="L1154">
        <f t="shared" si="35"/>
        <v>1194406</v>
      </c>
    </row>
    <row r="1155" spans="1:12">
      <c r="A1155">
        <v>731</v>
      </c>
      <c r="B1155">
        <v>774</v>
      </c>
      <c r="C1155">
        <v>1</v>
      </c>
      <c r="D1155" t="s">
        <v>2376</v>
      </c>
      <c r="E1155" s="7">
        <v>123028.42</v>
      </c>
      <c r="F1155" s="7">
        <v>9.74</v>
      </c>
      <c r="G1155">
        <v>85</v>
      </c>
      <c r="H1155" t="s">
        <v>1278</v>
      </c>
      <c r="I1155" t="s">
        <v>2377</v>
      </c>
      <c r="J1155">
        <v>0</v>
      </c>
      <c r="K1155" s="9">
        <f t="shared" ref="K1155:K1218" si="36">DATEVALUE(LEFT(H1155,10))</f>
        <v>44833</v>
      </c>
      <c r="L1155">
        <f t="shared" ref="L1155:L1218" si="37">_xlfn.NUMBERVALUE(E1155,".",",")</f>
        <v>12302842</v>
      </c>
    </row>
    <row r="1156" spans="1:12">
      <c r="A1156">
        <v>732</v>
      </c>
      <c r="B1156">
        <v>896</v>
      </c>
      <c r="C1156">
        <v>1</v>
      </c>
      <c r="D1156" t="s">
        <v>2385</v>
      </c>
      <c r="E1156" s="7">
        <v>7365.85</v>
      </c>
      <c r="F1156" s="7">
        <v>11.03</v>
      </c>
      <c r="G1156">
        <v>19</v>
      </c>
      <c r="H1156" t="s">
        <v>2492</v>
      </c>
      <c r="I1156" t="s">
        <v>2383</v>
      </c>
      <c r="J1156">
        <v>0</v>
      </c>
      <c r="K1156" s="9">
        <f t="shared" si="36"/>
        <v>45821</v>
      </c>
      <c r="L1156">
        <f t="shared" si="37"/>
        <v>736585</v>
      </c>
    </row>
    <row r="1157" spans="1:12">
      <c r="A1157">
        <v>733</v>
      </c>
      <c r="B1157">
        <v>383</v>
      </c>
      <c r="C1157">
        <v>6</v>
      </c>
      <c r="D1157" t="s">
        <v>2379</v>
      </c>
      <c r="E1157" s="7">
        <v>2610.01</v>
      </c>
      <c r="F1157" s="7">
        <v>21.18</v>
      </c>
      <c r="G1157">
        <v>27</v>
      </c>
      <c r="H1157" t="s">
        <v>2978</v>
      </c>
      <c r="I1157" t="s">
        <v>2377</v>
      </c>
      <c r="J1157">
        <v>0</v>
      </c>
      <c r="K1157" s="9">
        <f t="shared" si="36"/>
        <v>43843</v>
      </c>
      <c r="L1157">
        <f t="shared" si="37"/>
        <v>261001</v>
      </c>
    </row>
    <row r="1158" spans="1:12">
      <c r="A1158">
        <v>734</v>
      </c>
      <c r="B1158">
        <v>855</v>
      </c>
      <c r="C1158">
        <v>5</v>
      </c>
      <c r="D1158" t="s">
        <v>2376</v>
      </c>
      <c r="E1158" s="7">
        <v>24619.6</v>
      </c>
      <c r="F1158" s="7">
        <v>5.85</v>
      </c>
      <c r="G1158">
        <v>111</v>
      </c>
      <c r="H1158" t="s">
        <v>2817</v>
      </c>
      <c r="I1158" t="s">
        <v>2383</v>
      </c>
      <c r="J1158">
        <v>0</v>
      </c>
      <c r="K1158" s="9">
        <f t="shared" si="36"/>
        <v>44657</v>
      </c>
      <c r="L1158">
        <f t="shared" si="37"/>
        <v>246196</v>
      </c>
    </row>
    <row r="1159" spans="1:12">
      <c r="A1159">
        <v>735</v>
      </c>
      <c r="B1159">
        <v>250</v>
      </c>
      <c r="C1159">
        <v>2</v>
      </c>
      <c r="D1159" t="s">
        <v>2390</v>
      </c>
      <c r="E1159" s="7">
        <v>14025.74</v>
      </c>
      <c r="F1159" s="7">
        <v>9.73</v>
      </c>
      <c r="G1159">
        <v>47</v>
      </c>
      <c r="H1159" t="s">
        <v>2979</v>
      </c>
      <c r="I1159" t="s">
        <v>2383</v>
      </c>
      <c r="J1159">
        <v>0</v>
      </c>
      <c r="K1159" s="9">
        <f t="shared" si="36"/>
        <v>45284</v>
      </c>
      <c r="L1159">
        <f t="shared" si="37"/>
        <v>1402574</v>
      </c>
    </row>
    <row r="1160" spans="1:12">
      <c r="A1160">
        <v>736</v>
      </c>
      <c r="B1160">
        <v>4</v>
      </c>
      <c r="C1160">
        <v>4</v>
      </c>
      <c r="D1160" t="s">
        <v>2390</v>
      </c>
      <c r="E1160" s="7">
        <v>15596.86</v>
      </c>
      <c r="F1160" s="7">
        <v>20.33</v>
      </c>
      <c r="G1160">
        <v>58</v>
      </c>
      <c r="H1160" t="s">
        <v>2980</v>
      </c>
      <c r="I1160" t="s">
        <v>2377</v>
      </c>
      <c r="J1160">
        <v>0</v>
      </c>
      <c r="K1160" s="9">
        <f t="shared" si="36"/>
        <v>44142</v>
      </c>
      <c r="L1160">
        <f t="shared" si="37"/>
        <v>1559686</v>
      </c>
    </row>
    <row r="1161" spans="1:12">
      <c r="A1161">
        <v>737</v>
      </c>
      <c r="B1161">
        <v>837</v>
      </c>
      <c r="C1161">
        <v>7</v>
      </c>
      <c r="D1161" t="s">
        <v>2387</v>
      </c>
      <c r="E1161" s="7">
        <v>187799.62</v>
      </c>
      <c r="F1161" s="7">
        <v>13.88</v>
      </c>
      <c r="G1161">
        <v>203</v>
      </c>
      <c r="H1161" t="s">
        <v>2336</v>
      </c>
      <c r="I1161" t="s">
        <v>2383</v>
      </c>
      <c r="J1161">
        <v>0</v>
      </c>
      <c r="K1161" s="9">
        <f t="shared" si="36"/>
        <v>44340</v>
      </c>
      <c r="L1161">
        <f t="shared" si="37"/>
        <v>18779962</v>
      </c>
    </row>
    <row r="1162" spans="1:12">
      <c r="A1162">
        <v>738</v>
      </c>
      <c r="B1162">
        <v>865</v>
      </c>
      <c r="C1162">
        <v>1</v>
      </c>
      <c r="D1162" t="s">
        <v>2376</v>
      </c>
      <c r="E1162" s="7">
        <v>53892.29</v>
      </c>
      <c r="F1162" s="7">
        <v>18.36</v>
      </c>
      <c r="G1162">
        <v>65</v>
      </c>
      <c r="H1162" t="s">
        <v>1984</v>
      </c>
      <c r="I1162" t="s">
        <v>2383</v>
      </c>
      <c r="J1162">
        <v>0</v>
      </c>
      <c r="K1162" s="9">
        <f t="shared" si="36"/>
        <v>45273</v>
      </c>
      <c r="L1162">
        <f t="shared" si="37"/>
        <v>5389229</v>
      </c>
    </row>
    <row r="1163" spans="1:12">
      <c r="A1163">
        <v>739</v>
      </c>
      <c r="B1163">
        <v>691</v>
      </c>
      <c r="C1163">
        <v>4</v>
      </c>
      <c r="D1163" t="s">
        <v>2390</v>
      </c>
      <c r="E1163" s="7">
        <v>34403.9</v>
      </c>
      <c r="F1163" s="7">
        <v>6.42</v>
      </c>
      <c r="G1163">
        <v>72</v>
      </c>
      <c r="H1163" t="s">
        <v>466</v>
      </c>
      <c r="I1163" t="s">
        <v>2377</v>
      </c>
      <c r="J1163">
        <v>0</v>
      </c>
      <c r="K1163" s="9">
        <f t="shared" si="36"/>
        <v>44465</v>
      </c>
      <c r="L1163">
        <f t="shared" si="37"/>
        <v>344039</v>
      </c>
    </row>
    <row r="1164" spans="1:12">
      <c r="A1164">
        <v>740</v>
      </c>
      <c r="B1164">
        <v>216</v>
      </c>
      <c r="C1164">
        <v>2</v>
      </c>
      <c r="D1164" t="s">
        <v>2385</v>
      </c>
      <c r="E1164" s="7">
        <v>1189.14</v>
      </c>
      <c r="F1164" s="7">
        <v>8.66</v>
      </c>
      <c r="G1164">
        <v>24</v>
      </c>
      <c r="H1164" t="s">
        <v>2629</v>
      </c>
      <c r="I1164" t="s">
        <v>2377</v>
      </c>
      <c r="J1164">
        <v>0</v>
      </c>
      <c r="K1164" s="9">
        <f t="shared" si="36"/>
        <v>43864</v>
      </c>
      <c r="L1164">
        <f t="shared" si="37"/>
        <v>118914</v>
      </c>
    </row>
    <row r="1165" spans="1:12">
      <c r="A1165">
        <v>741</v>
      </c>
      <c r="B1165">
        <v>655</v>
      </c>
      <c r="C1165">
        <v>3</v>
      </c>
      <c r="D1165" t="s">
        <v>2390</v>
      </c>
      <c r="E1165" s="7">
        <v>22059.84</v>
      </c>
      <c r="F1165" s="7">
        <v>6.24</v>
      </c>
      <c r="G1165">
        <v>70</v>
      </c>
      <c r="H1165" t="s">
        <v>2981</v>
      </c>
      <c r="I1165" t="s">
        <v>2377</v>
      </c>
      <c r="J1165">
        <v>0</v>
      </c>
      <c r="K1165" s="9">
        <f t="shared" si="36"/>
        <v>44950</v>
      </c>
      <c r="L1165">
        <f t="shared" si="37"/>
        <v>2205984</v>
      </c>
    </row>
    <row r="1166" spans="1:12">
      <c r="A1166">
        <v>742</v>
      </c>
      <c r="B1166">
        <v>276</v>
      </c>
      <c r="C1166">
        <v>6</v>
      </c>
      <c r="D1166" t="s">
        <v>2390</v>
      </c>
      <c r="E1166" s="7">
        <v>24333.7</v>
      </c>
      <c r="F1166" s="7">
        <v>21.57</v>
      </c>
      <c r="G1166">
        <v>65</v>
      </c>
      <c r="H1166" t="s">
        <v>2982</v>
      </c>
      <c r="I1166" t="s">
        <v>2377</v>
      </c>
      <c r="J1166">
        <v>0</v>
      </c>
      <c r="K1166" s="9">
        <f t="shared" si="36"/>
        <v>44060</v>
      </c>
      <c r="L1166">
        <f t="shared" si="37"/>
        <v>243337</v>
      </c>
    </row>
    <row r="1167" spans="1:12">
      <c r="A1167">
        <v>743</v>
      </c>
      <c r="B1167">
        <v>84</v>
      </c>
      <c r="C1167">
        <v>3</v>
      </c>
      <c r="D1167" t="s">
        <v>2376</v>
      </c>
      <c r="E1167" s="7">
        <v>41402.33</v>
      </c>
      <c r="F1167" s="7">
        <v>20.16</v>
      </c>
      <c r="G1167">
        <v>46</v>
      </c>
      <c r="H1167" t="s">
        <v>2983</v>
      </c>
      <c r="I1167" t="s">
        <v>2377</v>
      </c>
      <c r="J1167">
        <v>0</v>
      </c>
      <c r="K1167" s="9">
        <f t="shared" si="36"/>
        <v>45642</v>
      </c>
      <c r="L1167">
        <f t="shared" si="37"/>
        <v>4140233</v>
      </c>
    </row>
    <row r="1168" spans="1:12">
      <c r="A1168">
        <v>744</v>
      </c>
      <c r="B1168">
        <v>644</v>
      </c>
      <c r="C1168">
        <v>7</v>
      </c>
      <c r="D1168" t="s">
        <v>2385</v>
      </c>
      <c r="E1168" s="7">
        <v>8077.01</v>
      </c>
      <c r="F1168" s="7">
        <v>11.23</v>
      </c>
      <c r="G1168">
        <v>10</v>
      </c>
      <c r="H1168" t="s">
        <v>2357</v>
      </c>
      <c r="I1168" t="s">
        <v>2383</v>
      </c>
      <c r="J1168">
        <v>0</v>
      </c>
      <c r="K1168" s="9">
        <f t="shared" si="36"/>
        <v>43984</v>
      </c>
      <c r="L1168">
        <f t="shared" si="37"/>
        <v>807701</v>
      </c>
    </row>
    <row r="1169" spans="1:12">
      <c r="A1169">
        <v>745</v>
      </c>
      <c r="B1169">
        <v>538</v>
      </c>
      <c r="C1169">
        <v>2</v>
      </c>
      <c r="D1169" t="s">
        <v>2390</v>
      </c>
      <c r="E1169" s="7">
        <v>13059</v>
      </c>
      <c r="F1169" s="7">
        <v>14.67</v>
      </c>
      <c r="G1169">
        <v>26</v>
      </c>
      <c r="H1169" t="s">
        <v>1170</v>
      </c>
      <c r="I1169" t="s">
        <v>2383</v>
      </c>
      <c r="J1169">
        <v>0</v>
      </c>
      <c r="K1169" s="9">
        <f t="shared" si="36"/>
        <v>44521</v>
      </c>
      <c r="L1169">
        <f t="shared" si="37"/>
        <v>13059</v>
      </c>
    </row>
    <row r="1170" spans="1:12">
      <c r="A1170">
        <v>746</v>
      </c>
      <c r="B1170">
        <v>667</v>
      </c>
      <c r="C1170">
        <v>7</v>
      </c>
      <c r="D1170" t="s">
        <v>2385</v>
      </c>
      <c r="E1170" s="7">
        <v>6816.96</v>
      </c>
      <c r="F1170" s="7">
        <v>13.58</v>
      </c>
      <c r="G1170">
        <v>16</v>
      </c>
      <c r="H1170" t="s">
        <v>1490</v>
      </c>
      <c r="I1170" t="s">
        <v>2377</v>
      </c>
      <c r="J1170">
        <v>52</v>
      </c>
      <c r="K1170" s="9">
        <f t="shared" si="36"/>
        <v>43947</v>
      </c>
      <c r="L1170">
        <f t="shared" si="37"/>
        <v>681696</v>
      </c>
    </row>
    <row r="1171" spans="1:12">
      <c r="A1171">
        <v>747</v>
      </c>
      <c r="B1171">
        <v>299</v>
      </c>
      <c r="C1171">
        <v>7</v>
      </c>
      <c r="D1171" t="s">
        <v>2376</v>
      </c>
      <c r="E1171" s="7">
        <v>50832.71</v>
      </c>
      <c r="F1171" s="7">
        <v>6.82</v>
      </c>
      <c r="G1171">
        <v>113</v>
      </c>
      <c r="H1171" t="s">
        <v>2762</v>
      </c>
      <c r="I1171" t="s">
        <v>2383</v>
      </c>
      <c r="J1171">
        <v>0</v>
      </c>
      <c r="K1171" s="9">
        <f t="shared" si="36"/>
        <v>45676</v>
      </c>
      <c r="L1171">
        <f t="shared" si="37"/>
        <v>5083271</v>
      </c>
    </row>
    <row r="1172" spans="1:12">
      <c r="A1172">
        <v>748</v>
      </c>
      <c r="B1172">
        <v>404</v>
      </c>
      <c r="C1172">
        <v>3</v>
      </c>
      <c r="D1172" t="s">
        <v>2390</v>
      </c>
      <c r="E1172" s="7">
        <v>18616.01</v>
      </c>
      <c r="F1172" s="7">
        <v>20.41</v>
      </c>
      <c r="G1172">
        <v>38</v>
      </c>
      <c r="H1172" t="s">
        <v>2984</v>
      </c>
      <c r="I1172" t="s">
        <v>2377</v>
      </c>
      <c r="J1172">
        <v>42</v>
      </c>
      <c r="K1172" s="9">
        <f t="shared" si="36"/>
        <v>44713</v>
      </c>
      <c r="L1172">
        <f t="shared" si="37"/>
        <v>1861601</v>
      </c>
    </row>
    <row r="1173" spans="1:12">
      <c r="A1173">
        <v>749</v>
      </c>
      <c r="B1173">
        <v>563</v>
      </c>
      <c r="C1173">
        <v>1</v>
      </c>
      <c r="D1173" t="s">
        <v>2379</v>
      </c>
      <c r="E1173" s="7">
        <v>8614.91</v>
      </c>
      <c r="F1173" s="7">
        <v>10.41</v>
      </c>
      <c r="G1173">
        <v>20</v>
      </c>
      <c r="H1173" t="s">
        <v>2166</v>
      </c>
      <c r="I1173" t="s">
        <v>2377</v>
      </c>
      <c r="J1173">
        <v>0</v>
      </c>
      <c r="K1173" s="9">
        <f t="shared" si="36"/>
        <v>43856</v>
      </c>
      <c r="L1173">
        <f t="shared" si="37"/>
        <v>861491</v>
      </c>
    </row>
    <row r="1174" spans="1:12">
      <c r="A1174">
        <v>750</v>
      </c>
      <c r="B1174">
        <v>749</v>
      </c>
      <c r="C1174">
        <v>3</v>
      </c>
      <c r="D1174" t="s">
        <v>2387</v>
      </c>
      <c r="E1174" s="7">
        <v>150375.48</v>
      </c>
      <c r="F1174" s="7">
        <v>10.48</v>
      </c>
      <c r="G1174">
        <v>211</v>
      </c>
      <c r="H1174" t="s">
        <v>2985</v>
      </c>
      <c r="I1174" t="s">
        <v>2393</v>
      </c>
      <c r="J1174">
        <v>126</v>
      </c>
      <c r="K1174" s="9">
        <f t="shared" si="36"/>
        <v>45667</v>
      </c>
      <c r="L1174">
        <f t="shared" si="37"/>
        <v>15037548</v>
      </c>
    </row>
    <row r="1175" spans="1:12">
      <c r="A1175">
        <v>751</v>
      </c>
      <c r="B1175">
        <v>468</v>
      </c>
      <c r="C1175">
        <v>7</v>
      </c>
      <c r="D1175" t="s">
        <v>2387</v>
      </c>
      <c r="E1175" s="7">
        <v>160831.71</v>
      </c>
      <c r="F1175" s="7">
        <v>9.86</v>
      </c>
      <c r="G1175">
        <v>177</v>
      </c>
      <c r="H1175" t="s">
        <v>2851</v>
      </c>
      <c r="I1175" t="s">
        <v>2377</v>
      </c>
      <c r="J1175">
        <v>0</v>
      </c>
      <c r="K1175" s="9">
        <f t="shared" si="36"/>
        <v>45754</v>
      </c>
      <c r="L1175">
        <f t="shared" si="37"/>
        <v>16083171</v>
      </c>
    </row>
    <row r="1176" spans="1:12">
      <c r="A1176">
        <v>752</v>
      </c>
      <c r="B1176">
        <v>619</v>
      </c>
      <c r="C1176">
        <v>4</v>
      </c>
      <c r="D1176" t="s">
        <v>2390</v>
      </c>
      <c r="E1176" s="7">
        <v>38084.25</v>
      </c>
      <c r="F1176" s="7">
        <v>21.62</v>
      </c>
      <c r="G1176">
        <v>24</v>
      </c>
      <c r="H1176" t="s">
        <v>2582</v>
      </c>
      <c r="I1176" t="s">
        <v>2377</v>
      </c>
      <c r="J1176">
        <v>0</v>
      </c>
      <c r="K1176" s="9">
        <f t="shared" si="36"/>
        <v>45640</v>
      </c>
      <c r="L1176">
        <f t="shared" si="37"/>
        <v>3808425</v>
      </c>
    </row>
    <row r="1177" spans="1:12">
      <c r="A1177">
        <v>753</v>
      </c>
      <c r="B1177">
        <v>266</v>
      </c>
      <c r="C1177">
        <v>2</v>
      </c>
      <c r="D1177" t="s">
        <v>2385</v>
      </c>
      <c r="E1177" s="7">
        <v>7842.2</v>
      </c>
      <c r="F1177" s="7">
        <v>12.54</v>
      </c>
      <c r="G1177">
        <v>17</v>
      </c>
      <c r="H1177" t="s">
        <v>2065</v>
      </c>
      <c r="I1177" t="s">
        <v>2393</v>
      </c>
      <c r="J1177">
        <v>102</v>
      </c>
      <c r="K1177" s="9">
        <f t="shared" si="36"/>
        <v>45217</v>
      </c>
      <c r="L1177">
        <f t="shared" si="37"/>
        <v>78422</v>
      </c>
    </row>
    <row r="1178" spans="1:12">
      <c r="A1178">
        <v>754</v>
      </c>
      <c r="B1178">
        <v>988</v>
      </c>
      <c r="C1178">
        <v>2</v>
      </c>
      <c r="D1178" t="s">
        <v>2385</v>
      </c>
      <c r="E1178" s="7">
        <v>3545.48</v>
      </c>
      <c r="F1178" s="7">
        <v>19.18</v>
      </c>
      <c r="G1178">
        <v>18</v>
      </c>
      <c r="H1178" t="s">
        <v>2699</v>
      </c>
      <c r="I1178" t="s">
        <v>2377</v>
      </c>
      <c r="J1178">
        <v>0</v>
      </c>
      <c r="K1178" s="9">
        <f t="shared" si="36"/>
        <v>45428</v>
      </c>
      <c r="L1178">
        <f t="shared" si="37"/>
        <v>354548</v>
      </c>
    </row>
    <row r="1179" spans="1:12">
      <c r="A1179">
        <v>755</v>
      </c>
      <c r="B1179">
        <v>479</v>
      </c>
      <c r="C1179">
        <v>2</v>
      </c>
      <c r="D1179" t="s">
        <v>2385</v>
      </c>
      <c r="E1179" s="7">
        <v>1899.7</v>
      </c>
      <c r="F1179" s="7">
        <v>15.07</v>
      </c>
      <c r="G1179">
        <v>27</v>
      </c>
      <c r="H1179" t="s">
        <v>2623</v>
      </c>
      <c r="I1179" t="s">
        <v>2377</v>
      </c>
      <c r="J1179">
        <v>0</v>
      </c>
      <c r="K1179" s="9">
        <f t="shared" si="36"/>
        <v>44292</v>
      </c>
      <c r="L1179">
        <f t="shared" si="37"/>
        <v>18997</v>
      </c>
    </row>
    <row r="1180" spans="1:12">
      <c r="A1180">
        <v>756</v>
      </c>
      <c r="B1180">
        <v>996</v>
      </c>
      <c r="C1180">
        <v>7</v>
      </c>
      <c r="D1180" t="s">
        <v>2379</v>
      </c>
      <c r="E1180" s="7">
        <v>4872.53</v>
      </c>
      <c r="F1180" s="7">
        <v>20.54</v>
      </c>
      <c r="G1180">
        <v>21</v>
      </c>
      <c r="H1180" t="s">
        <v>2986</v>
      </c>
      <c r="I1180" t="s">
        <v>2393</v>
      </c>
      <c r="J1180">
        <v>93</v>
      </c>
      <c r="K1180" s="9">
        <f t="shared" si="36"/>
        <v>45466</v>
      </c>
      <c r="L1180">
        <f t="shared" si="37"/>
        <v>487253</v>
      </c>
    </row>
    <row r="1181" spans="1:12">
      <c r="A1181">
        <v>757</v>
      </c>
      <c r="B1181">
        <v>44</v>
      </c>
      <c r="C1181">
        <v>5</v>
      </c>
      <c r="D1181" t="s">
        <v>2390</v>
      </c>
      <c r="E1181" s="7">
        <v>32181.92</v>
      </c>
      <c r="F1181" s="7">
        <v>15.29</v>
      </c>
      <c r="G1181">
        <v>69</v>
      </c>
      <c r="H1181" t="s">
        <v>1346</v>
      </c>
      <c r="I1181" t="s">
        <v>2377</v>
      </c>
      <c r="J1181">
        <v>0</v>
      </c>
      <c r="K1181" s="9">
        <f t="shared" si="36"/>
        <v>45600</v>
      </c>
      <c r="L1181">
        <f t="shared" si="37"/>
        <v>3218192</v>
      </c>
    </row>
    <row r="1182" spans="1:12">
      <c r="A1182">
        <v>758</v>
      </c>
      <c r="B1182">
        <v>53</v>
      </c>
      <c r="C1182">
        <v>2</v>
      </c>
      <c r="D1182" t="s">
        <v>2387</v>
      </c>
      <c r="E1182" s="7">
        <v>150493.28</v>
      </c>
      <c r="F1182" s="7">
        <v>17.82</v>
      </c>
      <c r="G1182">
        <v>148</v>
      </c>
      <c r="H1182" t="s">
        <v>2987</v>
      </c>
      <c r="I1182" t="s">
        <v>2377</v>
      </c>
      <c r="J1182">
        <v>33</v>
      </c>
      <c r="K1182" s="9">
        <f t="shared" si="36"/>
        <v>45359</v>
      </c>
      <c r="L1182">
        <f t="shared" si="37"/>
        <v>15049328</v>
      </c>
    </row>
    <row r="1183" spans="1:12">
      <c r="A1183">
        <v>759</v>
      </c>
      <c r="B1183">
        <v>88</v>
      </c>
      <c r="C1183">
        <v>2</v>
      </c>
      <c r="D1183" t="s">
        <v>2376</v>
      </c>
      <c r="E1183" s="7">
        <v>94114.46</v>
      </c>
      <c r="F1183" s="7">
        <v>12.51</v>
      </c>
      <c r="G1183">
        <v>26</v>
      </c>
      <c r="H1183" t="s">
        <v>2875</v>
      </c>
      <c r="I1183" t="s">
        <v>2377</v>
      </c>
      <c r="J1183">
        <v>0</v>
      </c>
      <c r="K1183" s="9">
        <f t="shared" si="36"/>
        <v>45257</v>
      </c>
      <c r="L1183">
        <f t="shared" si="37"/>
        <v>9411446</v>
      </c>
    </row>
    <row r="1184" spans="1:12">
      <c r="A1184">
        <v>760</v>
      </c>
      <c r="B1184">
        <v>50</v>
      </c>
      <c r="C1184">
        <v>5</v>
      </c>
      <c r="D1184" t="s">
        <v>2379</v>
      </c>
      <c r="E1184" s="7">
        <v>6005.53</v>
      </c>
      <c r="F1184" s="7">
        <v>19.9</v>
      </c>
      <c r="G1184">
        <v>33</v>
      </c>
      <c r="H1184" t="s">
        <v>2617</v>
      </c>
      <c r="I1184" t="s">
        <v>2377</v>
      </c>
      <c r="J1184">
        <v>0</v>
      </c>
      <c r="K1184" s="9">
        <f t="shared" si="36"/>
        <v>43951</v>
      </c>
      <c r="L1184">
        <f t="shared" si="37"/>
        <v>600553</v>
      </c>
    </row>
    <row r="1185" spans="1:12">
      <c r="A1185">
        <v>761</v>
      </c>
      <c r="B1185">
        <v>77</v>
      </c>
      <c r="C1185">
        <v>6</v>
      </c>
      <c r="D1185" t="s">
        <v>2387</v>
      </c>
      <c r="E1185" s="7">
        <v>115887.17</v>
      </c>
      <c r="F1185" s="7">
        <v>17.14</v>
      </c>
      <c r="G1185">
        <v>282</v>
      </c>
      <c r="H1185" t="s">
        <v>2709</v>
      </c>
      <c r="I1185" t="s">
        <v>2377</v>
      </c>
      <c r="J1185">
        <v>72</v>
      </c>
      <c r="K1185" s="9">
        <f t="shared" si="36"/>
        <v>44274</v>
      </c>
      <c r="L1185">
        <f t="shared" si="37"/>
        <v>11588717</v>
      </c>
    </row>
    <row r="1186" spans="1:12">
      <c r="A1186">
        <v>762</v>
      </c>
      <c r="B1186">
        <v>845</v>
      </c>
      <c r="C1186">
        <v>5</v>
      </c>
      <c r="D1186" t="s">
        <v>2390</v>
      </c>
      <c r="E1186" s="7">
        <v>39726.64</v>
      </c>
      <c r="F1186" s="7">
        <v>9.73</v>
      </c>
      <c r="G1186">
        <v>78</v>
      </c>
      <c r="H1186" t="s">
        <v>2126</v>
      </c>
      <c r="I1186" t="s">
        <v>2377</v>
      </c>
      <c r="J1186">
        <v>77</v>
      </c>
      <c r="K1186" s="9">
        <f t="shared" si="36"/>
        <v>44566</v>
      </c>
      <c r="L1186">
        <f t="shared" si="37"/>
        <v>3972664</v>
      </c>
    </row>
    <row r="1187" spans="1:12">
      <c r="A1187">
        <v>763</v>
      </c>
      <c r="B1187">
        <v>46</v>
      </c>
      <c r="C1187">
        <v>5</v>
      </c>
      <c r="D1187" t="s">
        <v>2390</v>
      </c>
      <c r="E1187" s="7">
        <v>27837.96</v>
      </c>
      <c r="F1187" s="7">
        <v>11.92</v>
      </c>
      <c r="G1187">
        <v>40</v>
      </c>
      <c r="H1187" t="s">
        <v>2988</v>
      </c>
      <c r="I1187" t="s">
        <v>2377</v>
      </c>
      <c r="J1187">
        <v>10</v>
      </c>
      <c r="K1187" s="9">
        <f t="shared" si="36"/>
        <v>44817</v>
      </c>
      <c r="L1187">
        <f t="shared" si="37"/>
        <v>2783796</v>
      </c>
    </row>
    <row r="1188" spans="1:12">
      <c r="A1188">
        <v>764</v>
      </c>
      <c r="B1188">
        <v>758</v>
      </c>
      <c r="C1188">
        <v>7</v>
      </c>
      <c r="D1188" t="s">
        <v>2390</v>
      </c>
      <c r="E1188" s="7">
        <v>23577.4</v>
      </c>
      <c r="F1188" s="7">
        <v>7.31</v>
      </c>
      <c r="G1188">
        <v>48</v>
      </c>
      <c r="H1188" t="s">
        <v>2989</v>
      </c>
      <c r="I1188" t="s">
        <v>2377</v>
      </c>
      <c r="J1188">
        <v>0</v>
      </c>
      <c r="K1188" s="9">
        <f t="shared" si="36"/>
        <v>45567</v>
      </c>
      <c r="L1188">
        <f t="shared" si="37"/>
        <v>235774</v>
      </c>
    </row>
    <row r="1189" spans="1:12">
      <c r="A1189">
        <v>765</v>
      </c>
      <c r="B1189">
        <v>476</v>
      </c>
      <c r="C1189">
        <v>2</v>
      </c>
      <c r="D1189" t="s">
        <v>2376</v>
      </c>
      <c r="E1189" s="7">
        <v>101634.28</v>
      </c>
      <c r="F1189" s="7">
        <v>20.38</v>
      </c>
      <c r="G1189">
        <v>55</v>
      </c>
      <c r="H1189" t="s">
        <v>2865</v>
      </c>
      <c r="I1189" t="s">
        <v>2393</v>
      </c>
      <c r="J1189">
        <v>123</v>
      </c>
      <c r="K1189" s="9">
        <f t="shared" si="36"/>
        <v>44991</v>
      </c>
      <c r="L1189">
        <f t="shared" si="37"/>
        <v>10163428</v>
      </c>
    </row>
    <row r="1190" spans="1:12">
      <c r="A1190">
        <v>766</v>
      </c>
      <c r="B1190">
        <v>349</v>
      </c>
      <c r="C1190">
        <v>6</v>
      </c>
      <c r="D1190" t="s">
        <v>2385</v>
      </c>
      <c r="E1190" s="7">
        <v>6454.28</v>
      </c>
      <c r="F1190" s="7">
        <v>6.01</v>
      </c>
      <c r="G1190">
        <v>34</v>
      </c>
      <c r="H1190" t="s">
        <v>2990</v>
      </c>
      <c r="I1190" t="s">
        <v>2377</v>
      </c>
      <c r="J1190">
        <v>0</v>
      </c>
      <c r="K1190" s="9">
        <f t="shared" si="36"/>
        <v>44912</v>
      </c>
      <c r="L1190">
        <f t="shared" si="37"/>
        <v>645428</v>
      </c>
    </row>
    <row r="1191" spans="1:12">
      <c r="A1191">
        <v>767</v>
      </c>
      <c r="B1191">
        <v>497</v>
      </c>
      <c r="C1191">
        <v>6</v>
      </c>
      <c r="D1191" t="s">
        <v>2390</v>
      </c>
      <c r="E1191" s="7">
        <v>22040.05</v>
      </c>
      <c r="F1191" s="7">
        <v>13.58</v>
      </c>
      <c r="G1191">
        <v>74</v>
      </c>
      <c r="H1191" t="s">
        <v>1965</v>
      </c>
      <c r="I1191" t="s">
        <v>2377</v>
      </c>
      <c r="J1191">
        <v>0</v>
      </c>
      <c r="K1191" s="9">
        <f t="shared" si="36"/>
        <v>44470</v>
      </c>
      <c r="L1191">
        <f t="shared" si="37"/>
        <v>2204005</v>
      </c>
    </row>
    <row r="1192" spans="1:12">
      <c r="A1192">
        <v>768</v>
      </c>
      <c r="B1192">
        <v>953</v>
      </c>
      <c r="C1192">
        <v>7</v>
      </c>
      <c r="D1192" t="s">
        <v>2376</v>
      </c>
      <c r="E1192" s="7">
        <v>141204.95</v>
      </c>
      <c r="F1192" s="7">
        <v>16.6</v>
      </c>
      <c r="G1192">
        <v>30</v>
      </c>
      <c r="H1192" t="s">
        <v>2991</v>
      </c>
      <c r="I1192" t="s">
        <v>2383</v>
      </c>
      <c r="J1192">
        <v>0</v>
      </c>
      <c r="K1192" s="9">
        <f t="shared" si="36"/>
        <v>44641</v>
      </c>
      <c r="L1192">
        <f t="shared" si="37"/>
        <v>14120495</v>
      </c>
    </row>
    <row r="1193" spans="1:12">
      <c r="A1193">
        <v>769</v>
      </c>
      <c r="B1193">
        <v>467</v>
      </c>
      <c r="C1193">
        <v>1</v>
      </c>
      <c r="D1193" t="s">
        <v>2376</v>
      </c>
      <c r="E1193" s="7">
        <v>137799.35</v>
      </c>
      <c r="F1193" s="7">
        <v>13.1</v>
      </c>
      <c r="G1193">
        <v>95</v>
      </c>
      <c r="H1193" t="s">
        <v>2992</v>
      </c>
      <c r="I1193" t="s">
        <v>2383</v>
      </c>
      <c r="J1193">
        <v>0</v>
      </c>
      <c r="K1193" s="9">
        <f t="shared" si="36"/>
        <v>45011</v>
      </c>
      <c r="L1193">
        <f t="shared" si="37"/>
        <v>13779935</v>
      </c>
    </row>
    <row r="1194" spans="1:12">
      <c r="A1194">
        <v>770</v>
      </c>
      <c r="B1194">
        <v>169</v>
      </c>
      <c r="C1194">
        <v>2</v>
      </c>
      <c r="D1194" t="s">
        <v>2379</v>
      </c>
      <c r="E1194" s="7">
        <v>9519.45</v>
      </c>
      <c r="F1194" s="7">
        <v>10.82</v>
      </c>
      <c r="G1194">
        <v>54</v>
      </c>
      <c r="H1194" t="s">
        <v>2993</v>
      </c>
      <c r="I1194" t="s">
        <v>2393</v>
      </c>
      <c r="J1194">
        <v>234</v>
      </c>
      <c r="K1194" s="9">
        <f t="shared" si="36"/>
        <v>44937</v>
      </c>
      <c r="L1194">
        <f t="shared" si="37"/>
        <v>951945</v>
      </c>
    </row>
    <row r="1195" spans="1:12">
      <c r="A1195">
        <v>771</v>
      </c>
      <c r="B1195">
        <v>872</v>
      </c>
      <c r="C1195">
        <v>1</v>
      </c>
      <c r="D1195" t="s">
        <v>2390</v>
      </c>
      <c r="E1195" s="7">
        <v>26346.69</v>
      </c>
      <c r="F1195" s="7">
        <v>9.1</v>
      </c>
      <c r="G1195">
        <v>79</v>
      </c>
      <c r="H1195" t="s">
        <v>2994</v>
      </c>
      <c r="I1195" t="s">
        <v>2377</v>
      </c>
      <c r="J1195">
        <v>77</v>
      </c>
      <c r="K1195" s="9">
        <f t="shared" si="36"/>
        <v>45116</v>
      </c>
      <c r="L1195">
        <f t="shared" si="37"/>
        <v>2634669</v>
      </c>
    </row>
    <row r="1196" spans="1:12">
      <c r="A1196">
        <v>772</v>
      </c>
      <c r="B1196">
        <v>429</v>
      </c>
      <c r="C1196">
        <v>5</v>
      </c>
      <c r="D1196" t="s">
        <v>2379</v>
      </c>
      <c r="E1196" s="7">
        <v>8844.23</v>
      </c>
      <c r="F1196" s="7">
        <v>14.98</v>
      </c>
      <c r="G1196">
        <v>37</v>
      </c>
      <c r="H1196" t="s">
        <v>2465</v>
      </c>
      <c r="I1196" t="s">
        <v>2377</v>
      </c>
      <c r="J1196">
        <v>0</v>
      </c>
      <c r="K1196" s="9">
        <f t="shared" si="36"/>
        <v>45801</v>
      </c>
      <c r="L1196">
        <f t="shared" si="37"/>
        <v>884423</v>
      </c>
    </row>
    <row r="1197" spans="1:12">
      <c r="A1197">
        <v>773</v>
      </c>
      <c r="B1197">
        <v>77</v>
      </c>
      <c r="C1197">
        <v>6</v>
      </c>
      <c r="D1197" t="s">
        <v>2385</v>
      </c>
      <c r="E1197" s="7">
        <v>4291.67</v>
      </c>
      <c r="F1197" s="7">
        <v>16.01</v>
      </c>
      <c r="G1197">
        <v>18</v>
      </c>
      <c r="H1197" t="s">
        <v>2995</v>
      </c>
      <c r="I1197" t="s">
        <v>2377</v>
      </c>
      <c r="J1197">
        <v>0</v>
      </c>
      <c r="K1197" s="9">
        <f t="shared" si="36"/>
        <v>44476</v>
      </c>
      <c r="L1197">
        <f t="shared" si="37"/>
        <v>429167</v>
      </c>
    </row>
    <row r="1198" spans="1:12">
      <c r="A1198">
        <v>774</v>
      </c>
      <c r="B1198">
        <v>106</v>
      </c>
      <c r="C1198">
        <v>5</v>
      </c>
      <c r="D1198" t="s">
        <v>2390</v>
      </c>
      <c r="E1198" s="7">
        <v>32991.22</v>
      </c>
      <c r="F1198" s="7">
        <v>13.02</v>
      </c>
      <c r="G1198">
        <v>47</v>
      </c>
      <c r="H1198" t="s">
        <v>2749</v>
      </c>
      <c r="I1198" t="s">
        <v>2377</v>
      </c>
      <c r="J1198">
        <v>0</v>
      </c>
      <c r="K1198" s="9">
        <f t="shared" si="36"/>
        <v>45526</v>
      </c>
      <c r="L1198">
        <f t="shared" si="37"/>
        <v>3299122</v>
      </c>
    </row>
    <row r="1199" spans="1:12">
      <c r="A1199">
        <v>775</v>
      </c>
      <c r="B1199">
        <v>527</v>
      </c>
      <c r="C1199">
        <v>1</v>
      </c>
      <c r="D1199" t="s">
        <v>2379</v>
      </c>
      <c r="E1199" s="7">
        <v>3428.45</v>
      </c>
      <c r="F1199" s="7">
        <v>19.72</v>
      </c>
      <c r="G1199">
        <v>49</v>
      </c>
      <c r="H1199" t="s">
        <v>2996</v>
      </c>
      <c r="I1199" t="s">
        <v>2377</v>
      </c>
      <c r="J1199">
        <v>0</v>
      </c>
      <c r="K1199" s="9">
        <f t="shared" si="36"/>
        <v>44858</v>
      </c>
      <c r="L1199">
        <f t="shared" si="37"/>
        <v>342845</v>
      </c>
    </row>
    <row r="1200" spans="1:12">
      <c r="A1200">
        <v>776</v>
      </c>
      <c r="B1200">
        <v>258</v>
      </c>
      <c r="C1200">
        <v>5</v>
      </c>
      <c r="D1200" t="s">
        <v>2379</v>
      </c>
      <c r="E1200" s="7">
        <v>5893.16</v>
      </c>
      <c r="F1200" s="7">
        <v>14.68</v>
      </c>
      <c r="G1200">
        <v>9</v>
      </c>
      <c r="H1200" t="s">
        <v>1596</v>
      </c>
      <c r="I1200" t="s">
        <v>2383</v>
      </c>
      <c r="J1200">
        <v>0</v>
      </c>
      <c r="K1200" s="9">
        <f t="shared" si="36"/>
        <v>44787</v>
      </c>
      <c r="L1200">
        <f t="shared" si="37"/>
        <v>589316</v>
      </c>
    </row>
    <row r="1201" spans="1:12">
      <c r="A1201">
        <v>777</v>
      </c>
      <c r="B1201">
        <v>681</v>
      </c>
      <c r="C1201">
        <v>4</v>
      </c>
      <c r="D1201" t="s">
        <v>2379</v>
      </c>
      <c r="E1201" s="7">
        <v>5198.11</v>
      </c>
      <c r="F1201" s="7">
        <v>8.37</v>
      </c>
      <c r="G1201">
        <v>46</v>
      </c>
      <c r="H1201" t="s">
        <v>2457</v>
      </c>
      <c r="I1201" t="s">
        <v>2377</v>
      </c>
      <c r="J1201">
        <v>0</v>
      </c>
      <c r="K1201" s="9">
        <f t="shared" si="36"/>
        <v>44410</v>
      </c>
      <c r="L1201">
        <f t="shared" si="37"/>
        <v>519811</v>
      </c>
    </row>
    <row r="1202" spans="1:12">
      <c r="A1202">
        <v>778</v>
      </c>
      <c r="B1202">
        <v>360</v>
      </c>
      <c r="C1202">
        <v>3</v>
      </c>
      <c r="D1202" t="s">
        <v>2376</v>
      </c>
      <c r="E1202" s="7">
        <v>111847.73</v>
      </c>
      <c r="F1202" s="7">
        <v>6.9</v>
      </c>
      <c r="G1202">
        <v>80</v>
      </c>
      <c r="H1202" t="s">
        <v>1790</v>
      </c>
      <c r="I1202" t="s">
        <v>2377</v>
      </c>
      <c r="J1202">
        <v>0</v>
      </c>
      <c r="K1202" s="9">
        <f t="shared" si="36"/>
        <v>43888</v>
      </c>
      <c r="L1202">
        <f t="shared" si="37"/>
        <v>11184773</v>
      </c>
    </row>
    <row r="1203" spans="1:12">
      <c r="A1203">
        <v>779</v>
      </c>
      <c r="B1203">
        <v>955</v>
      </c>
      <c r="C1203">
        <v>5</v>
      </c>
      <c r="D1203" t="s">
        <v>2387</v>
      </c>
      <c r="E1203" s="7">
        <v>160064.43</v>
      </c>
      <c r="F1203" s="7">
        <v>12.7</v>
      </c>
      <c r="G1203">
        <v>213</v>
      </c>
      <c r="H1203" t="s">
        <v>590</v>
      </c>
      <c r="I1203" t="s">
        <v>2377</v>
      </c>
      <c r="J1203">
        <v>0</v>
      </c>
      <c r="K1203" s="9">
        <f t="shared" si="36"/>
        <v>44821</v>
      </c>
      <c r="L1203">
        <f t="shared" si="37"/>
        <v>16006443</v>
      </c>
    </row>
    <row r="1204" spans="1:12">
      <c r="A1204">
        <v>780</v>
      </c>
      <c r="B1204">
        <v>334</v>
      </c>
      <c r="C1204">
        <v>7</v>
      </c>
      <c r="D1204" t="s">
        <v>2390</v>
      </c>
      <c r="E1204" s="7">
        <v>31956.31</v>
      </c>
      <c r="F1204" s="7">
        <v>8.69</v>
      </c>
      <c r="G1204">
        <v>52</v>
      </c>
      <c r="H1204" t="s">
        <v>2997</v>
      </c>
      <c r="I1204" t="s">
        <v>2377</v>
      </c>
      <c r="J1204">
        <v>54</v>
      </c>
      <c r="K1204" s="9">
        <f t="shared" si="36"/>
        <v>45433</v>
      </c>
      <c r="L1204">
        <f t="shared" si="37"/>
        <v>3195631</v>
      </c>
    </row>
    <row r="1205" spans="1:12">
      <c r="A1205">
        <v>781</v>
      </c>
      <c r="B1205">
        <v>535</v>
      </c>
      <c r="C1205">
        <v>3</v>
      </c>
      <c r="D1205" t="s">
        <v>2379</v>
      </c>
      <c r="E1205" s="7">
        <v>9248.38</v>
      </c>
      <c r="F1205" s="7">
        <v>21.01</v>
      </c>
      <c r="G1205">
        <v>47</v>
      </c>
      <c r="H1205" t="s">
        <v>2555</v>
      </c>
      <c r="I1205" t="s">
        <v>2377</v>
      </c>
      <c r="J1205">
        <v>0</v>
      </c>
      <c r="K1205" s="9">
        <f t="shared" si="36"/>
        <v>45152</v>
      </c>
      <c r="L1205">
        <f t="shared" si="37"/>
        <v>924838</v>
      </c>
    </row>
    <row r="1206" spans="1:12">
      <c r="A1206">
        <v>782</v>
      </c>
      <c r="B1206">
        <v>340</v>
      </c>
      <c r="C1206">
        <v>2</v>
      </c>
      <c r="D1206" t="s">
        <v>2376</v>
      </c>
      <c r="E1206" s="7">
        <v>140006.63</v>
      </c>
      <c r="F1206" s="7">
        <v>5.7</v>
      </c>
      <c r="G1206">
        <v>108</v>
      </c>
      <c r="H1206" t="s">
        <v>2108</v>
      </c>
      <c r="I1206" t="s">
        <v>2383</v>
      </c>
      <c r="J1206">
        <v>0</v>
      </c>
      <c r="K1206" s="9">
        <f t="shared" si="36"/>
        <v>44230</v>
      </c>
      <c r="L1206">
        <f t="shared" si="37"/>
        <v>14000663</v>
      </c>
    </row>
    <row r="1207" spans="1:12">
      <c r="A1207">
        <v>783</v>
      </c>
      <c r="B1207">
        <v>420</v>
      </c>
      <c r="C1207">
        <v>4</v>
      </c>
      <c r="D1207" t="s">
        <v>2390</v>
      </c>
      <c r="E1207" s="7">
        <v>31613.06</v>
      </c>
      <c r="F1207" s="7">
        <v>6.07</v>
      </c>
      <c r="G1207">
        <v>54</v>
      </c>
      <c r="H1207" t="s">
        <v>2656</v>
      </c>
      <c r="I1207" t="s">
        <v>2377</v>
      </c>
      <c r="J1207">
        <v>77</v>
      </c>
      <c r="K1207" s="9">
        <f t="shared" si="36"/>
        <v>45465</v>
      </c>
      <c r="L1207">
        <f t="shared" si="37"/>
        <v>3161306</v>
      </c>
    </row>
    <row r="1208" spans="1:12">
      <c r="A1208">
        <v>784</v>
      </c>
      <c r="B1208">
        <v>49</v>
      </c>
      <c r="C1208">
        <v>6</v>
      </c>
      <c r="D1208" t="s">
        <v>2390</v>
      </c>
      <c r="E1208" s="7">
        <v>21291.32</v>
      </c>
      <c r="F1208" s="7">
        <v>12.24</v>
      </c>
      <c r="G1208">
        <v>29</v>
      </c>
      <c r="H1208" t="s">
        <v>2657</v>
      </c>
      <c r="I1208" t="s">
        <v>2393</v>
      </c>
      <c r="J1208">
        <v>184</v>
      </c>
      <c r="K1208" s="9">
        <f t="shared" si="36"/>
        <v>44399</v>
      </c>
      <c r="L1208">
        <f t="shared" si="37"/>
        <v>2129132</v>
      </c>
    </row>
    <row r="1209" spans="1:12">
      <c r="A1209">
        <v>785</v>
      </c>
      <c r="B1209">
        <v>242</v>
      </c>
      <c r="C1209">
        <v>4</v>
      </c>
      <c r="D1209" t="s">
        <v>2390</v>
      </c>
      <c r="E1209" s="7">
        <v>35909.38</v>
      </c>
      <c r="F1209" s="7">
        <v>8.19</v>
      </c>
      <c r="G1209">
        <v>82</v>
      </c>
      <c r="H1209" t="s">
        <v>2543</v>
      </c>
      <c r="I1209" t="s">
        <v>2377</v>
      </c>
      <c r="J1209">
        <v>0</v>
      </c>
      <c r="K1209" s="9">
        <f t="shared" si="36"/>
        <v>45043</v>
      </c>
      <c r="L1209">
        <f t="shared" si="37"/>
        <v>3590938</v>
      </c>
    </row>
    <row r="1210" spans="1:12">
      <c r="A1210">
        <v>786</v>
      </c>
      <c r="B1210">
        <v>540</v>
      </c>
      <c r="C1210">
        <v>4</v>
      </c>
      <c r="D1210" t="s">
        <v>2390</v>
      </c>
      <c r="E1210" s="7">
        <v>19119.6</v>
      </c>
      <c r="F1210" s="7">
        <v>14.13</v>
      </c>
      <c r="G1210">
        <v>56</v>
      </c>
      <c r="H1210" t="s">
        <v>2998</v>
      </c>
      <c r="I1210" t="s">
        <v>2383</v>
      </c>
      <c r="J1210">
        <v>0</v>
      </c>
      <c r="K1210" s="9">
        <f t="shared" si="36"/>
        <v>44503</v>
      </c>
      <c r="L1210">
        <f t="shared" si="37"/>
        <v>191196</v>
      </c>
    </row>
    <row r="1211" spans="1:12">
      <c r="A1211">
        <v>787</v>
      </c>
      <c r="B1211">
        <v>562</v>
      </c>
      <c r="C1211">
        <v>1</v>
      </c>
      <c r="D1211" t="s">
        <v>2379</v>
      </c>
      <c r="E1211" s="7">
        <v>14877.8</v>
      </c>
      <c r="F1211" s="7">
        <v>15.41</v>
      </c>
      <c r="G1211">
        <v>21</v>
      </c>
      <c r="H1211" t="s">
        <v>2425</v>
      </c>
      <c r="I1211" t="s">
        <v>2377</v>
      </c>
      <c r="J1211">
        <v>0</v>
      </c>
      <c r="K1211" s="9">
        <f t="shared" si="36"/>
        <v>44977</v>
      </c>
      <c r="L1211">
        <f t="shared" si="37"/>
        <v>148778</v>
      </c>
    </row>
    <row r="1212" spans="1:12">
      <c r="A1212">
        <v>788</v>
      </c>
      <c r="B1212">
        <v>584</v>
      </c>
      <c r="C1212">
        <v>1</v>
      </c>
      <c r="D1212" t="s">
        <v>2376</v>
      </c>
      <c r="E1212" s="7">
        <v>20588.13</v>
      </c>
      <c r="F1212" s="7">
        <v>11.25</v>
      </c>
      <c r="G1212">
        <v>103</v>
      </c>
      <c r="H1212" t="s">
        <v>2735</v>
      </c>
      <c r="I1212" t="s">
        <v>2377</v>
      </c>
      <c r="J1212">
        <v>0</v>
      </c>
      <c r="K1212" s="9">
        <f t="shared" si="36"/>
        <v>45720</v>
      </c>
      <c r="L1212">
        <f t="shared" si="37"/>
        <v>2058813</v>
      </c>
    </row>
    <row r="1213" spans="1:12">
      <c r="A1213">
        <v>789</v>
      </c>
      <c r="B1213">
        <v>581</v>
      </c>
      <c r="C1213">
        <v>6</v>
      </c>
      <c r="D1213" t="s">
        <v>2387</v>
      </c>
      <c r="E1213" s="7">
        <v>169294.43</v>
      </c>
      <c r="F1213" s="7">
        <v>8.89</v>
      </c>
      <c r="G1213">
        <v>327</v>
      </c>
      <c r="H1213" t="s">
        <v>2561</v>
      </c>
      <c r="I1213" t="s">
        <v>2377</v>
      </c>
      <c r="J1213">
        <v>0</v>
      </c>
      <c r="K1213" s="9">
        <f t="shared" si="36"/>
        <v>45443</v>
      </c>
      <c r="L1213">
        <f t="shared" si="37"/>
        <v>16929443</v>
      </c>
    </row>
    <row r="1214" spans="1:12">
      <c r="A1214">
        <v>790</v>
      </c>
      <c r="B1214">
        <v>740</v>
      </c>
      <c r="C1214">
        <v>2</v>
      </c>
      <c r="D1214" t="s">
        <v>2387</v>
      </c>
      <c r="E1214" s="7">
        <v>179600.99</v>
      </c>
      <c r="F1214" s="7">
        <v>10.97</v>
      </c>
      <c r="G1214">
        <v>263</v>
      </c>
      <c r="H1214" t="s">
        <v>2949</v>
      </c>
      <c r="I1214" t="s">
        <v>2383</v>
      </c>
      <c r="J1214">
        <v>0</v>
      </c>
      <c r="K1214" s="9">
        <f t="shared" si="36"/>
        <v>44990</v>
      </c>
      <c r="L1214">
        <f t="shared" si="37"/>
        <v>17960099</v>
      </c>
    </row>
    <row r="1215" spans="1:12">
      <c r="A1215">
        <v>791</v>
      </c>
      <c r="B1215">
        <v>426</v>
      </c>
      <c r="C1215">
        <v>6</v>
      </c>
      <c r="D1215" t="s">
        <v>2379</v>
      </c>
      <c r="E1215" s="7">
        <v>4074.17</v>
      </c>
      <c r="F1215" s="7">
        <v>16.88</v>
      </c>
      <c r="G1215">
        <v>43</v>
      </c>
      <c r="H1215" t="s">
        <v>2999</v>
      </c>
      <c r="I1215" t="s">
        <v>2377</v>
      </c>
      <c r="J1215">
        <v>0</v>
      </c>
      <c r="K1215" s="9">
        <f t="shared" si="36"/>
        <v>45832</v>
      </c>
      <c r="L1215">
        <f t="shared" si="37"/>
        <v>407417</v>
      </c>
    </row>
    <row r="1216" spans="1:12">
      <c r="A1216">
        <v>792</v>
      </c>
      <c r="B1216">
        <v>927</v>
      </c>
      <c r="C1216">
        <v>6</v>
      </c>
      <c r="D1216" t="s">
        <v>2387</v>
      </c>
      <c r="E1216" s="7">
        <v>83844.06</v>
      </c>
      <c r="F1216" s="7">
        <v>10.75</v>
      </c>
      <c r="G1216">
        <v>292</v>
      </c>
      <c r="H1216" t="s">
        <v>3000</v>
      </c>
      <c r="I1216" t="s">
        <v>2377</v>
      </c>
      <c r="J1216">
        <v>0</v>
      </c>
      <c r="K1216" s="9">
        <f t="shared" si="36"/>
        <v>44089</v>
      </c>
      <c r="L1216">
        <f t="shared" si="37"/>
        <v>8384406</v>
      </c>
    </row>
    <row r="1217" spans="1:12">
      <c r="A1217">
        <v>793</v>
      </c>
      <c r="B1217">
        <v>83</v>
      </c>
      <c r="C1217">
        <v>3</v>
      </c>
      <c r="D1217" t="s">
        <v>2379</v>
      </c>
      <c r="E1217" s="7">
        <v>2495.49</v>
      </c>
      <c r="F1217" s="7">
        <v>17.99</v>
      </c>
      <c r="G1217">
        <v>17</v>
      </c>
      <c r="H1217" t="s">
        <v>3001</v>
      </c>
      <c r="I1217" t="s">
        <v>2377</v>
      </c>
      <c r="J1217">
        <v>0</v>
      </c>
      <c r="K1217" s="9">
        <f t="shared" si="36"/>
        <v>44514</v>
      </c>
      <c r="L1217">
        <f t="shared" si="37"/>
        <v>249549</v>
      </c>
    </row>
    <row r="1218" spans="1:12">
      <c r="A1218">
        <v>794</v>
      </c>
      <c r="B1218">
        <v>301</v>
      </c>
      <c r="C1218">
        <v>2</v>
      </c>
      <c r="D1218" t="s">
        <v>2379</v>
      </c>
      <c r="E1218" s="7">
        <v>12973.89</v>
      </c>
      <c r="F1218" s="7">
        <v>21.37</v>
      </c>
      <c r="G1218">
        <v>53</v>
      </c>
      <c r="H1218" t="s">
        <v>1408</v>
      </c>
      <c r="I1218" t="s">
        <v>2383</v>
      </c>
      <c r="J1218">
        <v>0</v>
      </c>
      <c r="K1218" s="9">
        <f t="shared" si="36"/>
        <v>44129</v>
      </c>
      <c r="L1218">
        <f t="shared" si="37"/>
        <v>1297389</v>
      </c>
    </row>
    <row r="1219" spans="1:12">
      <c r="A1219">
        <v>795</v>
      </c>
      <c r="B1219">
        <v>899</v>
      </c>
      <c r="C1219">
        <v>4</v>
      </c>
      <c r="D1219" t="s">
        <v>2387</v>
      </c>
      <c r="E1219" s="7">
        <v>197364.71</v>
      </c>
      <c r="F1219" s="7">
        <v>14.28</v>
      </c>
      <c r="G1219">
        <v>288</v>
      </c>
      <c r="H1219" t="s">
        <v>469</v>
      </c>
      <c r="I1219" t="s">
        <v>2377</v>
      </c>
      <c r="J1219">
        <v>0</v>
      </c>
      <c r="K1219" s="9">
        <f t="shared" ref="K1219:K1282" si="38">DATEVALUE(LEFT(H1219,10))</f>
        <v>44563</v>
      </c>
      <c r="L1219">
        <f t="shared" ref="L1219:L1282" si="39">_xlfn.NUMBERVALUE(E1219,".",",")</f>
        <v>19736471</v>
      </c>
    </row>
    <row r="1220" spans="1:12">
      <c r="A1220">
        <v>796</v>
      </c>
      <c r="B1220">
        <v>605</v>
      </c>
      <c r="C1220">
        <v>5</v>
      </c>
      <c r="D1220" t="s">
        <v>2379</v>
      </c>
      <c r="E1220" s="7">
        <v>4529.73</v>
      </c>
      <c r="F1220" s="7">
        <v>8.45</v>
      </c>
      <c r="G1220">
        <v>33</v>
      </c>
      <c r="H1220" t="s">
        <v>1865</v>
      </c>
      <c r="I1220" t="s">
        <v>2377</v>
      </c>
      <c r="J1220">
        <v>1</v>
      </c>
      <c r="K1220" s="9">
        <f t="shared" si="38"/>
        <v>44549</v>
      </c>
      <c r="L1220">
        <f t="shared" si="39"/>
        <v>452973</v>
      </c>
    </row>
    <row r="1221" spans="1:12">
      <c r="A1221">
        <v>797</v>
      </c>
      <c r="B1221">
        <v>306</v>
      </c>
      <c r="C1221">
        <v>3</v>
      </c>
      <c r="D1221" t="s">
        <v>2387</v>
      </c>
      <c r="E1221" s="7">
        <v>61447.38</v>
      </c>
      <c r="F1221" s="7">
        <v>16.75</v>
      </c>
      <c r="G1221">
        <v>206</v>
      </c>
      <c r="H1221" t="s">
        <v>1986</v>
      </c>
      <c r="I1221" t="s">
        <v>2377</v>
      </c>
      <c r="J1221">
        <v>0</v>
      </c>
      <c r="K1221" s="9">
        <f t="shared" si="38"/>
        <v>43934</v>
      </c>
      <c r="L1221">
        <f t="shared" si="39"/>
        <v>6144738</v>
      </c>
    </row>
    <row r="1222" spans="1:12">
      <c r="A1222">
        <v>798</v>
      </c>
      <c r="B1222">
        <v>72</v>
      </c>
      <c r="C1222">
        <v>2</v>
      </c>
      <c r="D1222" t="s">
        <v>2387</v>
      </c>
      <c r="E1222" s="7">
        <v>136080.9</v>
      </c>
      <c r="F1222" s="7">
        <v>7.48</v>
      </c>
      <c r="G1222">
        <v>278</v>
      </c>
      <c r="H1222" t="s">
        <v>3002</v>
      </c>
      <c r="I1222" t="s">
        <v>2377</v>
      </c>
      <c r="J1222">
        <v>87</v>
      </c>
      <c r="K1222" s="9">
        <f t="shared" si="38"/>
        <v>44174</v>
      </c>
      <c r="L1222">
        <f t="shared" si="39"/>
        <v>1360809</v>
      </c>
    </row>
    <row r="1223" spans="1:12">
      <c r="A1223">
        <v>799</v>
      </c>
      <c r="B1223">
        <v>926</v>
      </c>
      <c r="C1223">
        <v>1</v>
      </c>
      <c r="D1223" t="s">
        <v>2390</v>
      </c>
      <c r="E1223" s="7">
        <v>30500.36</v>
      </c>
      <c r="F1223" s="7">
        <v>6.32</v>
      </c>
      <c r="G1223">
        <v>48</v>
      </c>
      <c r="H1223" t="s">
        <v>2425</v>
      </c>
      <c r="I1223" t="s">
        <v>2377</v>
      </c>
      <c r="J1223">
        <v>0</v>
      </c>
      <c r="K1223" s="9">
        <f t="shared" si="38"/>
        <v>44977</v>
      </c>
      <c r="L1223">
        <f t="shared" si="39"/>
        <v>3050036</v>
      </c>
    </row>
    <row r="1224" spans="1:12">
      <c r="A1224">
        <v>800</v>
      </c>
      <c r="B1224">
        <v>622</v>
      </c>
      <c r="C1224">
        <v>2</v>
      </c>
      <c r="D1224" t="s">
        <v>2390</v>
      </c>
      <c r="E1224" s="7">
        <v>11896.31</v>
      </c>
      <c r="F1224" s="7">
        <v>14.86</v>
      </c>
      <c r="G1224">
        <v>69</v>
      </c>
      <c r="H1224" t="s">
        <v>3003</v>
      </c>
      <c r="I1224" t="s">
        <v>2377</v>
      </c>
      <c r="J1224">
        <v>0</v>
      </c>
      <c r="K1224" s="9">
        <f t="shared" si="38"/>
        <v>45195</v>
      </c>
      <c r="L1224">
        <f t="shared" si="39"/>
        <v>1189631</v>
      </c>
    </row>
    <row r="1225" spans="1:12">
      <c r="A1225">
        <v>801</v>
      </c>
      <c r="B1225">
        <v>932</v>
      </c>
      <c r="C1225">
        <v>5</v>
      </c>
      <c r="D1225" t="s">
        <v>2390</v>
      </c>
      <c r="E1225" s="7">
        <v>28939.96</v>
      </c>
      <c r="F1225" s="7">
        <v>9.6</v>
      </c>
      <c r="G1225">
        <v>36</v>
      </c>
      <c r="H1225" t="s">
        <v>3004</v>
      </c>
      <c r="I1225" t="s">
        <v>2377</v>
      </c>
      <c r="J1225">
        <v>25</v>
      </c>
      <c r="K1225" s="9">
        <f t="shared" si="38"/>
        <v>45086</v>
      </c>
      <c r="L1225">
        <f t="shared" si="39"/>
        <v>2893996</v>
      </c>
    </row>
    <row r="1226" spans="1:12">
      <c r="A1226">
        <v>802</v>
      </c>
      <c r="B1226">
        <v>208</v>
      </c>
      <c r="C1226">
        <v>7</v>
      </c>
      <c r="D1226" t="s">
        <v>2379</v>
      </c>
      <c r="E1226" s="7">
        <v>7371.95</v>
      </c>
      <c r="F1226" s="7">
        <v>16.04</v>
      </c>
      <c r="G1226">
        <v>48</v>
      </c>
      <c r="H1226" t="s">
        <v>2425</v>
      </c>
      <c r="I1226" t="s">
        <v>2377</v>
      </c>
      <c r="J1226">
        <v>0</v>
      </c>
      <c r="K1226" s="9">
        <f t="shared" si="38"/>
        <v>44977</v>
      </c>
      <c r="L1226">
        <f t="shared" si="39"/>
        <v>737195</v>
      </c>
    </row>
    <row r="1227" spans="1:12">
      <c r="A1227">
        <v>803</v>
      </c>
      <c r="B1227">
        <v>907</v>
      </c>
      <c r="C1227">
        <v>7</v>
      </c>
      <c r="D1227" t="s">
        <v>2376</v>
      </c>
      <c r="E1227" s="7">
        <v>85195.04</v>
      </c>
      <c r="F1227" s="7">
        <v>16.42</v>
      </c>
      <c r="G1227">
        <v>85</v>
      </c>
      <c r="H1227" t="s">
        <v>2799</v>
      </c>
      <c r="I1227" t="s">
        <v>2383</v>
      </c>
      <c r="J1227">
        <v>0</v>
      </c>
      <c r="K1227" s="9">
        <f t="shared" si="38"/>
        <v>44077</v>
      </c>
      <c r="L1227">
        <f t="shared" si="39"/>
        <v>8519504</v>
      </c>
    </row>
    <row r="1228" spans="1:12">
      <c r="A1228">
        <v>804</v>
      </c>
      <c r="B1228">
        <v>492</v>
      </c>
      <c r="C1228">
        <v>4</v>
      </c>
      <c r="D1228" t="s">
        <v>2379</v>
      </c>
      <c r="E1228" s="7">
        <v>7376.95</v>
      </c>
      <c r="F1228" s="7">
        <v>7.08</v>
      </c>
      <c r="G1228">
        <v>40</v>
      </c>
      <c r="H1228" t="s">
        <v>1972</v>
      </c>
      <c r="I1228" t="s">
        <v>2383</v>
      </c>
      <c r="J1228">
        <v>0</v>
      </c>
      <c r="K1228" s="9">
        <f t="shared" si="38"/>
        <v>44498</v>
      </c>
      <c r="L1228">
        <f t="shared" si="39"/>
        <v>737695</v>
      </c>
    </row>
    <row r="1229" spans="1:12">
      <c r="A1229">
        <v>805</v>
      </c>
      <c r="B1229">
        <v>7</v>
      </c>
      <c r="C1229">
        <v>7</v>
      </c>
      <c r="D1229" t="s">
        <v>2376</v>
      </c>
      <c r="E1229" s="7">
        <v>61133.46</v>
      </c>
      <c r="F1229" s="7">
        <v>12.5</v>
      </c>
      <c r="G1229">
        <v>49</v>
      </c>
      <c r="H1229" t="s">
        <v>2494</v>
      </c>
      <c r="I1229" t="s">
        <v>2377</v>
      </c>
      <c r="J1229">
        <v>18</v>
      </c>
      <c r="K1229" s="9">
        <f t="shared" si="38"/>
        <v>45767</v>
      </c>
      <c r="L1229">
        <f t="shared" si="39"/>
        <v>6113346</v>
      </c>
    </row>
    <row r="1230" spans="1:12">
      <c r="A1230">
        <v>806</v>
      </c>
      <c r="B1230">
        <v>473</v>
      </c>
      <c r="C1230">
        <v>5</v>
      </c>
      <c r="D1230" t="s">
        <v>2390</v>
      </c>
      <c r="E1230" s="7">
        <v>35777.74</v>
      </c>
      <c r="F1230" s="7">
        <v>8.75</v>
      </c>
      <c r="G1230">
        <v>76</v>
      </c>
      <c r="H1230" t="s">
        <v>3005</v>
      </c>
      <c r="I1230" t="s">
        <v>2393</v>
      </c>
      <c r="J1230">
        <v>200</v>
      </c>
      <c r="K1230" s="9">
        <f t="shared" si="38"/>
        <v>44309</v>
      </c>
      <c r="L1230">
        <f t="shared" si="39"/>
        <v>3577774</v>
      </c>
    </row>
    <row r="1231" spans="1:12">
      <c r="A1231">
        <v>807</v>
      </c>
      <c r="B1231">
        <v>322</v>
      </c>
      <c r="C1231">
        <v>4</v>
      </c>
      <c r="D1231" t="s">
        <v>2385</v>
      </c>
      <c r="E1231" s="7">
        <v>3024.87</v>
      </c>
      <c r="F1231" s="7">
        <v>10.98</v>
      </c>
      <c r="G1231">
        <v>13</v>
      </c>
      <c r="H1231" t="s">
        <v>3006</v>
      </c>
      <c r="I1231" t="s">
        <v>2377</v>
      </c>
      <c r="J1231">
        <v>0</v>
      </c>
      <c r="K1231" s="9">
        <f t="shared" si="38"/>
        <v>45293</v>
      </c>
      <c r="L1231">
        <f t="shared" si="39"/>
        <v>302487</v>
      </c>
    </row>
    <row r="1232" spans="1:12">
      <c r="A1232">
        <v>808</v>
      </c>
      <c r="B1232">
        <v>725</v>
      </c>
      <c r="C1232">
        <v>3</v>
      </c>
      <c r="D1232" t="s">
        <v>2387</v>
      </c>
      <c r="E1232" s="7">
        <v>174747.97</v>
      </c>
      <c r="F1232" s="7">
        <v>21.28</v>
      </c>
      <c r="G1232">
        <v>214</v>
      </c>
      <c r="H1232" t="s">
        <v>2501</v>
      </c>
      <c r="I1232" t="s">
        <v>2377</v>
      </c>
      <c r="J1232">
        <v>47</v>
      </c>
      <c r="K1232" s="9">
        <f t="shared" si="38"/>
        <v>45743</v>
      </c>
      <c r="L1232">
        <f t="shared" si="39"/>
        <v>17474797</v>
      </c>
    </row>
    <row r="1233" spans="1:12">
      <c r="A1233">
        <v>809</v>
      </c>
      <c r="B1233">
        <v>857</v>
      </c>
      <c r="C1233">
        <v>4</v>
      </c>
      <c r="D1233" t="s">
        <v>2385</v>
      </c>
      <c r="E1233" s="7">
        <v>7726.03</v>
      </c>
      <c r="F1233" s="7">
        <v>15.45</v>
      </c>
      <c r="G1233">
        <v>32</v>
      </c>
      <c r="H1233" t="s">
        <v>2970</v>
      </c>
      <c r="I1233" t="s">
        <v>2377</v>
      </c>
      <c r="J1233">
        <v>57</v>
      </c>
      <c r="K1233" s="9">
        <f t="shared" si="38"/>
        <v>44588</v>
      </c>
      <c r="L1233">
        <f t="shared" si="39"/>
        <v>772603</v>
      </c>
    </row>
    <row r="1234" spans="1:12">
      <c r="A1234">
        <v>810</v>
      </c>
      <c r="B1234">
        <v>376</v>
      </c>
      <c r="C1234">
        <v>2</v>
      </c>
      <c r="D1234" t="s">
        <v>2385</v>
      </c>
      <c r="E1234" s="7">
        <v>9144.4</v>
      </c>
      <c r="F1234" s="7">
        <v>8.03</v>
      </c>
      <c r="G1234">
        <v>9</v>
      </c>
      <c r="H1234" t="s">
        <v>3007</v>
      </c>
      <c r="I1234" t="s">
        <v>2377</v>
      </c>
      <c r="J1234">
        <v>0</v>
      </c>
      <c r="K1234" s="9">
        <f t="shared" si="38"/>
        <v>45463</v>
      </c>
      <c r="L1234">
        <f t="shared" si="39"/>
        <v>91444</v>
      </c>
    </row>
    <row r="1235" spans="1:12">
      <c r="A1235">
        <v>811</v>
      </c>
      <c r="B1235">
        <v>890</v>
      </c>
      <c r="C1235">
        <v>7</v>
      </c>
      <c r="D1235" t="s">
        <v>2379</v>
      </c>
      <c r="E1235" s="7">
        <v>1854.97</v>
      </c>
      <c r="F1235" s="7">
        <v>12.31</v>
      </c>
      <c r="G1235">
        <v>18</v>
      </c>
      <c r="H1235" t="s">
        <v>2787</v>
      </c>
      <c r="I1235" t="s">
        <v>2377</v>
      </c>
      <c r="J1235">
        <v>0</v>
      </c>
      <c r="K1235" s="9">
        <f t="shared" si="38"/>
        <v>44913</v>
      </c>
      <c r="L1235">
        <f t="shared" si="39"/>
        <v>185497</v>
      </c>
    </row>
    <row r="1236" spans="1:12">
      <c r="A1236">
        <v>812</v>
      </c>
      <c r="B1236">
        <v>835</v>
      </c>
      <c r="C1236">
        <v>5</v>
      </c>
      <c r="D1236" t="s">
        <v>2385</v>
      </c>
      <c r="E1236" s="7">
        <v>2276.22</v>
      </c>
      <c r="F1236" s="7">
        <v>9.9</v>
      </c>
      <c r="G1236">
        <v>9</v>
      </c>
      <c r="H1236" t="s">
        <v>2999</v>
      </c>
      <c r="I1236" t="s">
        <v>2377</v>
      </c>
      <c r="J1236">
        <v>0</v>
      </c>
      <c r="K1236" s="9">
        <f t="shared" si="38"/>
        <v>45832</v>
      </c>
      <c r="L1236">
        <f t="shared" si="39"/>
        <v>227622</v>
      </c>
    </row>
    <row r="1237" spans="1:12">
      <c r="A1237">
        <v>813</v>
      </c>
      <c r="B1237">
        <v>635</v>
      </c>
      <c r="C1237">
        <v>5</v>
      </c>
      <c r="D1237" t="s">
        <v>2387</v>
      </c>
      <c r="E1237" s="7">
        <v>177907.48</v>
      </c>
      <c r="F1237" s="7">
        <v>16.1</v>
      </c>
      <c r="G1237">
        <v>209</v>
      </c>
      <c r="H1237" t="s">
        <v>3008</v>
      </c>
      <c r="I1237" t="s">
        <v>2377</v>
      </c>
      <c r="J1237">
        <v>0</v>
      </c>
      <c r="K1237" s="9">
        <f t="shared" si="38"/>
        <v>44717</v>
      </c>
      <c r="L1237">
        <f t="shared" si="39"/>
        <v>17790748</v>
      </c>
    </row>
    <row r="1238" spans="1:12">
      <c r="A1238">
        <v>814</v>
      </c>
      <c r="B1238">
        <v>156</v>
      </c>
      <c r="C1238">
        <v>6</v>
      </c>
      <c r="D1238" t="s">
        <v>2390</v>
      </c>
      <c r="E1238" s="7">
        <v>35103.03</v>
      </c>
      <c r="F1238" s="7">
        <v>9.02</v>
      </c>
      <c r="G1238">
        <v>62</v>
      </c>
      <c r="H1238" t="s">
        <v>596</v>
      </c>
      <c r="I1238" t="s">
        <v>2383</v>
      </c>
      <c r="J1238">
        <v>0</v>
      </c>
      <c r="K1238" s="9">
        <f t="shared" si="38"/>
        <v>44033</v>
      </c>
      <c r="L1238">
        <f t="shared" si="39"/>
        <v>3510303</v>
      </c>
    </row>
    <row r="1239" spans="1:12">
      <c r="A1239">
        <v>815</v>
      </c>
      <c r="B1239">
        <v>721</v>
      </c>
      <c r="C1239">
        <v>4</v>
      </c>
      <c r="D1239" t="s">
        <v>2385</v>
      </c>
      <c r="E1239" s="7">
        <v>679.38</v>
      </c>
      <c r="F1239" s="7">
        <v>13.39</v>
      </c>
      <c r="G1239">
        <v>11</v>
      </c>
      <c r="H1239" t="s">
        <v>1014</v>
      </c>
      <c r="I1239" t="s">
        <v>2393</v>
      </c>
      <c r="J1239">
        <v>99</v>
      </c>
      <c r="K1239" s="9">
        <f t="shared" si="38"/>
        <v>45090</v>
      </c>
      <c r="L1239">
        <f t="shared" si="39"/>
        <v>67938</v>
      </c>
    </row>
    <row r="1240" spans="1:12">
      <c r="A1240">
        <v>816</v>
      </c>
      <c r="B1240">
        <v>732</v>
      </c>
      <c r="C1240">
        <v>7</v>
      </c>
      <c r="D1240" t="s">
        <v>2379</v>
      </c>
      <c r="E1240" s="7">
        <v>1986.33</v>
      </c>
      <c r="F1240" s="7">
        <v>16.31</v>
      </c>
      <c r="G1240">
        <v>44</v>
      </c>
      <c r="H1240" t="s">
        <v>2754</v>
      </c>
      <c r="I1240" t="s">
        <v>2377</v>
      </c>
      <c r="J1240">
        <v>0</v>
      </c>
      <c r="K1240" s="9">
        <f t="shared" si="38"/>
        <v>44332</v>
      </c>
      <c r="L1240">
        <f t="shared" si="39"/>
        <v>198633</v>
      </c>
    </row>
    <row r="1241" spans="1:12">
      <c r="A1241">
        <v>817</v>
      </c>
      <c r="B1241">
        <v>10</v>
      </c>
      <c r="C1241">
        <v>7</v>
      </c>
      <c r="D1241" t="s">
        <v>2387</v>
      </c>
      <c r="E1241" s="7">
        <v>164397.95</v>
      </c>
      <c r="F1241" s="7">
        <v>19.13</v>
      </c>
      <c r="G1241">
        <v>237</v>
      </c>
      <c r="H1241" t="s">
        <v>3009</v>
      </c>
      <c r="I1241" t="s">
        <v>2393</v>
      </c>
      <c r="J1241">
        <v>189</v>
      </c>
      <c r="K1241" s="9">
        <f t="shared" si="38"/>
        <v>44342</v>
      </c>
      <c r="L1241">
        <f t="shared" si="39"/>
        <v>16439795</v>
      </c>
    </row>
    <row r="1242" spans="1:12">
      <c r="A1242">
        <v>818</v>
      </c>
      <c r="B1242">
        <v>45</v>
      </c>
      <c r="C1242">
        <v>2</v>
      </c>
      <c r="D1242" t="s">
        <v>2376</v>
      </c>
      <c r="E1242" s="7">
        <v>138045.1</v>
      </c>
      <c r="F1242" s="7">
        <v>16.33</v>
      </c>
      <c r="G1242">
        <v>107</v>
      </c>
      <c r="H1242" t="s">
        <v>2994</v>
      </c>
      <c r="I1242" t="s">
        <v>2377</v>
      </c>
      <c r="J1242">
        <v>0</v>
      </c>
      <c r="K1242" s="9">
        <f t="shared" si="38"/>
        <v>45116</v>
      </c>
      <c r="L1242">
        <f t="shared" si="39"/>
        <v>1380451</v>
      </c>
    </row>
    <row r="1243" spans="1:12">
      <c r="A1243">
        <v>819</v>
      </c>
      <c r="B1243">
        <v>702</v>
      </c>
      <c r="C1243">
        <v>2</v>
      </c>
      <c r="D1243" t="s">
        <v>2385</v>
      </c>
      <c r="E1243" s="7">
        <v>4039.9</v>
      </c>
      <c r="F1243" s="7">
        <v>20.57</v>
      </c>
      <c r="G1243">
        <v>24</v>
      </c>
      <c r="H1243" t="s">
        <v>3010</v>
      </c>
      <c r="I1243" t="s">
        <v>2377</v>
      </c>
      <c r="J1243">
        <v>0</v>
      </c>
      <c r="K1243" s="9">
        <f t="shared" si="38"/>
        <v>45733</v>
      </c>
      <c r="L1243">
        <f t="shared" si="39"/>
        <v>40399</v>
      </c>
    </row>
    <row r="1244" spans="1:12">
      <c r="A1244">
        <v>820</v>
      </c>
      <c r="B1244">
        <v>318</v>
      </c>
      <c r="C1244">
        <v>7</v>
      </c>
      <c r="D1244" t="s">
        <v>2387</v>
      </c>
      <c r="E1244" s="7">
        <v>136195.26</v>
      </c>
      <c r="F1244" s="7">
        <v>20.34</v>
      </c>
      <c r="G1244">
        <v>129</v>
      </c>
      <c r="H1244" t="s">
        <v>2219</v>
      </c>
      <c r="I1244" t="s">
        <v>2393</v>
      </c>
      <c r="J1244">
        <v>268</v>
      </c>
      <c r="K1244" s="9">
        <f t="shared" si="38"/>
        <v>45097</v>
      </c>
      <c r="L1244">
        <f t="shared" si="39"/>
        <v>13619526</v>
      </c>
    </row>
    <row r="1245" spans="1:12">
      <c r="A1245">
        <v>821</v>
      </c>
      <c r="B1245">
        <v>158</v>
      </c>
      <c r="C1245">
        <v>6</v>
      </c>
      <c r="D1245" t="s">
        <v>2387</v>
      </c>
      <c r="E1245" s="7">
        <v>100739.02</v>
      </c>
      <c r="F1245" s="7">
        <v>13.36</v>
      </c>
      <c r="G1245">
        <v>235</v>
      </c>
      <c r="H1245" t="s">
        <v>1457</v>
      </c>
      <c r="I1245" t="s">
        <v>2377</v>
      </c>
      <c r="J1245">
        <v>0</v>
      </c>
      <c r="K1245" s="9">
        <f t="shared" si="38"/>
        <v>43848</v>
      </c>
      <c r="L1245">
        <f t="shared" si="39"/>
        <v>10073902</v>
      </c>
    </row>
    <row r="1246" spans="1:12">
      <c r="A1246">
        <v>822</v>
      </c>
      <c r="B1246">
        <v>603</v>
      </c>
      <c r="C1246">
        <v>3</v>
      </c>
      <c r="D1246" t="s">
        <v>2385</v>
      </c>
      <c r="E1246" s="7">
        <v>1132.85</v>
      </c>
      <c r="F1246" s="7">
        <v>9.55</v>
      </c>
      <c r="G1246">
        <v>10</v>
      </c>
      <c r="H1246" t="s">
        <v>2275</v>
      </c>
      <c r="I1246" t="s">
        <v>2393</v>
      </c>
      <c r="J1246">
        <v>209</v>
      </c>
      <c r="K1246" s="9">
        <f t="shared" si="38"/>
        <v>44248</v>
      </c>
      <c r="L1246">
        <f t="shared" si="39"/>
        <v>113285</v>
      </c>
    </row>
    <row r="1247" spans="1:12">
      <c r="A1247">
        <v>823</v>
      </c>
      <c r="B1247">
        <v>625</v>
      </c>
      <c r="C1247">
        <v>5</v>
      </c>
      <c r="D1247" t="s">
        <v>2390</v>
      </c>
      <c r="E1247" s="7">
        <v>18330.34</v>
      </c>
      <c r="F1247" s="7">
        <v>8.36</v>
      </c>
      <c r="G1247">
        <v>58</v>
      </c>
      <c r="H1247" t="s">
        <v>2443</v>
      </c>
      <c r="I1247" t="s">
        <v>2383</v>
      </c>
      <c r="J1247">
        <v>0</v>
      </c>
      <c r="K1247" s="9">
        <f t="shared" si="38"/>
        <v>44418</v>
      </c>
      <c r="L1247">
        <f t="shared" si="39"/>
        <v>1833034</v>
      </c>
    </row>
    <row r="1248" spans="1:12">
      <c r="A1248">
        <v>824</v>
      </c>
      <c r="B1248">
        <v>327</v>
      </c>
      <c r="C1248">
        <v>2</v>
      </c>
      <c r="D1248" t="s">
        <v>2387</v>
      </c>
      <c r="E1248" s="7">
        <v>100593.21</v>
      </c>
      <c r="F1248" s="7">
        <v>17.48</v>
      </c>
      <c r="G1248">
        <v>247</v>
      </c>
      <c r="H1248" t="s">
        <v>3011</v>
      </c>
      <c r="I1248" t="s">
        <v>2383</v>
      </c>
      <c r="J1248">
        <v>0</v>
      </c>
      <c r="K1248" s="9">
        <f t="shared" si="38"/>
        <v>45609</v>
      </c>
      <c r="L1248">
        <f t="shared" si="39"/>
        <v>10059321</v>
      </c>
    </row>
    <row r="1249" spans="1:12">
      <c r="A1249">
        <v>825</v>
      </c>
      <c r="B1249">
        <v>13</v>
      </c>
      <c r="C1249">
        <v>3</v>
      </c>
      <c r="D1249" t="s">
        <v>2390</v>
      </c>
      <c r="E1249" s="7">
        <v>32309.41</v>
      </c>
      <c r="F1249" s="7">
        <v>11.12</v>
      </c>
      <c r="G1249">
        <v>38</v>
      </c>
      <c r="H1249" t="s">
        <v>1493</v>
      </c>
      <c r="I1249" t="s">
        <v>2377</v>
      </c>
      <c r="J1249">
        <v>0</v>
      </c>
      <c r="K1249" s="9">
        <f t="shared" si="38"/>
        <v>44148</v>
      </c>
      <c r="L1249">
        <f t="shared" si="39"/>
        <v>3230941</v>
      </c>
    </row>
    <row r="1250" spans="1:12">
      <c r="A1250">
        <v>826</v>
      </c>
      <c r="B1250">
        <v>664</v>
      </c>
      <c r="C1250">
        <v>3</v>
      </c>
      <c r="D1250" t="s">
        <v>2390</v>
      </c>
      <c r="E1250" s="7">
        <v>35781.1</v>
      </c>
      <c r="F1250" s="7">
        <v>17.94</v>
      </c>
      <c r="G1250">
        <v>50</v>
      </c>
      <c r="H1250" t="s">
        <v>2650</v>
      </c>
      <c r="I1250" t="s">
        <v>2377</v>
      </c>
      <c r="J1250">
        <v>82</v>
      </c>
      <c r="K1250" s="9">
        <f t="shared" si="38"/>
        <v>44199</v>
      </c>
      <c r="L1250">
        <f t="shared" si="39"/>
        <v>357811</v>
      </c>
    </row>
    <row r="1251" spans="1:12">
      <c r="A1251">
        <v>827</v>
      </c>
      <c r="B1251">
        <v>942</v>
      </c>
      <c r="C1251">
        <v>2</v>
      </c>
      <c r="D1251" t="s">
        <v>2379</v>
      </c>
      <c r="E1251" s="7">
        <v>13564.42</v>
      </c>
      <c r="F1251" s="7">
        <v>6.7</v>
      </c>
      <c r="G1251">
        <v>39</v>
      </c>
      <c r="H1251" t="s">
        <v>2895</v>
      </c>
      <c r="I1251" t="s">
        <v>2383</v>
      </c>
      <c r="J1251">
        <v>0</v>
      </c>
      <c r="K1251" s="9">
        <f t="shared" si="38"/>
        <v>45684</v>
      </c>
      <c r="L1251">
        <f t="shared" si="39"/>
        <v>1356442</v>
      </c>
    </row>
    <row r="1252" spans="1:12">
      <c r="A1252">
        <v>828</v>
      </c>
      <c r="B1252">
        <v>977</v>
      </c>
      <c r="C1252">
        <v>1</v>
      </c>
      <c r="D1252" t="s">
        <v>2390</v>
      </c>
      <c r="E1252" s="7">
        <v>19564.73</v>
      </c>
      <c r="F1252" s="7">
        <v>8.62</v>
      </c>
      <c r="G1252">
        <v>76</v>
      </c>
      <c r="H1252" t="s">
        <v>2970</v>
      </c>
      <c r="I1252" t="s">
        <v>2383</v>
      </c>
      <c r="J1252">
        <v>0</v>
      </c>
      <c r="K1252" s="9">
        <f t="shared" si="38"/>
        <v>44588</v>
      </c>
      <c r="L1252">
        <f t="shared" si="39"/>
        <v>1956473</v>
      </c>
    </row>
    <row r="1253" spans="1:12">
      <c r="A1253">
        <v>829</v>
      </c>
      <c r="B1253">
        <v>206</v>
      </c>
      <c r="C1253">
        <v>1</v>
      </c>
      <c r="D1253" t="s">
        <v>2385</v>
      </c>
      <c r="E1253" s="7">
        <v>3943.28</v>
      </c>
      <c r="F1253" s="7">
        <v>12.26</v>
      </c>
      <c r="G1253">
        <v>11</v>
      </c>
      <c r="H1253" t="s">
        <v>2773</v>
      </c>
      <c r="I1253" t="s">
        <v>2393</v>
      </c>
      <c r="J1253">
        <v>271</v>
      </c>
      <c r="K1253" s="9">
        <f t="shared" si="38"/>
        <v>44469</v>
      </c>
      <c r="L1253">
        <f t="shared" si="39"/>
        <v>394328</v>
      </c>
    </row>
    <row r="1254" spans="1:12">
      <c r="A1254">
        <v>830</v>
      </c>
      <c r="B1254">
        <v>596</v>
      </c>
      <c r="C1254">
        <v>4</v>
      </c>
      <c r="D1254" t="s">
        <v>2376</v>
      </c>
      <c r="E1254" s="7">
        <v>84010.35</v>
      </c>
      <c r="F1254" s="7">
        <v>6.42</v>
      </c>
      <c r="G1254">
        <v>107</v>
      </c>
      <c r="H1254" t="s">
        <v>1908</v>
      </c>
      <c r="I1254" t="s">
        <v>2377</v>
      </c>
      <c r="J1254">
        <v>0</v>
      </c>
      <c r="K1254" s="9">
        <f t="shared" si="38"/>
        <v>45365</v>
      </c>
      <c r="L1254">
        <f t="shared" si="39"/>
        <v>8401035</v>
      </c>
    </row>
    <row r="1255" spans="1:12">
      <c r="A1255">
        <v>831</v>
      </c>
      <c r="B1255">
        <v>828</v>
      </c>
      <c r="C1255">
        <v>4</v>
      </c>
      <c r="D1255" t="s">
        <v>2390</v>
      </c>
      <c r="E1255" s="7">
        <v>33393.14</v>
      </c>
      <c r="F1255" s="7">
        <v>7.53</v>
      </c>
      <c r="G1255">
        <v>38</v>
      </c>
      <c r="H1255" t="s">
        <v>2885</v>
      </c>
      <c r="I1255" t="s">
        <v>2383</v>
      </c>
      <c r="J1255">
        <v>0</v>
      </c>
      <c r="K1255" s="9">
        <f t="shared" si="38"/>
        <v>45505</v>
      </c>
      <c r="L1255">
        <f t="shared" si="39"/>
        <v>3339314</v>
      </c>
    </row>
    <row r="1256" spans="1:12">
      <c r="A1256">
        <v>832</v>
      </c>
      <c r="B1256">
        <v>675</v>
      </c>
      <c r="C1256">
        <v>5</v>
      </c>
      <c r="D1256" t="s">
        <v>2385</v>
      </c>
      <c r="E1256" s="7">
        <v>5584.34</v>
      </c>
      <c r="F1256" s="7">
        <v>6.94</v>
      </c>
      <c r="G1256">
        <v>9</v>
      </c>
      <c r="H1256" t="s">
        <v>2956</v>
      </c>
      <c r="I1256" t="s">
        <v>2377</v>
      </c>
      <c r="J1256">
        <v>0</v>
      </c>
      <c r="K1256" s="9">
        <f t="shared" si="38"/>
        <v>44982</v>
      </c>
      <c r="L1256">
        <f t="shared" si="39"/>
        <v>558434</v>
      </c>
    </row>
    <row r="1257" spans="1:12">
      <c r="A1257">
        <v>833</v>
      </c>
      <c r="B1257">
        <v>657</v>
      </c>
      <c r="C1257">
        <v>4</v>
      </c>
      <c r="D1257" t="s">
        <v>2379</v>
      </c>
      <c r="E1257" s="7">
        <v>10337.89</v>
      </c>
      <c r="F1257" s="7">
        <v>19.72</v>
      </c>
      <c r="G1257">
        <v>8</v>
      </c>
      <c r="H1257" t="s">
        <v>1105</v>
      </c>
      <c r="I1257" t="s">
        <v>2377</v>
      </c>
      <c r="J1257">
        <v>0</v>
      </c>
      <c r="K1257" s="9">
        <f t="shared" si="38"/>
        <v>43989</v>
      </c>
      <c r="L1257">
        <f t="shared" si="39"/>
        <v>1033789</v>
      </c>
    </row>
    <row r="1258" spans="1:12">
      <c r="A1258">
        <v>834</v>
      </c>
      <c r="B1258">
        <v>630</v>
      </c>
      <c r="C1258">
        <v>5</v>
      </c>
      <c r="D1258" t="s">
        <v>2379</v>
      </c>
      <c r="E1258" s="7">
        <v>7073.44</v>
      </c>
      <c r="F1258" s="7">
        <v>21.68</v>
      </c>
      <c r="G1258">
        <v>32</v>
      </c>
      <c r="H1258" t="s">
        <v>2900</v>
      </c>
      <c r="I1258" t="s">
        <v>2377</v>
      </c>
      <c r="J1258">
        <v>0</v>
      </c>
      <c r="K1258" s="9">
        <f t="shared" si="38"/>
        <v>44601</v>
      </c>
      <c r="L1258">
        <f t="shared" si="39"/>
        <v>707344</v>
      </c>
    </row>
    <row r="1259" spans="1:12">
      <c r="A1259">
        <v>835</v>
      </c>
      <c r="B1259">
        <v>661</v>
      </c>
      <c r="C1259">
        <v>4</v>
      </c>
      <c r="D1259" t="s">
        <v>2390</v>
      </c>
      <c r="E1259" s="7">
        <v>12059.01</v>
      </c>
      <c r="F1259" s="7">
        <v>5.28</v>
      </c>
      <c r="G1259">
        <v>59</v>
      </c>
      <c r="H1259" t="s">
        <v>3012</v>
      </c>
      <c r="I1259" t="s">
        <v>2377</v>
      </c>
      <c r="J1259">
        <v>0</v>
      </c>
      <c r="K1259" s="9">
        <f t="shared" si="38"/>
        <v>43925</v>
      </c>
      <c r="L1259">
        <f t="shared" si="39"/>
        <v>1205901</v>
      </c>
    </row>
    <row r="1260" spans="1:12">
      <c r="A1260">
        <v>836</v>
      </c>
      <c r="B1260">
        <v>195</v>
      </c>
      <c r="C1260">
        <v>4</v>
      </c>
      <c r="D1260" t="s">
        <v>2379</v>
      </c>
      <c r="E1260" s="7">
        <v>7769.25</v>
      </c>
      <c r="F1260" s="7">
        <v>5</v>
      </c>
      <c r="G1260">
        <v>21</v>
      </c>
      <c r="H1260" t="s">
        <v>1880</v>
      </c>
      <c r="I1260" t="s">
        <v>2377</v>
      </c>
      <c r="J1260">
        <v>0</v>
      </c>
      <c r="K1260" s="9">
        <f t="shared" si="38"/>
        <v>45544</v>
      </c>
      <c r="L1260">
        <f t="shared" si="39"/>
        <v>776925</v>
      </c>
    </row>
    <row r="1261" spans="1:12">
      <c r="A1261">
        <v>837</v>
      </c>
      <c r="B1261">
        <v>227</v>
      </c>
      <c r="C1261">
        <v>3</v>
      </c>
      <c r="D1261" t="s">
        <v>2390</v>
      </c>
      <c r="E1261" s="7">
        <v>25080.56</v>
      </c>
      <c r="F1261" s="7">
        <v>7.77</v>
      </c>
      <c r="G1261">
        <v>68</v>
      </c>
      <c r="H1261" t="s">
        <v>2566</v>
      </c>
      <c r="I1261" t="s">
        <v>2377</v>
      </c>
      <c r="J1261">
        <v>0</v>
      </c>
      <c r="K1261" s="9">
        <f t="shared" si="38"/>
        <v>45566</v>
      </c>
      <c r="L1261">
        <f t="shared" si="39"/>
        <v>2508056</v>
      </c>
    </row>
    <row r="1262" spans="1:12">
      <c r="A1262">
        <v>838</v>
      </c>
      <c r="B1262">
        <v>494</v>
      </c>
      <c r="C1262">
        <v>4</v>
      </c>
      <c r="D1262" t="s">
        <v>2376</v>
      </c>
      <c r="E1262" s="7">
        <v>58125.73</v>
      </c>
      <c r="F1262" s="7">
        <v>14.05</v>
      </c>
      <c r="G1262">
        <v>35</v>
      </c>
      <c r="H1262" t="s">
        <v>1532</v>
      </c>
      <c r="I1262" t="s">
        <v>2377</v>
      </c>
      <c r="J1262">
        <v>0</v>
      </c>
      <c r="K1262" s="9">
        <f t="shared" si="38"/>
        <v>44407</v>
      </c>
      <c r="L1262">
        <f t="shared" si="39"/>
        <v>5812573</v>
      </c>
    </row>
    <row r="1263" spans="1:12">
      <c r="A1263">
        <v>839</v>
      </c>
      <c r="B1263">
        <v>234</v>
      </c>
      <c r="C1263">
        <v>5</v>
      </c>
      <c r="D1263" t="s">
        <v>2379</v>
      </c>
      <c r="E1263" s="7">
        <v>11040.96</v>
      </c>
      <c r="F1263" s="7">
        <v>15.55</v>
      </c>
      <c r="G1263">
        <v>13</v>
      </c>
      <c r="H1263" t="s">
        <v>3013</v>
      </c>
      <c r="I1263" t="s">
        <v>2377</v>
      </c>
      <c r="J1263">
        <v>0</v>
      </c>
      <c r="K1263" s="9">
        <f t="shared" si="38"/>
        <v>45281</v>
      </c>
      <c r="L1263">
        <f t="shared" si="39"/>
        <v>1104096</v>
      </c>
    </row>
    <row r="1264" spans="1:12">
      <c r="A1264">
        <v>840</v>
      </c>
      <c r="B1264">
        <v>134</v>
      </c>
      <c r="C1264">
        <v>6</v>
      </c>
      <c r="D1264" t="s">
        <v>2387</v>
      </c>
      <c r="E1264" s="7">
        <v>99309.04</v>
      </c>
      <c r="F1264" s="7">
        <v>20.86</v>
      </c>
      <c r="G1264">
        <v>327</v>
      </c>
      <c r="H1264" t="s">
        <v>372</v>
      </c>
      <c r="I1264" t="s">
        <v>2377</v>
      </c>
      <c r="J1264">
        <v>0</v>
      </c>
      <c r="K1264" s="9">
        <f t="shared" si="38"/>
        <v>44865</v>
      </c>
      <c r="L1264">
        <f t="shared" si="39"/>
        <v>9930904</v>
      </c>
    </row>
    <row r="1265" spans="1:12">
      <c r="A1265">
        <v>841</v>
      </c>
      <c r="B1265">
        <v>71</v>
      </c>
      <c r="C1265">
        <v>3</v>
      </c>
      <c r="D1265" t="s">
        <v>2385</v>
      </c>
      <c r="E1265" s="7">
        <v>2857.18</v>
      </c>
      <c r="F1265" s="7">
        <v>9.22</v>
      </c>
      <c r="G1265">
        <v>10</v>
      </c>
      <c r="H1265" t="s">
        <v>2789</v>
      </c>
      <c r="I1265" t="s">
        <v>2377</v>
      </c>
      <c r="J1265">
        <v>0</v>
      </c>
      <c r="K1265" s="9">
        <f t="shared" si="38"/>
        <v>45077</v>
      </c>
      <c r="L1265">
        <f t="shared" si="39"/>
        <v>285718</v>
      </c>
    </row>
    <row r="1266" spans="1:12">
      <c r="A1266">
        <v>842</v>
      </c>
      <c r="B1266">
        <v>947</v>
      </c>
      <c r="C1266">
        <v>6</v>
      </c>
      <c r="D1266" t="s">
        <v>2390</v>
      </c>
      <c r="E1266" s="7">
        <v>33987.52</v>
      </c>
      <c r="F1266" s="7">
        <v>10.68</v>
      </c>
      <c r="G1266">
        <v>56</v>
      </c>
      <c r="H1266" t="s">
        <v>3014</v>
      </c>
      <c r="I1266" t="s">
        <v>2383</v>
      </c>
      <c r="J1266">
        <v>0</v>
      </c>
      <c r="K1266" s="9">
        <f t="shared" si="38"/>
        <v>44326</v>
      </c>
      <c r="L1266">
        <f t="shared" si="39"/>
        <v>3398752</v>
      </c>
    </row>
    <row r="1267" spans="1:12">
      <c r="A1267">
        <v>843</v>
      </c>
      <c r="B1267">
        <v>428</v>
      </c>
      <c r="C1267">
        <v>7</v>
      </c>
      <c r="D1267" t="s">
        <v>2387</v>
      </c>
      <c r="E1267" s="7">
        <v>80109.35</v>
      </c>
      <c r="F1267" s="7">
        <v>15.55</v>
      </c>
      <c r="G1267">
        <v>220</v>
      </c>
      <c r="H1267" t="s">
        <v>2763</v>
      </c>
      <c r="I1267" t="s">
        <v>2377</v>
      </c>
      <c r="J1267">
        <v>0</v>
      </c>
      <c r="K1267" s="9">
        <f t="shared" si="38"/>
        <v>44987</v>
      </c>
      <c r="L1267">
        <f t="shared" si="39"/>
        <v>8010935</v>
      </c>
    </row>
    <row r="1268" spans="1:12">
      <c r="A1268">
        <v>844</v>
      </c>
      <c r="B1268">
        <v>361</v>
      </c>
      <c r="C1268">
        <v>4</v>
      </c>
      <c r="D1268" t="s">
        <v>2379</v>
      </c>
      <c r="E1268" s="7">
        <v>13074.92</v>
      </c>
      <c r="F1268" s="7">
        <v>6.63</v>
      </c>
      <c r="G1268">
        <v>39</v>
      </c>
      <c r="H1268" t="s">
        <v>2444</v>
      </c>
      <c r="I1268" t="s">
        <v>2377</v>
      </c>
      <c r="J1268">
        <v>0</v>
      </c>
      <c r="K1268" s="9">
        <f t="shared" si="38"/>
        <v>44593</v>
      </c>
      <c r="L1268">
        <f t="shared" si="39"/>
        <v>1307492</v>
      </c>
    </row>
    <row r="1269" spans="1:12">
      <c r="A1269">
        <v>845</v>
      </c>
      <c r="B1269">
        <v>564</v>
      </c>
      <c r="C1269">
        <v>6</v>
      </c>
      <c r="D1269" t="s">
        <v>2379</v>
      </c>
      <c r="E1269" s="7">
        <v>8579.59</v>
      </c>
      <c r="F1269" s="7">
        <v>18.27</v>
      </c>
      <c r="G1269">
        <v>25</v>
      </c>
      <c r="H1269" t="s">
        <v>3015</v>
      </c>
      <c r="I1269" t="s">
        <v>2377</v>
      </c>
      <c r="J1269">
        <v>0</v>
      </c>
      <c r="K1269" s="9">
        <f t="shared" si="38"/>
        <v>45653</v>
      </c>
      <c r="L1269">
        <f t="shared" si="39"/>
        <v>857959</v>
      </c>
    </row>
    <row r="1270" spans="1:12">
      <c r="A1270">
        <v>846</v>
      </c>
      <c r="B1270">
        <v>180</v>
      </c>
      <c r="C1270">
        <v>5</v>
      </c>
      <c r="D1270" t="s">
        <v>2387</v>
      </c>
      <c r="E1270" s="7">
        <v>129398.2</v>
      </c>
      <c r="F1270" s="7">
        <v>21.23</v>
      </c>
      <c r="G1270">
        <v>283</v>
      </c>
      <c r="H1270" t="s">
        <v>2896</v>
      </c>
      <c r="I1270" t="s">
        <v>2383</v>
      </c>
      <c r="J1270">
        <v>0</v>
      </c>
      <c r="K1270" s="9">
        <f t="shared" si="38"/>
        <v>45776</v>
      </c>
      <c r="L1270">
        <f t="shared" si="39"/>
        <v>1293982</v>
      </c>
    </row>
    <row r="1271" spans="1:12">
      <c r="A1271">
        <v>847</v>
      </c>
      <c r="B1271">
        <v>279</v>
      </c>
      <c r="C1271">
        <v>5</v>
      </c>
      <c r="D1271" t="s">
        <v>2390</v>
      </c>
      <c r="E1271" s="7">
        <v>19239.64</v>
      </c>
      <c r="F1271" s="7">
        <v>13.28</v>
      </c>
      <c r="G1271">
        <v>68</v>
      </c>
      <c r="H1271" t="s">
        <v>952</v>
      </c>
      <c r="I1271" t="s">
        <v>2393</v>
      </c>
      <c r="J1271">
        <v>171</v>
      </c>
      <c r="K1271" s="9">
        <f t="shared" si="38"/>
        <v>44852</v>
      </c>
      <c r="L1271">
        <f t="shared" si="39"/>
        <v>1923964</v>
      </c>
    </row>
    <row r="1272" spans="1:12">
      <c r="A1272">
        <v>848</v>
      </c>
      <c r="B1272">
        <v>217</v>
      </c>
      <c r="C1272">
        <v>2</v>
      </c>
      <c r="D1272" t="s">
        <v>2379</v>
      </c>
      <c r="E1272" s="7">
        <v>12621.11</v>
      </c>
      <c r="F1272" s="7">
        <v>9.08</v>
      </c>
      <c r="G1272">
        <v>52</v>
      </c>
      <c r="H1272" t="s">
        <v>2655</v>
      </c>
      <c r="I1272" t="s">
        <v>2393</v>
      </c>
      <c r="J1272">
        <v>95</v>
      </c>
      <c r="K1272" s="9">
        <f t="shared" si="38"/>
        <v>45091</v>
      </c>
      <c r="L1272">
        <f t="shared" si="39"/>
        <v>1262111</v>
      </c>
    </row>
    <row r="1273" spans="1:12">
      <c r="A1273">
        <v>849</v>
      </c>
      <c r="B1273">
        <v>719</v>
      </c>
      <c r="C1273">
        <v>3</v>
      </c>
      <c r="D1273" t="s">
        <v>2379</v>
      </c>
      <c r="E1273" s="7">
        <v>14461.26</v>
      </c>
      <c r="F1273" s="7">
        <v>10.6</v>
      </c>
      <c r="G1273">
        <v>15</v>
      </c>
      <c r="H1273" t="s">
        <v>1835</v>
      </c>
      <c r="I1273" t="s">
        <v>2377</v>
      </c>
      <c r="J1273">
        <v>0</v>
      </c>
      <c r="K1273" s="9">
        <f t="shared" si="38"/>
        <v>44317</v>
      </c>
      <c r="L1273">
        <f t="shared" si="39"/>
        <v>1446126</v>
      </c>
    </row>
    <row r="1274" spans="1:12">
      <c r="A1274">
        <v>850</v>
      </c>
      <c r="B1274">
        <v>608</v>
      </c>
      <c r="C1274">
        <v>6</v>
      </c>
      <c r="D1274" t="s">
        <v>2390</v>
      </c>
      <c r="E1274" s="7">
        <v>31361.61</v>
      </c>
      <c r="F1274" s="7">
        <v>14.78</v>
      </c>
      <c r="G1274">
        <v>29</v>
      </c>
      <c r="H1274" t="s">
        <v>1008</v>
      </c>
      <c r="I1274" t="s">
        <v>2377</v>
      </c>
      <c r="J1274">
        <v>0</v>
      </c>
      <c r="K1274" s="9">
        <f t="shared" si="38"/>
        <v>44925</v>
      </c>
      <c r="L1274">
        <f t="shared" si="39"/>
        <v>3136161</v>
      </c>
    </row>
    <row r="1275" spans="1:12">
      <c r="A1275">
        <v>851</v>
      </c>
      <c r="B1275">
        <v>659</v>
      </c>
      <c r="C1275">
        <v>2</v>
      </c>
      <c r="D1275" t="s">
        <v>2385</v>
      </c>
      <c r="E1275" s="7">
        <v>6288.42</v>
      </c>
      <c r="F1275" s="7">
        <v>15.28</v>
      </c>
      <c r="G1275">
        <v>9</v>
      </c>
      <c r="H1275" t="s">
        <v>2998</v>
      </c>
      <c r="I1275" t="s">
        <v>2377</v>
      </c>
      <c r="J1275">
        <v>17</v>
      </c>
      <c r="K1275" s="9">
        <f t="shared" si="38"/>
        <v>44503</v>
      </c>
      <c r="L1275">
        <f t="shared" si="39"/>
        <v>628842</v>
      </c>
    </row>
    <row r="1276" spans="1:12">
      <c r="A1276">
        <v>852</v>
      </c>
      <c r="B1276">
        <v>500</v>
      </c>
      <c r="C1276">
        <v>5</v>
      </c>
      <c r="D1276" t="s">
        <v>2390</v>
      </c>
      <c r="E1276" s="7">
        <v>27191.78</v>
      </c>
      <c r="F1276" s="7">
        <v>19.04</v>
      </c>
      <c r="G1276">
        <v>48</v>
      </c>
      <c r="H1276" t="s">
        <v>696</v>
      </c>
      <c r="I1276" t="s">
        <v>2377</v>
      </c>
      <c r="J1276">
        <v>0</v>
      </c>
      <c r="K1276" s="9">
        <f t="shared" si="38"/>
        <v>44408</v>
      </c>
      <c r="L1276">
        <f t="shared" si="39"/>
        <v>2719178</v>
      </c>
    </row>
    <row r="1277" spans="1:12">
      <c r="A1277">
        <v>853</v>
      </c>
      <c r="B1277">
        <v>44</v>
      </c>
      <c r="C1277">
        <v>5</v>
      </c>
      <c r="D1277" t="s">
        <v>2376</v>
      </c>
      <c r="E1277" s="7">
        <v>21196.51</v>
      </c>
      <c r="F1277" s="7">
        <v>13.21</v>
      </c>
      <c r="G1277">
        <v>33</v>
      </c>
      <c r="H1277" t="s">
        <v>2570</v>
      </c>
      <c r="I1277" t="s">
        <v>2383</v>
      </c>
      <c r="J1277">
        <v>0</v>
      </c>
      <c r="K1277" s="9">
        <f t="shared" si="38"/>
        <v>44303</v>
      </c>
      <c r="L1277">
        <f t="shared" si="39"/>
        <v>2119651</v>
      </c>
    </row>
    <row r="1278" spans="1:12">
      <c r="A1278">
        <v>854</v>
      </c>
      <c r="B1278">
        <v>546</v>
      </c>
      <c r="C1278">
        <v>5</v>
      </c>
      <c r="D1278" t="s">
        <v>2387</v>
      </c>
      <c r="E1278" s="7">
        <v>176697.54</v>
      </c>
      <c r="F1278" s="7">
        <v>5.92</v>
      </c>
      <c r="G1278">
        <v>135</v>
      </c>
      <c r="H1278" t="s">
        <v>1435</v>
      </c>
      <c r="I1278" t="s">
        <v>2383</v>
      </c>
      <c r="J1278">
        <v>0</v>
      </c>
      <c r="K1278" s="9">
        <f t="shared" si="38"/>
        <v>44391</v>
      </c>
      <c r="L1278">
        <f t="shared" si="39"/>
        <v>17669754</v>
      </c>
    </row>
    <row r="1279" spans="1:12">
      <c r="A1279">
        <v>855</v>
      </c>
      <c r="B1279">
        <v>876</v>
      </c>
      <c r="C1279">
        <v>1</v>
      </c>
      <c r="D1279" t="s">
        <v>2379</v>
      </c>
      <c r="E1279" s="7">
        <v>7151.41</v>
      </c>
      <c r="F1279" s="7">
        <v>19.35</v>
      </c>
      <c r="G1279">
        <v>58</v>
      </c>
      <c r="H1279" t="s">
        <v>3016</v>
      </c>
      <c r="I1279" t="s">
        <v>2377</v>
      </c>
      <c r="J1279">
        <v>80</v>
      </c>
      <c r="K1279" s="9">
        <f t="shared" si="38"/>
        <v>45764</v>
      </c>
      <c r="L1279">
        <f t="shared" si="39"/>
        <v>715141</v>
      </c>
    </row>
    <row r="1280" spans="1:12">
      <c r="A1280">
        <v>856</v>
      </c>
      <c r="B1280">
        <v>116</v>
      </c>
      <c r="C1280">
        <v>4</v>
      </c>
      <c r="D1280" t="s">
        <v>2390</v>
      </c>
      <c r="E1280" s="7">
        <v>32700.24</v>
      </c>
      <c r="F1280" s="7">
        <v>6.16</v>
      </c>
      <c r="G1280">
        <v>68</v>
      </c>
      <c r="H1280" t="s">
        <v>3017</v>
      </c>
      <c r="I1280" t="s">
        <v>2377</v>
      </c>
      <c r="J1280">
        <v>0</v>
      </c>
      <c r="K1280" s="9">
        <f t="shared" si="38"/>
        <v>45439</v>
      </c>
      <c r="L1280">
        <f t="shared" si="39"/>
        <v>3270024</v>
      </c>
    </row>
    <row r="1281" spans="1:12">
      <c r="A1281">
        <v>857</v>
      </c>
      <c r="B1281">
        <v>291</v>
      </c>
      <c r="C1281">
        <v>7</v>
      </c>
      <c r="D1281" t="s">
        <v>2390</v>
      </c>
      <c r="E1281" s="7">
        <v>11425.33</v>
      </c>
      <c r="F1281" s="7">
        <v>5.47</v>
      </c>
      <c r="G1281">
        <v>70</v>
      </c>
      <c r="H1281" t="s">
        <v>2724</v>
      </c>
      <c r="I1281" t="s">
        <v>2377</v>
      </c>
      <c r="J1281">
        <v>0</v>
      </c>
      <c r="K1281" s="9">
        <f t="shared" si="38"/>
        <v>44955</v>
      </c>
      <c r="L1281">
        <f t="shared" si="39"/>
        <v>1142533</v>
      </c>
    </row>
    <row r="1282" spans="1:12">
      <c r="A1282">
        <v>858</v>
      </c>
      <c r="B1282">
        <v>988</v>
      </c>
      <c r="C1282">
        <v>2</v>
      </c>
      <c r="D1282" t="s">
        <v>2379</v>
      </c>
      <c r="E1282" s="7">
        <v>3300.77</v>
      </c>
      <c r="F1282" s="7">
        <v>15.44</v>
      </c>
      <c r="G1282">
        <v>41</v>
      </c>
      <c r="H1282" t="s">
        <v>3018</v>
      </c>
      <c r="I1282" t="s">
        <v>2393</v>
      </c>
      <c r="J1282">
        <v>288</v>
      </c>
      <c r="K1282" s="9">
        <f t="shared" si="38"/>
        <v>44496</v>
      </c>
      <c r="L1282">
        <f t="shared" si="39"/>
        <v>330077</v>
      </c>
    </row>
    <row r="1283" spans="1:12">
      <c r="A1283">
        <v>859</v>
      </c>
      <c r="B1283">
        <v>939</v>
      </c>
      <c r="C1283">
        <v>1</v>
      </c>
      <c r="D1283" t="s">
        <v>2390</v>
      </c>
      <c r="E1283" s="7">
        <v>22208.2</v>
      </c>
      <c r="F1283" s="7">
        <v>10.72</v>
      </c>
      <c r="G1283">
        <v>46</v>
      </c>
      <c r="H1283" t="s">
        <v>2488</v>
      </c>
      <c r="I1283" t="s">
        <v>2377</v>
      </c>
      <c r="J1283">
        <v>0</v>
      </c>
      <c r="K1283" s="9">
        <f t="shared" ref="K1283:K1301" si="40">DATEVALUE(LEFT(H1283,10))</f>
        <v>44508</v>
      </c>
      <c r="L1283">
        <f t="shared" ref="L1283:L1301" si="41">_xlfn.NUMBERVALUE(E1283,".",",")</f>
        <v>222082</v>
      </c>
    </row>
    <row r="1284" spans="1:12">
      <c r="A1284">
        <v>860</v>
      </c>
      <c r="B1284">
        <v>410</v>
      </c>
      <c r="C1284">
        <v>6</v>
      </c>
      <c r="D1284" t="s">
        <v>2379</v>
      </c>
      <c r="E1284" s="7">
        <v>11459.17</v>
      </c>
      <c r="F1284" s="7">
        <v>9.83</v>
      </c>
      <c r="G1284">
        <v>20</v>
      </c>
      <c r="H1284" t="s">
        <v>3019</v>
      </c>
      <c r="I1284" t="s">
        <v>2377</v>
      </c>
      <c r="J1284">
        <v>0</v>
      </c>
      <c r="K1284" s="9">
        <f t="shared" si="40"/>
        <v>45425</v>
      </c>
      <c r="L1284">
        <f t="shared" si="41"/>
        <v>1145917</v>
      </c>
    </row>
    <row r="1285" spans="1:12">
      <c r="A1285">
        <v>861</v>
      </c>
      <c r="B1285">
        <v>513</v>
      </c>
      <c r="C1285">
        <v>5</v>
      </c>
      <c r="D1285" t="s">
        <v>2385</v>
      </c>
      <c r="E1285" s="7">
        <v>8433.45</v>
      </c>
      <c r="F1285" s="7">
        <v>19.27</v>
      </c>
      <c r="G1285">
        <v>8</v>
      </c>
      <c r="H1285" t="s">
        <v>173</v>
      </c>
      <c r="I1285" t="s">
        <v>2377</v>
      </c>
      <c r="J1285">
        <v>0</v>
      </c>
      <c r="K1285" s="9">
        <f t="shared" si="40"/>
        <v>43970</v>
      </c>
      <c r="L1285">
        <f t="shared" si="41"/>
        <v>843345</v>
      </c>
    </row>
    <row r="1286" spans="1:12">
      <c r="A1286">
        <v>862</v>
      </c>
      <c r="B1286">
        <v>894</v>
      </c>
      <c r="C1286">
        <v>5</v>
      </c>
      <c r="D1286" t="s">
        <v>2387</v>
      </c>
      <c r="E1286" s="7">
        <v>125418.86</v>
      </c>
      <c r="F1286" s="7">
        <v>19.31</v>
      </c>
      <c r="G1286">
        <v>258</v>
      </c>
      <c r="H1286" t="s">
        <v>3020</v>
      </c>
      <c r="I1286" t="s">
        <v>2377</v>
      </c>
      <c r="J1286">
        <v>65</v>
      </c>
      <c r="K1286" s="9">
        <f t="shared" si="40"/>
        <v>45747</v>
      </c>
      <c r="L1286">
        <f t="shared" si="41"/>
        <v>12541886</v>
      </c>
    </row>
    <row r="1287" spans="1:12">
      <c r="A1287">
        <v>863</v>
      </c>
      <c r="B1287">
        <v>216</v>
      </c>
      <c r="C1287">
        <v>2</v>
      </c>
      <c r="D1287" t="s">
        <v>2387</v>
      </c>
      <c r="E1287" s="7">
        <v>110739.5</v>
      </c>
      <c r="F1287" s="7">
        <v>16.46</v>
      </c>
      <c r="G1287">
        <v>153</v>
      </c>
      <c r="H1287" t="s">
        <v>2837</v>
      </c>
      <c r="I1287" t="s">
        <v>2377</v>
      </c>
      <c r="J1287">
        <v>0</v>
      </c>
      <c r="K1287" s="9">
        <f t="shared" si="40"/>
        <v>44460</v>
      </c>
      <c r="L1287">
        <f t="shared" si="41"/>
        <v>1107395</v>
      </c>
    </row>
    <row r="1288" spans="1:12">
      <c r="A1288">
        <v>864</v>
      </c>
      <c r="B1288">
        <v>855</v>
      </c>
      <c r="C1288">
        <v>5</v>
      </c>
      <c r="D1288" t="s">
        <v>2387</v>
      </c>
      <c r="E1288" s="7">
        <v>96755.41</v>
      </c>
      <c r="F1288" s="7">
        <v>15.53</v>
      </c>
      <c r="G1288">
        <v>205</v>
      </c>
      <c r="H1288" t="s">
        <v>2891</v>
      </c>
      <c r="I1288" t="s">
        <v>2377</v>
      </c>
      <c r="J1288">
        <v>0</v>
      </c>
      <c r="K1288" s="9">
        <f t="shared" si="40"/>
        <v>43911</v>
      </c>
      <c r="L1288">
        <f t="shared" si="41"/>
        <v>9675541</v>
      </c>
    </row>
    <row r="1289" spans="1:12">
      <c r="A1289">
        <v>865</v>
      </c>
      <c r="B1289">
        <v>1000</v>
      </c>
      <c r="C1289">
        <v>4</v>
      </c>
      <c r="D1289" t="s">
        <v>2376</v>
      </c>
      <c r="E1289" s="7">
        <v>78957.32</v>
      </c>
      <c r="F1289" s="7">
        <v>21.73</v>
      </c>
      <c r="G1289">
        <v>55</v>
      </c>
      <c r="H1289" t="s">
        <v>802</v>
      </c>
      <c r="I1289" t="s">
        <v>2383</v>
      </c>
      <c r="J1289">
        <v>0</v>
      </c>
      <c r="K1289" s="9">
        <f t="shared" si="40"/>
        <v>44311</v>
      </c>
      <c r="L1289">
        <f t="shared" si="41"/>
        <v>7895732</v>
      </c>
    </row>
    <row r="1290" spans="1:12">
      <c r="A1290">
        <v>866</v>
      </c>
      <c r="B1290">
        <v>498</v>
      </c>
      <c r="C1290">
        <v>2</v>
      </c>
      <c r="D1290" t="s">
        <v>2385</v>
      </c>
      <c r="E1290" s="7">
        <v>9511.81</v>
      </c>
      <c r="F1290" s="7">
        <v>9.96</v>
      </c>
      <c r="G1290">
        <v>11</v>
      </c>
      <c r="H1290" t="s">
        <v>3021</v>
      </c>
      <c r="I1290" t="s">
        <v>2393</v>
      </c>
      <c r="J1290">
        <v>129</v>
      </c>
      <c r="K1290" s="9">
        <f t="shared" si="40"/>
        <v>45321</v>
      </c>
      <c r="L1290">
        <f t="shared" si="41"/>
        <v>951181</v>
      </c>
    </row>
    <row r="1291" spans="1:12">
      <c r="A1291">
        <v>867</v>
      </c>
      <c r="B1291">
        <v>690</v>
      </c>
      <c r="C1291">
        <v>1</v>
      </c>
      <c r="D1291" t="s">
        <v>2385</v>
      </c>
      <c r="E1291" s="7">
        <v>6868.99</v>
      </c>
      <c r="F1291" s="7">
        <v>12.96</v>
      </c>
      <c r="G1291">
        <v>18</v>
      </c>
      <c r="H1291" t="s">
        <v>944</v>
      </c>
      <c r="I1291" t="s">
        <v>2377</v>
      </c>
      <c r="J1291">
        <v>0</v>
      </c>
      <c r="K1291" s="9">
        <f t="shared" si="40"/>
        <v>45040</v>
      </c>
      <c r="L1291">
        <f t="shared" si="41"/>
        <v>686899</v>
      </c>
    </row>
    <row r="1292" spans="1:12">
      <c r="A1292">
        <v>868</v>
      </c>
      <c r="B1292">
        <v>806</v>
      </c>
      <c r="C1292">
        <v>3</v>
      </c>
      <c r="D1292" t="s">
        <v>2385</v>
      </c>
      <c r="E1292" s="7">
        <v>4238.11</v>
      </c>
      <c r="F1292" s="7">
        <v>16.71</v>
      </c>
      <c r="G1292">
        <v>11</v>
      </c>
      <c r="H1292" t="s">
        <v>1878</v>
      </c>
      <c r="I1292" t="s">
        <v>2377</v>
      </c>
      <c r="J1292">
        <v>0</v>
      </c>
      <c r="K1292" s="9">
        <f t="shared" si="40"/>
        <v>44070</v>
      </c>
      <c r="L1292">
        <f t="shared" si="41"/>
        <v>423811</v>
      </c>
    </row>
    <row r="1293" spans="1:12">
      <c r="A1293">
        <v>869</v>
      </c>
      <c r="B1293">
        <v>129</v>
      </c>
      <c r="C1293">
        <v>4</v>
      </c>
      <c r="D1293" t="s">
        <v>2390</v>
      </c>
      <c r="E1293" s="7">
        <v>8984.08</v>
      </c>
      <c r="F1293" s="7">
        <v>20.96</v>
      </c>
      <c r="G1293">
        <v>38</v>
      </c>
      <c r="H1293" t="s">
        <v>3022</v>
      </c>
      <c r="I1293" t="s">
        <v>2383</v>
      </c>
      <c r="J1293">
        <v>0</v>
      </c>
      <c r="K1293" s="9">
        <f t="shared" si="40"/>
        <v>45570</v>
      </c>
      <c r="L1293">
        <f t="shared" si="41"/>
        <v>898408</v>
      </c>
    </row>
    <row r="1294" spans="1:12">
      <c r="A1294">
        <v>870</v>
      </c>
      <c r="B1294">
        <v>233</v>
      </c>
      <c r="C1294">
        <v>1</v>
      </c>
      <c r="D1294" t="s">
        <v>2387</v>
      </c>
      <c r="E1294" s="7">
        <v>58680.12</v>
      </c>
      <c r="F1294" s="7">
        <v>12.31</v>
      </c>
      <c r="G1294">
        <v>259</v>
      </c>
      <c r="H1294" t="s">
        <v>3023</v>
      </c>
      <c r="I1294" t="s">
        <v>2377</v>
      </c>
      <c r="J1294">
        <v>0</v>
      </c>
      <c r="K1294" s="9">
        <f t="shared" si="40"/>
        <v>44667</v>
      </c>
      <c r="L1294">
        <f t="shared" si="41"/>
        <v>5868012</v>
      </c>
    </row>
    <row r="1295" spans="1:12">
      <c r="A1295">
        <v>871</v>
      </c>
      <c r="B1295">
        <v>595</v>
      </c>
      <c r="C1295">
        <v>7</v>
      </c>
      <c r="D1295" t="s">
        <v>2376</v>
      </c>
      <c r="E1295" s="7">
        <v>112097.64</v>
      </c>
      <c r="F1295" s="7">
        <v>18.99</v>
      </c>
      <c r="G1295">
        <v>91</v>
      </c>
      <c r="H1295" t="s">
        <v>3024</v>
      </c>
      <c r="I1295" t="s">
        <v>2377</v>
      </c>
      <c r="J1295">
        <v>0</v>
      </c>
      <c r="K1295" s="9">
        <f t="shared" si="40"/>
        <v>44276</v>
      </c>
      <c r="L1295">
        <f t="shared" si="41"/>
        <v>11209764</v>
      </c>
    </row>
    <row r="1296" spans="1:12">
      <c r="A1296">
        <v>872</v>
      </c>
      <c r="B1296">
        <v>212</v>
      </c>
      <c r="C1296">
        <v>2</v>
      </c>
      <c r="D1296" t="s">
        <v>2385</v>
      </c>
      <c r="E1296" s="7">
        <v>1771.08</v>
      </c>
      <c r="F1296" s="7">
        <v>6.52</v>
      </c>
      <c r="G1296">
        <v>25</v>
      </c>
      <c r="H1296" t="s">
        <v>2572</v>
      </c>
      <c r="I1296" t="s">
        <v>2377</v>
      </c>
      <c r="J1296">
        <v>56</v>
      </c>
      <c r="K1296" s="9">
        <f t="shared" si="40"/>
        <v>44038</v>
      </c>
      <c r="L1296">
        <f t="shared" si="41"/>
        <v>177108</v>
      </c>
    </row>
    <row r="1297" spans="1:12">
      <c r="A1297">
        <v>873</v>
      </c>
      <c r="B1297">
        <v>190</v>
      </c>
      <c r="C1297">
        <v>2</v>
      </c>
      <c r="D1297" t="s">
        <v>2385</v>
      </c>
      <c r="E1297" s="7">
        <v>4495.15</v>
      </c>
      <c r="F1297" s="7">
        <v>15.36</v>
      </c>
      <c r="G1297">
        <v>12</v>
      </c>
      <c r="H1297" t="s">
        <v>3025</v>
      </c>
      <c r="I1297" t="s">
        <v>2377</v>
      </c>
      <c r="J1297">
        <v>0</v>
      </c>
      <c r="K1297" s="9">
        <f t="shared" si="40"/>
        <v>45537</v>
      </c>
      <c r="L1297">
        <f t="shared" si="41"/>
        <v>449515</v>
      </c>
    </row>
    <row r="1298" spans="1:12">
      <c r="A1298">
        <v>874</v>
      </c>
      <c r="B1298">
        <v>915</v>
      </c>
      <c r="C1298">
        <v>3</v>
      </c>
      <c r="D1298" t="s">
        <v>2390</v>
      </c>
      <c r="E1298" s="7">
        <v>35280.97</v>
      </c>
      <c r="F1298" s="7">
        <v>19.96</v>
      </c>
      <c r="G1298">
        <v>77</v>
      </c>
      <c r="H1298" t="s">
        <v>2444</v>
      </c>
      <c r="I1298" t="s">
        <v>2377</v>
      </c>
      <c r="J1298">
        <v>0</v>
      </c>
      <c r="K1298" s="9">
        <f t="shared" si="40"/>
        <v>44593</v>
      </c>
      <c r="L1298">
        <f t="shared" si="41"/>
        <v>3528097</v>
      </c>
    </row>
    <row r="1299" spans="1:12">
      <c r="A1299">
        <v>875</v>
      </c>
      <c r="B1299">
        <v>582</v>
      </c>
      <c r="C1299">
        <v>1</v>
      </c>
      <c r="D1299" t="s">
        <v>2387</v>
      </c>
      <c r="E1299" s="7">
        <v>52428.71</v>
      </c>
      <c r="F1299" s="7">
        <v>16.82</v>
      </c>
      <c r="G1299">
        <v>338</v>
      </c>
      <c r="H1299" t="s">
        <v>3026</v>
      </c>
      <c r="I1299" t="s">
        <v>2377</v>
      </c>
      <c r="J1299">
        <v>34</v>
      </c>
      <c r="K1299" s="9">
        <f t="shared" si="40"/>
        <v>45711</v>
      </c>
      <c r="L1299">
        <f t="shared" si="41"/>
        <v>5242871</v>
      </c>
    </row>
    <row r="1300" spans="1:12">
      <c r="A1300">
        <v>876</v>
      </c>
      <c r="B1300">
        <v>678</v>
      </c>
      <c r="C1300">
        <v>2</v>
      </c>
      <c r="D1300" t="s">
        <v>2390</v>
      </c>
      <c r="E1300" s="7">
        <v>9348.2</v>
      </c>
      <c r="F1300" s="7">
        <v>5.29</v>
      </c>
      <c r="G1300">
        <v>31</v>
      </c>
      <c r="H1300" t="s">
        <v>3027</v>
      </c>
      <c r="I1300" t="s">
        <v>2377</v>
      </c>
      <c r="J1300">
        <v>1</v>
      </c>
      <c r="K1300" s="9">
        <f t="shared" si="40"/>
        <v>45554</v>
      </c>
      <c r="L1300">
        <f t="shared" si="41"/>
        <v>93482</v>
      </c>
    </row>
    <row r="1301" spans="1:12">
      <c r="A1301">
        <v>877</v>
      </c>
      <c r="B1301">
        <v>661</v>
      </c>
      <c r="C1301">
        <v>4</v>
      </c>
      <c r="D1301" t="s">
        <v>2387</v>
      </c>
      <c r="E1301" s="7">
        <v>69139.55</v>
      </c>
      <c r="F1301" s="7">
        <v>12.58</v>
      </c>
      <c r="G1301">
        <v>172</v>
      </c>
      <c r="H1301" t="s">
        <v>3028</v>
      </c>
      <c r="I1301" t="s">
        <v>2393</v>
      </c>
      <c r="J1301">
        <v>251</v>
      </c>
      <c r="K1301" s="9">
        <f t="shared" si="40"/>
        <v>45085</v>
      </c>
      <c r="L1301">
        <f t="shared" si="41"/>
        <v>6913955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13" sqref="D13"/>
    </sheetView>
  </sheetViews>
  <sheetFormatPr defaultColWidth="10" defaultRowHeight="14.4" outlineLevelRow="7" outlineLevelCol="2"/>
  <cols>
    <col min="2" max="2" width="18.6666666666667" customWidth="1"/>
  </cols>
  <sheetData>
    <row r="1" spans="1:3">
      <c r="A1" t="s">
        <v>5</v>
      </c>
      <c r="B1" t="s">
        <v>3029</v>
      </c>
      <c r="C1" t="s">
        <v>4</v>
      </c>
    </row>
    <row r="2" spans="1:3">
      <c r="A2">
        <v>1</v>
      </c>
      <c r="B2" t="s">
        <v>3030</v>
      </c>
      <c r="C2" t="s">
        <v>16</v>
      </c>
    </row>
    <row r="3" spans="1:3">
      <c r="A3">
        <v>2</v>
      </c>
      <c r="B3" t="s">
        <v>3031</v>
      </c>
      <c r="C3" t="s">
        <v>16</v>
      </c>
    </row>
    <row r="4" spans="1:3">
      <c r="A4">
        <v>3</v>
      </c>
      <c r="B4" t="s">
        <v>3032</v>
      </c>
      <c r="C4" t="s">
        <v>43</v>
      </c>
    </row>
    <row r="5" spans="1:3">
      <c r="A5">
        <v>4</v>
      </c>
      <c r="B5" t="s">
        <v>3033</v>
      </c>
      <c r="C5" t="s">
        <v>11</v>
      </c>
    </row>
    <row r="6" spans="1:3">
      <c r="A6">
        <v>5</v>
      </c>
      <c r="B6" t="s">
        <v>3034</v>
      </c>
      <c r="C6" t="s">
        <v>53</v>
      </c>
    </row>
    <row r="7" spans="1:3">
      <c r="A7">
        <v>6</v>
      </c>
      <c r="B7" t="s">
        <v>3035</v>
      </c>
      <c r="C7" t="s">
        <v>29</v>
      </c>
    </row>
    <row r="8" spans="1:3">
      <c r="A8">
        <v>7</v>
      </c>
      <c r="B8" t="s">
        <v>3036</v>
      </c>
      <c r="C8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1"/>
  <sheetViews>
    <sheetView topLeftCell="A889" workbookViewId="0">
      <selection activeCell="H454" sqref="H454"/>
    </sheetView>
  </sheetViews>
  <sheetFormatPr defaultColWidth="8.88888888888889" defaultRowHeight="14.4"/>
  <cols>
    <col min="1" max="1" width="10"/>
    <col min="2" max="2" width="12.2222222222222" customWidth="1"/>
    <col min="3" max="3" width="16" customWidth="1"/>
    <col min="4" max="5" width="23.6666666666667" customWidth="1"/>
    <col min="6" max="6" width="18.6666666666667" customWidth="1"/>
    <col min="7" max="7" width="12.8888888888889" customWidth="1"/>
    <col min="8" max="8" width="12.5555555555556" style="6" customWidth="1"/>
    <col min="9" max="9" width="11.2222222222222" customWidth="1"/>
    <col min="10" max="10" width="13" customWidth="1"/>
    <col min="12" max="12" width="12.8888888888889"/>
  </cols>
  <sheetData>
    <row r="1" spans="1:10">
      <c r="A1" t="s">
        <v>2366</v>
      </c>
      <c r="B1" t="s">
        <v>3037</v>
      </c>
      <c r="C1" t="s">
        <v>3038</v>
      </c>
      <c r="D1" t="s">
        <v>3039</v>
      </c>
      <c r="E1" t="s">
        <v>3040</v>
      </c>
      <c r="F1" t="s">
        <v>3041</v>
      </c>
      <c r="G1" t="s">
        <v>3042</v>
      </c>
      <c r="H1" s="6" t="s">
        <v>3043</v>
      </c>
      <c r="I1" t="s">
        <v>3044</v>
      </c>
      <c r="J1" t="s">
        <v>3045</v>
      </c>
    </row>
    <row r="2" spans="1:10">
      <c r="A2">
        <v>503</v>
      </c>
      <c r="B2">
        <v>964</v>
      </c>
      <c r="C2" t="str">
        <f>_xlfn.XLOOKUP(B2,raw_customers!A:A,raw_customers!B:B)</f>
        <v>Murad Sadıqov</v>
      </c>
      <c r="D2" t="str">
        <f>_xlfn.XLOOKUP(C2,raw_customers!B:B,raw_customers!C:C)</f>
        <v>M</v>
      </c>
      <c r="E2" t="str">
        <f>_xlfn.XLOOKUP(C2,raw_customers!B:B,raw_customers!G:G)</f>
        <v>Premium</v>
      </c>
      <c r="F2" t="str">
        <f>_xlfn.XLOOKUP(_xlfn.XLOOKUP(B2,raw_customers!A:A,raw_customers!F:F),raw_branches!A:A,raw_branches!B:B)</f>
        <v>Ganja Branch</v>
      </c>
      <c r="G2" s="7">
        <v>144802.01</v>
      </c>
      <c r="H2" s="6">
        <v>12.52</v>
      </c>
      <c r="I2" t="s">
        <v>2377</v>
      </c>
      <c r="J2" t="str">
        <f>IF(I2="Default","Default (Batıq)",IF(H2&gt;=18,"Yüksək Risk",IF(H2&gt;=12,"Orta Risk","Aşağı Risk")))</f>
        <v>Orta Risk</v>
      </c>
    </row>
    <row r="3" spans="1:10">
      <c r="A3">
        <v>504</v>
      </c>
      <c r="B3">
        <v>702</v>
      </c>
      <c r="C3" t="str">
        <f>_xlfn.XLOOKUP(B3,raw_customers!A:A,raw_customers!B:B)</f>
        <v>Murad Bağırov</v>
      </c>
      <c r="D3" t="str">
        <f>_xlfn.XLOOKUP(C3,raw_customers!B:B,raw_customers!C:C)</f>
        <v>M</v>
      </c>
      <c r="E3" t="str">
        <f>_xlfn.XLOOKUP(C3,raw_customers!B:B,raw_customers!G:G)</f>
        <v>SME</v>
      </c>
      <c r="F3" t="str">
        <f>_xlfn.XLOOKUP(_xlfn.XLOOKUP(B3,raw_customers!A:A,raw_customers!F:F),raw_branches!A:A,raw_branches!B:B)</f>
        <v>Baku Yasamal</v>
      </c>
      <c r="G3" s="7">
        <v>79987.33</v>
      </c>
      <c r="H3" s="6">
        <v>16.44</v>
      </c>
      <c r="I3" t="s">
        <v>2377</v>
      </c>
      <c r="J3" t="str">
        <f t="shared" ref="J3:J66" si="0">IF(I3="Default","Default (Batıq)",IF(H3&gt;=18,"Yüksək Risk",IF(H3&gt;=12,"Orta Risk","Aşağı Risk")))</f>
        <v>Orta Risk</v>
      </c>
    </row>
    <row r="4" spans="1:10">
      <c r="A4">
        <v>505</v>
      </c>
      <c r="B4">
        <v>110</v>
      </c>
      <c r="C4" t="str">
        <f>_xlfn.XLOOKUP(B4,raw_customers!A:A,raw_customers!B:B)</f>
        <v>Xəyalə Hüseynov</v>
      </c>
      <c r="D4" t="str">
        <f>_xlfn.XLOOKUP(C4,raw_customers!B:B,raw_customers!C:C)</f>
        <v>F</v>
      </c>
      <c r="E4" t="str">
        <f>_xlfn.XLOOKUP(C4,raw_customers!B:B,raw_customers!G:G)</f>
        <v>Retail</v>
      </c>
      <c r="F4" t="str">
        <f>_xlfn.XLOOKUP(_xlfn.XLOOKUP(B4,raw_customers!A:A,raw_customers!F:F),raw_branches!A:A,raw_branches!B:B)</f>
        <v>Lankaran Branch</v>
      </c>
      <c r="G4" s="7">
        <v>7888.64</v>
      </c>
      <c r="H4" s="6">
        <v>9.37</v>
      </c>
      <c r="I4" t="s">
        <v>2377</v>
      </c>
      <c r="J4" t="str">
        <f t="shared" si="0"/>
        <v>Aşağı Risk</v>
      </c>
    </row>
    <row r="5" spans="1:10">
      <c r="A5">
        <v>506</v>
      </c>
      <c r="B5">
        <v>366</v>
      </c>
      <c r="C5" t="str">
        <f>_xlfn.XLOOKUP(B5,raw_customers!A:A,raw_customers!B:B)</f>
        <v>Könül Həsənov</v>
      </c>
      <c r="D5" t="str">
        <f>_xlfn.XLOOKUP(C5,raw_customers!B:B,raw_customers!C:C)</f>
        <v>F</v>
      </c>
      <c r="E5" t="str">
        <f>_xlfn.XLOOKUP(C5,raw_customers!B:B,raw_customers!G:G)</f>
        <v>Premium</v>
      </c>
      <c r="F5" t="str">
        <f>_xlfn.XLOOKUP(_xlfn.XLOOKUP(B5,raw_customers!A:A,raw_customers!F:F),raw_branches!A:A,raw_branches!B:B)</f>
        <v>Baku Central</v>
      </c>
      <c r="G5" s="7">
        <v>57335.63</v>
      </c>
      <c r="H5" s="6">
        <v>18.56</v>
      </c>
      <c r="I5" t="s">
        <v>2377</v>
      </c>
      <c r="J5" t="str">
        <f t="shared" si="0"/>
        <v>Yüksək Risk</v>
      </c>
    </row>
    <row r="6" spans="1:10">
      <c r="A6">
        <v>507</v>
      </c>
      <c r="B6">
        <v>629</v>
      </c>
      <c r="C6" t="str">
        <f>_xlfn.XLOOKUP(B6,raw_customers!A:A,raw_customers!B:B)</f>
        <v>Zeynəb Rzayev</v>
      </c>
      <c r="D6" t="str">
        <f>_xlfn.XLOOKUP(C6,raw_customers!B:B,raw_customers!C:C)</f>
        <v>F</v>
      </c>
      <c r="E6" t="str">
        <f>_xlfn.XLOOKUP(C6,raw_customers!B:B,raw_customers!G:G)</f>
        <v>Retail</v>
      </c>
      <c r="F6" t="str">
        <f>_xlfn.XLOOKUP(_xlfn.XLOOKUP(B6,raw_customers!A:A,raw_customers!F:F),raw_branches!A:A,raw_branches!B:B)</f>
        <v>Baku Yasamal</v>
      </c>
      <c r="G6" s="7">
        <v>68276.52</v>
      </c>
      <c r="H6" s="6">
        <v>13.67</v>
      </c>
      <c r="I6" t="s">
        <v>2377</v>
      </c>
      <c r="J6" t="str">
        <f t="shared" si="0"/>
        <v>Orta Risk</v>
      </c>
    </row>
    <row r="7" spans="1:10">
      <c r="A7">
        <v>508</v>
      </c>
      <c r="B7">
        <v>934</v>
      </c>
      <c r="C7" t="str">
        <f>_xlfn.XLOOKUP(B7,raw_customers!A:A,raw_customers!B:B)</f>
        <v>Xəyalə Məmmədov</v>
      </c>
      <c r="D7" t="str">
        <f>_xlfn.XLOOKUP(C7,raw_customers!B:B,raw_customers!C:C)</f>
        <v>F</v>
      </c>
      <c r="E7" t="str">
        <f>_xlfn.XLOOKUP(C7,raw_customers!B:B,raw_customers!G:G)</f>
        <v>Retail</v>
      </c>
      <c r="F7" t="str">
        <f>_xlfn.XLOOKUP(_xlfn.XLOOKUP(B7,raw_customers!A:A,raw_customers!F:F),raw_branches!A:A,raw_branches!B:B)</f>
        <v>Baku Yasamal</v>
      </c>
      <c r="G7" s="8">
        <v>5395.2</v>
      </c>
      <c r="H7" s="6">
        <v>16.34</v>
      </c>
      <c r="I7" t="s">
        <v>2383</v>
      </c>
      <c r="J7" t="str">
        <f t="shared" si="0"/>
        <v>Orta Risk</v>
      </c>
    </row>
    <row r="8" spans="1:10">
      <c r="A8">
        <v>509</v>
      </c>
      <c r="B8">
        <v>907</v>
      </c>
      <c r="C8" t="str">
        <f>_xlfn.XLOOKUP(B8,raw_customers!A:A,raw_customers!B:B)</f>
        <v>Fərid Nəbiyev</v>
      </c>
      <c r="D8" t="str">
        <f>_xlfn.XLOOKUP(C8,raw_customers!B:B,raw_customers!C:C)</f>
        <v>M</v>
      </c>
      <c r="E8" t="str">
        <f>_xlfn.XLOOKUP(C8,raw_customers!B:B,raw_customers!G:G)</f>
        <v>Retail</v>
      </c>
      <c r="F8" t="str">
        <f>_xlfn.XLOOKUP(_xlfn.XLOOKUP(B8,raw_customers!A:A,raw_customers!F:F),raw_branches!A:A,raw_branches!B:B)</f>
        <v>Lankaran Branch</v>
      </c>
      <c r="G8" s="7">
        <v>107604.16</v>
      </c>
      <c r="H8" s="6">
        <v>19.45</v>
      </c>
      <c r="I8" t="s">
        <v>2377</v>
      </c>
      <c r="J8" t="str">
        <f t="shared" si="0"/>
        <v>Yüksək Risk</v>
      </c>
    </row>
    <row r="9" spans="1:10">
      <c r="A9">
        <v>510</v>
      </c>
      <c r="B9">
        <v>326</v>
      </c>
      <c r="C9" t="str">
        <f>_xlfn.XLOOKUP(B9,raw_customers!A:A,raw_customers!B:B)</f>
        <v>Leyla Əzizov</v>
      </c>
      <c r="D9" t="str">
        <f>_xlfn.XLOOKUP(C9,raw_customers!B:B,raw_customers!C:C)</f>
        <v>F</v>
      </c>
      <c r="E9" t="str">
        <f>_xlfn.XLOOKUP(C9,raw_customers!B:B,raw_customers!G:G)</f>
        <v>Retail</v>
      </c>
      <c r="F9" t="str">
        <f>_xlfn.XLOOKUP(_xlfn.XLOOKUP(B9,raw_customers!A:A,raw_customers!F:F),raw_branches!A:A,raw_branches!B:B)</f>
        <v>Lankaran Branch</v>
      </c>
      <c r="G9" s="7">
        <v>7430.32</v>
      </c>
      <c r="H9" s="6">
        <v>12.87</v>
      </c>
      <c r="I9" t="s">
        <v>2377</v>
      </c>
      <c r="J9" t="str">
        <f t="shared" si="0"/>
        <v>Orta Risk</v>
      </c>
    </row>
    <row r="10" spans="1:10">
      <c r="A10">
        <v>511</v>
      </c>
      <c r="B10">
        <v>352</v>
      </c>
      <c r="C10" t="str">
        <f>_xlfn.XLOOKUP(B10,raw_customers!A:A,raw_customers!B:B)</f>
        <v>Vəfa Orucov</v>
      </c>
      <c r="D10" t="str">
        <f>_xlfn.XLOOKUP(C10,raw_customers!B:B,raw_customers!C:C)</f>
        <v>F</v>
      </c>
      <c r="E10" t="str">
        <f>_xlfn.XLOOKUP(C10,raw_customers!B:B,raw_customers!G:G)</f>
        <v>SME</v>
      </c>
      <c r="F10" t="str">
        <f>_xlfn.XLOOKUP(_xlfn.XLOOKUP(B10,raw_customers!A:A,raw_customers!F:F),raw_branches!A:A,raw_branches!B:B)</f>
        <v>Lankaran Branch</v>
      </c>
      <c r="G10" s="7">
        <v>99322.46</v>
      </c>
      <c r="H10" s="6">
        <v>14.86</v>
      </c>
      <c r="I10" t="s">
        <v>2383</v>
      </c>
      <c r="J10" t="str">
        <f t="shared" si="0"/>
        <v>Orta Risk</v>
      </c>
    </row>
    <row r="11" spans="1:10">
      <c r="A11">
        <v>512</v>
      </c>
      <c r="B11">
        <v>979</v>
      </c>
      <c r="C11" t="str">
        <f>_xlfn.XLOOKUP(B11,raw_customers!A:A,raw_customers!B:B)</f>
        <v>Nərgiz Novruzov</v>
      </c>
      <c r="D11" t="str">
        <f>_xlfn.XLOOKUP(C11,raw_customers!B:B,raw_customers!C:C)</f>
        <v>F</v>
      </c>
      <c r="E11" t="str">
        <f>_xlfn.XLOOKUP(C11,raw_customers!B:B,raw_customers!G:G)</f>
        <v>SME</v>
      </c>
      <c r="F11" t="str">
        <f>_xlfn.XLOOKUP(_xlfn.XLOOKUP(B11,raw_customers!A:A,raw_customers!F:F),raw_branches!A:A,raw_branches!B:B)</f>
        <v>Baku Central</v>
      </c>
      <c r="G11" s="7">
        <v>14436.78</v>
      </c>
      <c r="H11" s="6">
        <v>7.81</v>
      </c>
      <c r="I11" t="s">
        <v>2377</v>
      </c>
      <c r="J11" t="str">
        <f t="shared" si="0"/>
        <v>Aşağı Risk</v>
      </c>
    </row>
    <row r="12" spans="1:10">
      <c r="A12">
        <v>513</v>
      </c>
      <c r="B12">
        <v>708</v>
      </c>
      <c r="C12" t="str">
        <f>_xlfn.XLOOKUP(B12,raw_customers!A:A,raw_customers!B:B)</f>
        <v>Röya Əliyev</v>
      </c>
      <c r="D12" t="str">
        <f>_xlfn.XLOOKUP(C12,raw_customers!B:B,raw_customers!C:C)</f>
        <v>F</v>
      </c>
      <c r="E12" t="str">
        <f>_xlfn.XLOOKUP(C12,raw_customers!B:B,raw_customers!G:G)</f>
        <v>Retail</v>
      </c>
      <c r="F12" t="str">
        <f>_xlfn.XLOOKUP(_xlfn.XLOOKUP(B12,raw_customers!A:A,raw_customers!F:F),raw_branches!A:A,raw_branches!B:B)</f>
        <v>Baku Yasamal</v>
      </c>
      <c r="G12" s="7">
        <v>106322.24</v>
      </c>
      <c r="H12" s="6">
        <v>8.32</v>
      </c>
      <c r="I12" t="s">
        <v>2383</v>
      </c>
      <c r="J12" t="str">
        <f t="shared" si="0"/>
        <v>Aşağı Risk</v>
      </c>
    </row>
    <row r="13" spans="1:10">
      <c r="A13">
        <v>514</v>
      </c>
      <c r="B13">
        <v>243</v>
      </c>
      <c r="C13" t="str">
        <f>_xlfn.XLOOKUP(B13,raw_customers!A:A,raw_customers!B:B)</f>
        <v>Ramin Bağırov</v>
      </c>
      <c r="D13" t="str">
        <f>_xlfn.XLOOKUP(C13,raw_customers!B:B,raw_customers!C:C)</f>
        <v>M</v>
      </c>
      <c r="E13" t="str">
        <f>_xlfn.XLOOKUP(C13,raw_customers!B:B,raw_customers!G:G)</f>
        <v>SME</v>
      </c>
      <c r="F13" t="str">
        <f>_xlfn.XLOOKUP(_xlfn.XLOOKUP(B13,raw_customers!A:A,raw_customers!F:F),raw_branches!A:A,raw_branches!B:B)</f>
        <v>Sheki Branch</v>
      </c>
      <c r="G13" s="7">
        <v>136314.96</v>
      </c>
      <c r="H13" s="6">
        <v>11.88</v>
      </c>
      <c r="I13" t="s">
        <v>2377</v>
      </c>
      <c r="J13" t="str">
        <f t="shared" si="0"/>
        <v>Aşağı Risk</v>
      </c>
    </row>
    <row r="14" spans="1:10">
      <c r="A14">
        <v>515</v>
      </c>
      <c r="B14">
        <v>89</v>
      </c>
      <c r="C14" t="str">
        <f>_xlfn.XLOOKUP(B14,raw_customers!A:A,raw_customers!B:B)</f>
        <v>Tural Musayev</v>
      </c>
      <c r="D14" t="str">
        <f>_xlfn.XLOOKUP(C14,raw_customers!B:B,raw_customers!C:C)</f>
        <v>M</v>
      </c>
      <c r="E14" t="str">
        <f>_xlfn.XLOOKUP(C14,raw_customers!B:B,raw_customers!G:G)</f>
        <v>SME</v>
      </c>
      <c r="F14" t="str">
        <f>_xlfn.XLOOKUP(_xlfn.XLOOKUP(B14,raw_customers!A:A,raw_customers!F:F),raw_branches!A:A,raw_branches!B:B)</f>
        <v>Baku Central</v>
      </c>
      <c r="G14" s="7">
        <v>12025.71</v>
      </c>
      <c r="H14" s="6">
        <v>12.32</v>
      </c>
      <c r="I14" t="s">
        <v>2377</v>
      </c>
      <c r="J14" t="str">
        <f t="shared" si="0"/>
        <v>Orta Risk</v>
      </c>
    </row>
    <row r="15" spans="1:10">
      <c r="A15">
        <v>516</v>
      </c>
      <c r="B15">
        <v>702</v>
      </c>
      <c r="C15" t="str">
        <f>_xlfn.XLOOKUP(B15,raw_customers!A:A,raw_customers!B:B)</f>
        <v>Murad Bağırov</v>
      </c>
      <c r="D15" t="str">
        <f>_xlfn.XLOOKUP(C15,raw_customers!B:B,raw_customers!C:C)</f>
        <v>M</v>
      </c>
      <c r="E15" t="str">
        <f>_xlfn.XLOOKUP(C15,raw_customers!B:B,raw_customers!G:G)</f>
        <v>SME</v>
      </c>
      <c r="F15" t="str">
        <f>_xlfn.XLOOKUP(_xlfn.XLOOKUP(B15,raw_customers!A:A,raw_customers!F:F),raw_branches!A:A,raw_branches!B:B)</f>
        <v>Baku Yasamal</v>
      </c>
      <c r="G15" s="7">
        <v>11542.3</v>
      </c>
      <c r="H15" s="6">
        <v>14.3</v>
      </c>
      <c r="I15" t="s">
        <v>2393</v>
      </c>
      <c r="J15" t="str">
        <f t="shared" si="0"/>
        <v>Default (Batıq)</v>
      </c>
    </row>
    <row r="16" spans="1:10">
      <c r="A16">
        <v>517</v>
      </c>
      <c r="B16">
        <v>261</v>
      </c>
      <c r="C16" t="str">
        <f>_xlfn.XLOOKUP(B16,raw_customers!A:A,raw_customers!B:B)</f>
        <v>Ceyhun Novruzov</v>
      </c>
      <c r="D16" t="str">
        <f>_xlfn.XLOOKUP(C16,raw_customers!B:B,raw_customers!C:C)</f>
        <v>M</v>
      </c>
      <c r="E16" t="str">
        <f>_xlfn.XLOOKUP(C16,raw_customers!B:B,raw_customers!G:G)</f>
        <v>SME</v>
      </c>
      <c r="F16" t="str">
        <f>_xlfn.XLOOKUP(_xlfn.XLOOKUP(B16,raw_customers!A:A,raw_customers!F:F),raw_branches!A:A,raw_branches!B:B)</f>
        <v>Sumgait Branch</v>
      </c>
      <c r="G16" s="7">
        <v>5516.51</v>
      </c>
      <c r="H16" s="6">
        <v>8.89</v>
      </c>
      <c r="I16" t="s">
        <v>2383</v>
      </c>
      <c r="J16" t="str">
        <f t="shared" si="0"/>
        <v>Aşağı Risk</v>
      </c>
    </row>
    <row r="17" spans="1:10">
      <c r="A17">
        <v>518</v>
      </c>
      <c r="B17">
        <v>430</v>
      </c>
      <c r="C17" t="str">
        <f>_xlfn.XLOOKUP(B17,raw_customers!A:A,raw_customers!B:B)</f>
        <v>Nərmin Nəbiyev</v>
      </c>
      <c r="D17" t="str">
        <f>_xlfn.XLOOKUP(C17,raw_customers!B:B,raw_customers!C:C)</f>
        <v>F</v>
      </c>
      <c r="E17" t="str">
        <f>_xlfn.XLOOKUP(C17,raw_customers!B:B,raw_customers!G:G)</f>
        <v>Retail</v>
      </c>
      <c r="F17" t="str">
        <f>_xlfn.XLOOKUP(_xlfn.XLOOKUP(B17,raw_customers!A:A,raw_customers!F:F),raw_branches!A:A,raw_branches!B:B)</f>
        <v>Sumgait Branch</v>
      </c>
      <c r="G17" s="7">
        <v>140462.92</v>
      </c>
      <c r="H17" s="6">
        <v>17.47</v>
      </c>
      <c r="I17" t="s">
        <v>2377</v>
      </c>
      <c r="J17" t="str">
        <f t="shared" si="0"/>
        <v>Orta Risk</v>
      </c>
    </row>
    <row r="18" spans="1:10">
      <c r="A18">
        <v>519</v>
      </c>
      <c r="B18">
        <v>900</v>
      </c>
      <c r="C18" t="str">
        <f>_xlfn.XLOOKUP(B18,raw_customers!A:A,raw_customers!B:B)</f>
        <v>Şəbnəm Novruzov</v>
      </c>
      <c r="D18" t="str">
        <f>_xlfn.XLOOKUP(C18,raw_customers!B:B,raw_customers!C:C)</f>
        <v>F</v>
      </c>
      <c r="E18" t="str">
        <f>_xlfn.XLOOKUP(C18,raw_customers!B:B,raw_customers!G:G)</f>
        <v>Premium</v>
      </c>
      <c r="F18" t="str">
        <f>_xlfn.XLOOKUP(_xlfn.XLOOKUP(B18,raw_customers!A:A,raw_customers!F:F),raw_branches!A:A,raw_branches!B:B)</f>
        <v>Lankaran Branch</v>
      </c>
      <c r="G18" s="7">
        <v>152095.89</v>
      </c>
      <c r="H18" s="6">
        <v>16.98</v>
      </c>
      <c r="I18" t="s">
        <v>2383</v>
      </c>
      <c r="J18" t="str">
        <f t="shared" si="0"/>
        <v>Orta Risk</v>
      </c>
    </row>
    <row r="19" spans="1:10">
      <c r="A19">
        <v>520</v>
      </c>
      <c r="B19">
        <v>957</v>
      </c>
      <c r="C19" t="str">
        <f>_xlfn.XLOOKUP(B19,raw_customers!A:A,raw_customers!B:B)</f>
        <v>Röya Həsənov</v>
      </c>
      <c r="D19" t="str">
        <f>_xlfn.XLOOKUP(C19,raw_customers!B:B,raw_customers!C:C)</f>
        <v>F</v>
      </c>
      <c r="E19" t="str">
        <f>_xlfn.XLOOKUP(C19,raw_customers!B:B,raw_customers!G:G)</f>
        <v>Retail</v>
      </c>
      <c r="F19" t="str">
        <f>_xlfn.XLOOKUP(_xlfn.XLOOKUP(B19,raw_customers!A:A,raw_customers!F:F),raw_branches!A:A,raw_branches!B:B)</f>
        <v>Sumgait Branch</v>
      </c>
      <c r="G19" s="7">
        <v>3357.1</v>
      </c>
      <c r="H19" s="6">
        <v>10.5</v>
      </c>
      <c r="I19" t="s">
        <v>2383</v>
      </c>
      <c r="J19" t="str">
        <f t="shared" si="0"/>
        <v>Aşağı Risk</v>
      </c>
    </row>
    <row r="20" spans="1:10">
      <c r="A20">
        <v>521</v>
      </c>
      <c r="B20">
        <v>706</v>
      </c>
      <c r="C20" t="str">
        <f>_xlfn.XLOOKUP(B20,raw_customers!A:A,raw_customers!B:B)</f>
        <v>Orxan Abbasov</v>
      </c>
      <c r="D20" t="str">
        <f>_xlfn.XLOOKUP(C20,raw_customers!B:B,raw_customers!C:C)</f>
        <v>M</v>
      </c>
      <c r="E20" t="str">
        <f>_xlfn.XLOOKUP(C20,raw_customers!B:B,raw_customers!G:G)</f>
        <v>Premium</v>
      </c>
      <c r="F20" t="str">
        <f>_xlfn.XLOOKUP(_xlfn.XLOOKUP(B20,raw_customers!A:A,raw_customers!F:F),raw_branches!A:A,raw_branches!B:B)</f>
        <v>Sumgait Branch</v>
      </c>
      <c r="G20" s="7">
        <v>8034.19</v>
      </c>
      <c r="H20" s="6">
        <v>20.27</v>
      </c>
      <c r="I20" t="s">
        <v>2377</v>
      </c>
      <c r="J20" t="str">
        <f t="shared" si="0"/>
        <v>Yüksək Risk</v>
      </c>
    </row>
    <row r="21" spans="1:10">
      <c r="A21">
        <v>522</v>
      </c>
      <c r="B21">
        <v>933</v>
      </c>
      <c r="C21" t="str">
        <f>_xlfn.XLOOKUP(B21,raw_customers!A:A,raw_customers!B:B)</f>
        <v>Aysel Orucov</v>
      </c>
      <c r="D21" t="str">
        <f>_xlfn.XLOOKUP(C21,raw_customers!B:B,raw_customers!C:C)</f>
        <v>F</v>
      </c>
      <c r="E21" t="str">
        <f>_xlfn.XLOOKUP(C21,raw_customers!B:B,raw_customers!G:G)</f>
        <v>Retail</v>
      </c>
      <c r="F21" t="str">
        <f>_xlfn.XLOOKUP(_xlfn.XLOOKUP(B21,raw_customers!A:A,raw_customers!F:F),raw_branches!A:A,raw_branches!B:B)</f>
        <v>Sheki Branch</v>
      </c>
      <c r="G21" s="7">
        <v>39174.9</v>
      </c>
      <c r="H21" s="6">
        <v>14.01</v>
      </c>
      <c r="I21" t="s">
        <v>2377</v>
      </c>
      <c r="J21" t="str">
        <f t="shared" si="0"/>
        <v>Orta Risk</v>
      </c>
    </row>
    <row r="22" spans="1:10">
      <c r="A22">
        <v>523</v>
      </c>
      <c r="B22">
        <v>902</v>
      </c>
      <c r="C22" t="str">
        <f>_xlfn.XLOOKUP(B22,raw_customers!A:A,raw_customers!B:B)</f>
        <v>Aynur Nəbiyev</v>
      </c>
      <c r="D22" t="str">
        <f>_xlfn.XLOOKUP(C22,raw_customers!B:B,raw_customers!C:C)</f>
        <v>F</v>
      </c>
      <c r="E22" t="str">
        <f>_xlfn.XLOOKUP(C22,raw_customers!B:B,raw_customers!G:G)</f>
        <v>Premium</v>
      </c>
      <c r="F22" t="str">
        <f>_xlfn.XLOOKUP(_xlfn.XLOOKUP(B22,raw_customers!A:A,raw_customers!F:F),raw_branches!A:A,raw_branches!B:B)</f>
        <v>Baku Central</v>
      </c>
      <c r="G22" s="7">
        <v>126399.7</v>
      </c>
      <c r="H22" s="6">
        <v>8.41</v>
      </c>
      <c r="I22" t="s">
        <v>2393</v>
      </c>
      <c r="J22" t="str">
        <f t="shared" si="0"/>
        <v>Default (Batıq)</v>
      </c>
    </row>
    <row r="23" spans="1:10">
      <c r="A23">
        <v>524</v>
      </c>
      <c r="B23">
        <v>429</v>
      </c>
      <c r="C23" t="str">
        <f>_xlfn.XLOOKUP(B23,raw_customers!A:A,raw_customers!B:B)</f>
        <v>Elşən Həsənov</v>
      </c>
      <c r="D23" t="str">
        <f>_xlfn.XLOOKUP(C23,raw_customers!B:B,raw_customers!C:C)</f>
        <v>M</v>
      </c>
      <c r="E23" t="str">
        <f>_xlfn.XLOOKUP(C23,raw_customers!B:B,raw_customers!G:G)</f>
        <v>Retail</v>
      </c>
      <c r="F23" t="str">
        <f>_xlfn.XLOOKUP(_xlfn.XLOOKUP(B23,raw_customers!A:A,raw_customers!F:F),raw_branches!A:A,raw_branches!B:B)</f>
        <v>Mingachevir Branch</v>
      </c>
      <c r="G23" s="7">
        <v>28675.25</v>
      </c>
      <c r="H23" s="6">
        <v>20.89</v>
      </c>
      <c r="I23" t="s">
        <v>2377</v>
      </c>
      <c r="J23" t="str">
        <f t="shared" si="0"/>
        <v>Yüksək Risk</v>
      </c>
    </row>
    <row r="24" spans="1:10">
      <c r="A24">
        <v>525</v>
      </c>
      <c r="B24">
        <v>405</v>
      </c>
      <c r="C24" t="str">
        <f>_xlfn.XLOOKUP(B24,raw_customers!A:A,raw_customers!B:B)</f>
        <v>Kamran Cəfərov</v>
      </c>
      <c r="D24" t="str">
        <f>_xlfn.XLOOKUP(C24,raw_customers!B:B,raw_customers!C:C)</f>
        <v>M</v>
      </c>
      <c r="E24" t="str">
        <f>_xlfn.XLOOKUP(C24,raw_customers!B:B,raw_customers!G:G)</f>
        <v>SME</v>
      </c>
      <c r="F24" t="str">
        <f>_xlfn.XLOOKUP(_xlfn.XLOOKUP(B24,raw_customers!A:A,raw_customers!F:F),raw_branches!A:A,raw_branches!B:B)</f>
        <v>Sumgait Branch</v>
      </c>
      <c r="G24" s="7">
        <v>86650.25</v>
      </c>
      <c r="H24" s="6">
        <v>6.76</v>
      </c>
      <c r="I24" t="s">
        <v>2393</v>
      </c>
      <c r="J24" t="str">
        <f t="shared" si="0"/>
        <v>Default (Batıq)</v>
      </c>
    </row>
    <row r="25" spans="1:10">
      <c r="A25">
        <v>526</v>
      </c>
      <c r="B25">
        <v>348</v>
      </c>
      <c r="C25" t="str">
        <f>_xlfn.XLOOKUP(B25,raw_customers!A:A,raw_customers!B:B)</f>
        <v>Murad Məmmədov</v>
      </c>
      <c r="D25" t="str">
        <f>_xlfn.XLOOKUP(C25,raw_customers!B:B,raw_customers!C:C)</f>
        <v>M</v>
      </c>
      <c r="E25" t="str">
        <f>_xlfn.XLOOKUP(C25,raw_customers!B:B,raw_customers!G:G)</f>
        <v>Retail</v>
      </c>
      <c r="F25" t="str">
        <f>_xlfn.XLOOKUP(_xlfn.XLOOKUP(B25,raw_customers!A:A,raw_customers!F:F),raw_branches!A:A,raw_branches!B:B)</f>
        <v>Lankaran Branch</v>
      </c>
      <c r="G25" s="7">
        <v>5007.46</v>
      </c>
      <c r="H25" s="6">
        <v>8.69</v>
      </c>
      <c r="I25" t="s">
        <v>2383</v>
      </c>
      <c r="J25" t="str">
        <f t="shared" si="0"/>
        <v>Aşağı Risk</v>
      </c>
    </row>
    <row r="26" spans="1:10">
      <c r="A26">
        <v>527</v>
      </c>
      <c r="B26">
        <v>372</v>
      </c>
      <c r="C26" t="str">
        <f>_xlfn.XLOOKUP(B26,raw_customers!A:A,raw_customers!B:B)</f>
        <v>Nicat Rəhimov</v>
      </c>
      <c r="D26" t="str">
        <f>_xlfn.XLOOKUP(C26,raw_customers!B:B,raw_customers!C:C)</f>
        <v>M</v>
      </c>
      <c r="E26" t="str">
        <f>_xlfn.XLOOKUP(C26,raw_customers!B:B,raw_customers!G:G)</f>
        <v>Retail</v>
      </c>
      <c r="F26" t="str">
        <f>_xlfn.XLOOKUP(_xlfn.XLOOKUP(B26,raw_customers!A:A,raw_customers!F:F),raw_branches!A:A,raw_branches!B:B)</f>
        <v>Sumgait Branch</v>
      </c>
      <c r="G26" s="7">
        <v>21487.02</v>
      </c>
      <c r="H26" s="6">
        <v>12.09</v>
      </c>
      <c r="I26" t="s">
        <v>2377</v>
      </c>
      <c r="J26" t="str">
        <f t="shared" si="0"/>
        <v>Orta Risk</v>
      </c>
    </row>
    <row r="27" spans="1:10">
      <c r="A27">
        <v>528</v>
      </c>
      <c r="B27">
        <v>932</v>
      </c>
      <c r="C27" t="str">
        <f>_xlfn.XLOOKUP(B27,raw_customers!A:A,raw_customers!B:B)</f>
        <v>Ramin Bağırov</v>
      </c>
      <c r="D27" t="str">
        <f>_xlfn.XLOOKUP(C27,raw_customers!B:B,raw_customers!C:C)</f>
        <v>M</v>
      </c>
      <c r="E27" t="str">
        <f>_xlfn.XLOOKUP(C27,raw_customers!B:B,raw_customers!G:G)</f>
        <v>SME</v>
      </c>
      <c r="F27" t="str">
        <f>_xlfn.XLOOKUP(_xlfn.XLOOKUP(B27,raw_customers!A:A,raw_customers!F:F),raw_branches!A:A,raw_branches!B:B)</f>
        <v>Mingachevir Branch</v>
      </c>
      <c r="G27" s="7">
        <v>131621.36</v>
      </c>
      <c r="H27" s="6">
        <v>14.66</v>
      </c>
      <c r="I27" t="s">
        <v>2393</v>
      </c>
      <c r="J27" t="str">
        <f t="shared" si="0"/>
        <v>Default (Batıq)</v>
      </c>
    </row>
    <row r="28" spans="1:10">
      <c r="A28">
        <v>529</v>
      </c>
      <c r="B28">
        <v>233</v>
      </c>
      <c r="C28" t="str">
        <f>_xlfn.XLOOKUP(B28,raw_customers!A:A,raw_customers!B:B)</f>
        <v>Vüqar Nəbiyev</v>
      </c>
      <c r="D28" t="str">
        <f>_xlfn.XLOOKUP(C28,raw_customers!B:B,raw_customers!C:C)</f>
        <v>M</v>
      </c>
      <c r="E28" t="str">
        <f>_xlfn.XLOOKUP(C28,raw_customers!B:B,raw_customers!G:G)</f>
        <v>SME</v>
      </c>
      <c r="F28" t="str">
        <f>_xlfn.XLOOKUP(_xlfn.XLOOKUP(B28,raw_customers!A:A,raw_customers!F:F),raw_branches!A:A,raw_branches!B:B)</f>
        <v>Baku Central</v>
      </c>
      <c r="G28" s="7">
        <v>3271.66</v>
      </c>
      <c r="H28" s="6">
        <v>14.47</v>
      </c>
      <c r="I28" t="s">
        <v>2377</v>
      </c>
      <c r="J28" t="str">
        <f t="shared" si="0"/>
        <v>Orta Risk</v>
      </c>
    </row>
    <row r="29" spans="1:10">
      <c r="A29">
        <v>530</v>
      </c>
      <c r="B29">
        <v>249</v>
      </c>
      <c r="C29" t="str">
        <f>_xlfn.XLOOKUP(B29,raw_customers!A:A,raw_customers!B:B)</f>
        <v>Nigar Novruzov</v>
      </c>
      <c r="D29" t="str">
        <f>_xlfn.XLOOKUP(C29,raw_customers!B:B,raw_customers!C:C)</f>
        <v>F</v>
      </c>
      <c r="E29" t="str">
        <f>_xlfn.XLOOKUP(C29,raw_customers!B:B,raw_customers!G:G)</f>
        <v>SME</v>
      </c>
      <c r="F29" t="str">
        <f>_xlfn.XLOOKUP(_xlfn.XLOOKUP(B29,raw_customers!A:A,raw_customers!F:F),raw_branches!A:A,raw_branches!B:B)</f>
        <v>Sheki Branch</v>
      </c>
      <c r="G29" s="7">
        <v>12138.1</v>
      </c>
      <c r="H29" s="6">
        <v>12.1</v>
      </c>
      <c r="I29" t="s">
        <v>2377</v>
      </c>
      <c r="J29" t="str">
        <f t="shared" si="0"/>
        <v>Orta Risk</v>
      </c>
    </row>
    <row r="30" spans="1:10">
      <c r="A30">
        <v>531</v>
      </c>
      <c r="B30">
        <v>739</v>
      </c>
      <c r="C30" t="str">
        <f>_xlfn.XLOOKUP(B30,raw_customers!A:A,raw_customers!B:B)</f>
        <v>Günel Vəliyev</v>
      </c>
      <c r="D30" t="str">
        <f>_xlfn.XLOOKUP(C30,raw_customers!B:B,raw_customers!C:C)</f>
        <v>F</v>
      </c>
      <c r="E30" t="str">
        <f>_xlfn.XLOOKUP(C30,raw_customers!B:B,raw_customers!G:G)</f>
        <v>Retail</v>
      </c>
      <c r="F30" t="str">
        <f>_xlfn.XLOOKUP(_xlfn.XLOOKUP(B30,raw_customers!A:A,raw_customers!F:F),raw_branches!A:A,raw_branches!B:B)</f>
        <v>Sheki Branch</v>
      </c>
      <c r="G30" s="7">
        <v>100872.7</v>
      </c>
      <c r="H30" s="6">
        <v>21.06</v>
      </c>
      <c r="I30" t="s">
        <v>2377</v>
      </c>
      <c r="J30" t="str">
        <f t="shared" si="0"/>
        <v>Yüksək Risk</v>
      </c>
    </row>
    <row r="31" spans="1:10">
      <c r="A31">
        <v>532</v>
      </c>
      <c r="B31">
        <v>469</v>
      </c>
      <c r="C31" t="str">
        <f>_xlfn.XLOOKUP(B31,raw_customers!A:A,raw_customers!B:B)</f>
        <v>Ülviyyə Quliyev</v>
      </c>
      <c r="D31" t="str">
        <f>_xlfn.XLOOKUP(C31,raw_customers!B:B,raw_customers!C:C)</f>
        <v>F</v>
      </c>
      <c r="E31" t="str">
        <f>_xlfn.XLOOKUP(C31,raw_customers!B:B,raw_customers!G:G)</f>
        <v>Retail</v>
      </c>
      <c r="F31" t="str">
        <f>_xlfn.XLOOKUP(_xlfn.XLOOKUP(B31,raw_customers!A:A,raw_customers!F:F),raw_branches!A:A,raw_branches!B:B)</f>
        <v>Baku Central</v>
      </c>
      <c r="G31" s="7">
        <v>39596.7</v>
      </c>
      <c r="H31" s="6">
        <v>6.07</v>
      </c>
      <c r="I31" t="s">
        <v>2383</v>
      </c>
      <c r="J31" t="str">
        <f t="shared" si="0"/>
        <v>Aşağı Risk</v>
      </c>
    </row>
    <row r="32" spans="1:10">
      <c r="A32">
        <v>533</v>
      </c>
      <c r="B32">
        <v>960</v>
      </c>
      <c r="C32" t="str">
        <f>_xlfn.XLOOKUP(B32,raw_customers!A:A,raw_customers!B:B)</f>
        <v>Ramin Bağırov</v>
      </c>
      <c r="D32" t="str">
        <f>_xlfn.XLOOKUP(C32,raw_customers!B:B,raw_customers!C:C)</f>
        <v>M</v>
      </c>
      <c r="E32" t="str">
        <f>_xlfn.XLOOKUP(C32,raw_customers!B:B,raw_customers!G:G)</f>
        <v>SME</v>
      </c>
      <c r="F32" t="str">
        <f>_xlfn.XLOOKUP(_xlfn.XLOOKUP(B32,raw_customers!A:A,raw_customers!F:F),raw_branches!A:A,raw_branches!B:B)</f>
        <v>Lankaran Branch</v>
      </c>
      <c r="G32" s="7">
        <v>32046.48</v>
      </c>
      <c r="H32" s="6">
        <v>17.16</v>
      </c>
      <c r="I32" t="s">
        <v>2393</v>
      </c>
      <c r="J32" t="str">
        <f t="shared" si="0"/>
        <v>Default (Batıq)</v>
      </c>
    </row>
    <row r="33" spans="1:10">
      <c r="A33">
        <v>534</v>
      </c>
      <c r="B33">
        <v>621</v>
      </c>
      <c r="C33" t="str">
        <f>_xlfn.XLOOKUP(B33,raw_customers!A:A,raw_customers!B:B)</f>
        <v>Günel Kərimov</v>
      </c>
      <c r="D33" t="str">
        <f>_xlfn.XLOOKUP(C33,raw_customers!B:B,raw_customers!C:C)</f>
        <v>F</v>
      </c>
      <c r="E33" t="str">
        <f>_xlfn.XLOOKUP(C33,raw_customers!B:B,raw_customers!G:G)</f>
        <v>Retail</v>
      </c>
      <c r="F33" t="str">
        <f>_xlfn.XLOOKUP(_xlfn.XLOOKUP(B33,raw_customers!A:A,raw_customers!F:F),raw_branches!A:A,raw_branches!B:B)</f>
        <v>Sumgait Branch</v>
      </c>
      <c r="G33" s="7">
        <v>2561.95</v>
      </c>
      <c r="H33" s="6">
        <v>19.19</v>
      </c>
      <c r="I33" t="s">
        <v>2377</v>
      </c>
      <c r="J33" t="str">
        <f t="shared" si="0"/>
        <v>Yüksək Risk</v>
      </c>
    </row>
    <row r="34" spans="1:10">
      <c r="A34">
        <v>535</v>
      </c>
      <c r="B34">
        <v>670</v>
      </c>
      <c r="C34" t="str">
        <f>_xlfn.XLOOKUP(B34,raw_customers!A:A,raw_customers!B:B)</f>
        <v>Ceyhun Musayev</v>
      </c>
      <c r="D34" t="str">
        <f>_xlfn.XLOOKUP(C34,raw_customers!B:B,raw_customers!C:C)</f>
        <v>M</v>
      </c>
      <c r="E34" t="str">
        <f>_xlfn.XLOOKUP(C34,raw_customers!B:B,raw_customers!G:G)</f>
        <v>Retail</v>
      </c>
      <c r="F34" t="str">
        <f>_xlfn.XLOOKUP(_xlfn.XLOOKUP(B34,raw_customers!A:A,raw_customers!F:F),raw_branches!A:A,raw_branches!B:B)</f>
        <v>Mingachevir Branch</v>
      </c>
      <c r="G34" s="7">
        <v>2079.28</v>
      </c>
      <c r="H34" s="6">
        <v>13.72</v>
      </c>
      <c r="I34" t="s">
        <v>2377</v>
      </c>
      <c r="J34" t="str">
        <f t="shared" si="0"/>
        <v>Orta Risk</v>
      </c>
    </row>
    <row r="35" spans="1:10">
      <c r="A35">
        <v>536</v>
      </c>
      <c r="B35">
        <v>701</v>
      </c>
      <c r="C35" t="str">
        <f>_xlfn.XLOOKUP(B35,raw_customers!A:A,raw_customers!B:B)</f>
        <v>Nicat Sadıqov</v>
      </c>
      <c r="D35" t="str">
        <f>_xlfn.XLOOKUP(C35,raw_customers!B:B,raw_customers!C:C)</f>
        <v>M</v>
      </c>
      <c r="E35" t="str">
        <f>_xlfn.XLOOKUP(C35,raw_customers!B:B,raw_customers!G:G)</f>
        <v>Retail</v>
      </c>
      <c r="F35" t="str">
        <f>_xlfn.XLOOKUP(_xlfn.XLOOKUP(B35,raw_customers!A:A,raw_customers!F:F),raw_branches!A:A,raw_branches!B:B)</f>
        <v>Ganja Branch</v>
      </c>
      <c r="G35" s="7">
        <v>16932.81</v>
      </c>
      <c r="H35" s="6">
        <v>15.54</v>
      </c>
      <c r="I35" t="s">
        <v>2383</v>
      </c>
      <c r="J35" t="str">
        <f t="shared" si="0"/>
        <v>Orta Risk</v>
      </c>
    </row>
    <row r="36" spans="1:10">
      <c r="A36">
        <v>537</v>
      </c>
      <c r="B36">
        <v>461</v>
      </c>
      <c r="C36" t="str">
        <f>_xlfn.XLOOKUP(B36,raw_customers!A:A,raw_customers!B:B)</f>
        <v>Fərid Kərimov</v>
      </c>
      <c r="D36" t="str">
        <f>_xlfn.XLOOKUP(C36,raw_customers!B:B,raw_customers!C:C)</f>
        <v>M</v>
      </c>
      <c r="E36" t="str">
        <f>_xlfn.XLOOKUP(C36,raw_customers!B:B,raw_customers!G:G)</f>
        <v>SME</v>
      </c>
      <c r="F36" t="str">
        <f>_xlfn.XLOOKUP(_xlfn.XLOOKUP(B36,raw_customers!A:A,raw_customers!F:F),raw_branches!A:A,raw_branches!B:B)</f>
        <v>Sheki Branch</v>
      </c>
      <c r="G36" s="7">
        <v>5942.55</v>
      </c>
      <c r="H36" s="6">
        <v>13.94</v>
      </c>
      <c r="I36" t="s">
        <v>2377</v>
      </c>
      <c r="J36" t="str">
        <f t="shared" si="0"/>
        <v>Orta Risk</v>
      </c>
    </row>
    <row r="37" spans="1:10">
      <c r="A37">
        <v>538</v>
      </c>
      <c r="B37">
        <v>238</v>
      </c>
      <c r="C37" t="str">
        <f>_xlfn.XLOOKUP(B37,raw_customers!A:A,raw_customers!B:B)</f>
        <v>Vəfa Cəfərov</v>
      </c>
      <c r="D37" t="str">
        <f>_xlfn.XLOOKUP(C37,raw_customers!B:B,raw_customers!C:C)</f>
        <v>F</v>
      </c>
      <c r="E37" t="str">
        <f>_xlfn.XLOOKUP(C37,raw_customers!B:B,raw_customers!G:G)</f>
        <v>Retail</v>
      </c>
      <c r="F37" t="str">
        <f>_xlfn.XLOOKUP(_xlfn.XLOOKUP(B37,raw_customers!A:A,raw_customers!F:F),raw_branches!A:A,raw_branches!B:B)</f>
        <v>Ganja Branch</v>
      </c>
      <c r="G37" s="7">
        <v>1499.15</v>
      </c>
      <c r="H37" s="6">
        <v>19.75</v>
      </c>
      <c r="I37" t="s">
        <v>2383</v>
      </c>
      <c r="J37" t="str">
        <f t="shared" si="0"/>
        <v>Yüksək Risk</v>
      </c>
    </row>
    <row r="38" spans="1:10">
      <c r="A38">
        <v>539</v>
      </c>
      <c r="B38">
        <v>989</v>
      </c>
      <c r="C38" t="str">
        <f>_xlfn.XLOOKUP(B38,raw_customers!A:A,raw_customers!B:B)</f>
        <v>Ramin Rzayev</v>
      </c>
      <c r="D38" t="str">
        <f>_xlfn.XLOOKUP(C38,raw_customers!B:B,raw_customers!C:C)</f>
        <v>M</v>
      </c>
      <c r="E38" t="str">
        <f>_xlfn.XLOOKUP(C38,raw_customers!B:B,raw_customers!G:G)</f>
        <v>Premium</v>
      </c>
      <c r="F38" t="str">
        <f>_xlfn.XLOOKUP(_xlfn.XLOOKUP(B38,raw_customers!A:A,raw_customers!F:F),raw_branches!A:A,raw_branches!B:B)</f>
        <v>Baku Central</v>
      </c>
      <c r="G38" s="7">
        <v>5904.77</v>
      </c>
      <c r="H38" s="6">
        <v>13.41</v>
      </c>
      <c r="I38" t="s">
        <v>2377</v>
      </c>
      <c r="J38" t="str">
        <f t="shared" si="0"/>
        <v>Orta Risk</v>
      </c>
    </row>
    <row r="39" spans="1:10">
      <c r="A39">
        <v>540</v>
      </c>
      <c r="B39">
        <v>497</v>
      </c>
      <c r="C39" t="str">
        <f>_xlfn.XLOOKUP(B39,raw_customers!A:A,raw_customers!B:B)</f>
        <v>Fuad Tağıyev</v>
      </c>
      <c r="D39" t="str">
        <f>_xlfn.XLOOKUP(C39,raw_customers!B:B,raw_customers!C:C)</f>
        <v>M</v>
      </c>
      <c r="E39" t="str">
        <f>_xlfn.XLOOKUP(C39,raw_customers!B:B,raw_customers!G:G)</f>
        <v>Retail</v>
      </c>
      <c r="F39" t="str">
        <f>_xlfn.XLOOKUP(_xlfn.XLOOKUP(B39,raw_customers!A:A,raw_customers!F:F),raw_branches!A:A,raw_branches!B:B)</f>
        <v>Sheki Branch</v>
      </c>
      <c r="G39" s="7">
        <v>10245.78</v>
      </c>
      <c r="H39" s="6">
        <v>5.24</v>
      </c>
      <c r="I39" t="s">
        <v>2377</v>
      </c>
      <c r="J39" t="str">
        <f t="shared" si="0"/>
        <v>Aşağı Risk</v>
      </c>
    </row>
    <row r="40" spans="1:10">
      <c r="A40">
        <v>541</v>
      </c>
      <c r="B40">
        <v>693</v>
      </c>
      <c r="C40" t="str">
        <f>_xlfn.XLOOKUP(B40,raw_customers!A:A,raw_customers!B:B)</f>
        <v>Murad Həsənov</v>
      </c>
      <c r="D40" t="str">
        <f>_xlfn.XLOOKUP(C40,raw_customers!B:B,raw_customers!C:C)</f>
        <v>M</v>
      </c>
      <c r="E40" t="str">
        <f>_xlfn.XLOOKUP(C40,raw_customers!B:B,raw_customers!G:G)</f>
        <v>Retail</v>
      </c>
      <c r="F40" t="str">
        <f>_xlfn.XLOOKUP(_xlfn.XLOOKUP(B40,raw_customers!A:A,raw_customers!F:F),raw_branches!A:A,raw_branches!B:B)</f>
        <v>Lankaran Branch</v>
      </c>
      <c r="G40" s="7">
        <v>89731.63</v>
      </c>
      <c r="H40" s="6">
        <v>10.31</v>
      </c>
      <c r="I40" t="s">
        <v>2377</v>
      </c>
      <c r="J40" t="str">
        <f t="shared" si="0"/>
        <v>Aşağı Risk</v>
      </c>
    </row>
    <row r="41" spans="1:10">
      <c r="A41">
        <v>542</v>
      </c>
      <c r="B41">
        <v>769</v>
      </c>
      <c r="C41" t="str">
        <f>_xlfn.XLOOKUP(B41,raw_customers!A:A,raw_customers!B:B)</f>
        <v>Murad Cəfərov</v>
      </c>
      <c r="D41" t="str">
        <f>_xlfn.XLOOKUP(C41,raw_customers!B:B,raw_customers!C:C)</f>
        <v>M</v>
      </c>
      <c r="E41" t="str">
        <f>_xlfn.XLOOKUP(C41,raw_customers!B:B,raw_customers!G:G)</f>
        <v>SME</v>
      </c>
      <c r="F41" t="str">
        <f>_xlfn.XLOOKUP(_xlfn.XLOOKUP(B41,raw_customers!A:A,raw_customers!F:F),raw_branches!A:A,raw_branches!B:B)</f>
        <v>Ganja Branch</v>
      </c>
      <c r="G41" s="7">
        <v>37365.44</v>
      </c>
      <c r="H41" s="6">
        <v>11.37</v>
      </c>
      <c r="I41" t="s">
        <v>2377</v>
      </c>
      <c r="J41" t="str">
        <f t="shared" si="0"/>
        <v>Aşağı Risk</v>
      </c>
    </row>
    <row r="42" spans="1:10">
      <c r="A42">
        <v>543</v>
      </c>
      <c r="B42">
        <v>262</v>
      </c>
      <c r="C42" t="str">
        <f>_xlfn.XLOOKUP(B42,raw_customers!A:A,raw_customers!B:B)</f>
        <v>Fidan Vəliyev</v>
      </c>
      <c r="D42" t="str">
        <f>_xlfn.XLOOKUP(C42,raw_customers!B:B,raw_customers!C:C)</f>
        <v>F</v>
      </c>
      <c r="E42" t="str">
        <f>_xlfn.XLOOKUP(C42,raw_customers!B:B,raw_customers!G:G)</f>
        <v>SME</v>
      </c>
      <c r="F42" t="str">
        <f>_xlfn.XLOOKUP(_xlfn.XLOOKUP(B42,raw_customers!A:A,raw_customers!F:F),raw_branches!A:A,raw_branches!B:B)</f>
        <v>Ganja Branch</v>
      </c>
      <c r="G42" s="7">
        <v>181409.06</v>
      </c>
      <c r="H42" s="6">
        <v>9.74</v>
      </c>
      <c r="I42" t="s">
        <v>2377</v>
      </c>
      <c r="J42" t="str">
        <f t="shared" si="0"/>
        <v>Aşağı Risk</v>
      </c>
    </row>
    <row r="43" spans="1:10">
      <c r="A43">
        <v>544</v>
      </c>
      <c r="B43">
        <v>121</v>
      </c>
      <c r="C43" t="str">
        <f>_xlfn.XLOOKUP(B43,raw_customers!A:A,raw_customers!B:B)</f>
        <v>Səbinə Orucov</v>
      </c>
      <c r="D43" t="str">
        <f>_xlfn.XLOOKUP(C43,raw_customers!B:B,raw_customers!C:C)</f>
        <v>F</v>
      </c>
      <c r="E43" t="str">
        <f>_xlfn.XLOOKUP(C43,raw_customers!B:B,raw_customers!G:G)</f>
        <v>Retail</v>
      </c>
      <c r="F43" t="str">
        <f>_xlfn.XLOOKUP(_xlfn.XLOOKUP(B43,raw_customers!A:A,raw_customers!F:F),raw_branches!A:A,raw_branches!B:B)</f>
        <v>Baku Central</v>
      </c>
      <c r="G43" s="7">
        <v>20276.54</v>
      </c>
      <c r="H43" s="6">
        <v>19.64</v>
      </c>
      <c r="I43" t="s">
        <v>2383</v>
      </c>
      <c r="J43" t="str">
        <f t="shared" si="0"/>
        <v>Yüksək Risk</v>
      </c>
    </row>
    <row r="44" spans="1:10">
      <c r="A44">
        <v>545</v>
      </c>
      <c r="B44">
        <v>607</v>
      </c>
      <c r="C44" t="str">
        <f>_xlfn.XLOOKUP(B44,raw_customers!A:A,raw_customers!B:B)</f>
        <v>Fidan Hüseynov</v>
      </c>
      <c r="D44" t="str">
        <f>_xlfn.XLOOKUP(C44,raw_customers!B:B,raw_customers!C:C)</f>
        <v>F</v>
      </c>
      <c r="E44" t="str">
        <f>_xlfn.XLOOKUP(C44,raw_customers!B:B,raw_customers!G:G)</f>
        <v>Retail</v>
      </c>
      <c r="F44" t="str">
        <f>_xlfn.XLOOKUP(_xlfn.XLOOKUP(B44,raw_customers!A:A,raw_customers!F:F),raw_branches!A:A,raw_branches!B:B)</f>
        <v>Mingachevir Branch</v>
      </c>
      <c r="G44" s="7">
        <v>37297.23</v>
      </c>
      <c r="H44" s="6">
        <v>17.26</v>
      </c>
      <c r="I44" t="s">
        <v>2377</v>
      </c>
      <c r="J44" t="str">
        <f t="shared" si="0"/>
        <v>Orta Risk</v>
      </c>
    </row>
    <row r="45" spans="1:10">
      <c r="A45">
        <v>546</v>
      </c>
      <c r="B45">
        <v>854</v>
      </c>
      <c r="C45" t="str">
        <f>_xlfn.XLOOKUP(B45,raw_customers!A:A,raw_customers!B:B)</f>
        <v>Şəbnəm Məmmədov</v>
      </c>
      <c r="D45" t="str">
        <f>_xlfn.XLOOKUP(C45,raw_customers!B:B,raw_customers!C:C)</f>
        <v>F</v>
      </c>
      <c r="E45" t="str">
        <f>_xlfn.XLOOKUP(C45,raw_customers!B:B,raw_customers!G:G)</f>
        <v>SME</v>
      </c>
      <c r="F45" t="str">
        <f>_xlfn.XLOOKUP(_xlfn.XLOOKUP(B45,raw_customers!A:A,raw_customers!F:F),raw_branches!A:A,raw_branches!B:B)</f>
        <v>Mingachevir Branch</v>
      </c>
      <c r="G45" s="7">
        <v>11518.52</v>
      </c>
      <c r="H45" s="6">
        <v>6.97</v>
      </c>
      <c r="I45" t="s">
        <v>2377</v>
      </c>
      <c r="J45" t="str">
        <f t="shared" si="0"/>
        <v>Aşağı Risk</v>
      </c>
    </row>
    <row r="46" spans="1:10">
      <c r="A46">
        <v>547</v>
      </c>
      <c r="B46">
        <v>712</v>
      </c>
      <c r="C46" t="str">
        <f>_xlfn.XLOOKUP(B46,raw_customers!A:A,raw_customers!B:B)</f>
        <v>Vüqar Əliyev</v>
      </c>
      <c r="D46" t="str">
        <f>_xlfn.XLOOKUP(C46,raw_customers!B:B,raw_customers!C:C)</f>
        <v>M</v>
      </c>
      <c r="E46" t="str">
        <f>_xlfn.XLOOKUP(C46,raw_customers!B:B,raw_customers!G:G)</f>
        <v>Retail</v>
      </c>
      <c r="F46" t="str">
        <f>_xlfn.XLOOKUP(_xlfn.XLOOKUP(B46,raw_customers!A:A,raw_customers!F:F),raw_branches!A:A,raw_branches!B:B)</f>
        <v>Sheki Branch</v>
      </c>
      <c r="G46" s="7">
        <v>12261.15</v>
      </c>
      <c r="H46" s="6">
        <v>13.77</v>
      </c>
      <c r="I46" t="s">
        <v>2393</v>
      </c>
      <c r="J46" t="str">
        <f t="shared" si="0"/>
        <v>Default (Batıq)</v>
      </c>
    </row>
    <row r="47" spans="1:10">
      <c r="A47">
        <v>548</v>
      </c>
      <c r="B47">
        <v>418</v>
      </c>
      <c r="C47" t="str">
        <f>_xlfn.XLOOKUP(B47,raw_customers!A:A,raw_customers!B:B)</f>
        <v>Orxan Rəhimov</v>
      </c>
      <c r="D47" t="str">
        <f>_xlfn.XLOOKUP(C47,raw_customers!B:B,raw_customers!C:C)</f>
        <v>M</v>
      </c>
      <c r="E47" t="str">
        <f>_xlfn.XLOOKUP(C47,raw_customers!B:B,raw_customers!G:G)</f>
        <v>Premium</v>
      </c>
      <c r="F47" t="str">
        <f>_xlfn.XLOOKUP(_xlfn.XLOOKUP(B47,raw_customers!A:A,raw_customers!F:F),raw_branches!A:A,raw_branches!B:B)</f>
        <v>Sheki Branch</v>
      </c>
      <c r="G47" s="7">
        <v>3634.41</v>
      </c>
      <c r="H47" s="6">
        <v>17.21</v>
      </c>
      <c r="I47" t="s">
        <v>2383</v>
      </c>
      <c r="J47" t="str">
        <f t="shared" si="0"/>
        <v>Orta Risk</v>
      </c>
    </row>
    <row r="48" spans="1:10">
      <c r="A48">
        <v>549</v>
      </c>
      <c r="B48">
        <v>194</v>
      </c>
      <c r="C48" t="str">
        <f>_xlfn.XLOOKUP(B48,raw_customers!A:A,raw_customers!B:B)</f>
        <v>Zeynəb Əliyev</v>
      </c>
      <c r="D48" t="str">
        <f>_xlfn.XLOOKUP(C48,raw_customers!B:B,raw_customers!C:C)</f>
        <v>F</v>
      </c>
      <c r="E48" t="str">
        <f>_xlfn.XLOOKUP(C48,raw_customers!B:B,raw_customers!G:G)</f>
        <v>SME</v>
      </c>
      <c r="F48" t="str">
        <f>_xlfn.XLOOKUP(_xlfn.XLOOKUP(B48,raw_customers!A:A,raw_customers!F:F),raw_branches!A:A,raw_branches!B:B)</f>
        <v>Sumgait Branch</v>
      </c>
      <c r="G48" s="7">
        <v>12762.83</v>
      </c>
      <c r="H48" s="6">
        <v>17.25</v>
      </c>
      <c r="I48" t="s">
        <v>2377</v>
      </c>
      <c r="J48" t="str">
        <f t="shared" si="0"/>
        <v>Orta Risk</v>
      </c>
    </row>
    <row r="49" spans="1:10">
      <c r="A49">
        <v>550</v>
      </c>
      <c r="B49">
        <v>319</v>
      </c>
      <c r="C49" t="str">
        <f>_xlfn.XLOOKUP(B49,raw_customers!A:A,raw_customers!B:B)</f>
        <v>Samir Bağırov</v>
      </c>
      <c r="D49" t="str">
        <f>_xlfn.XLOOKUP(C49,raw_customers!B:B,raw_customers!C:C)</f>
        <v>M</v>
      </c>
      <c r="E49" t="str">
        <f>_xlfn.XLOOKUP(C49,raw_customers!B:B,raw_customers!G:G)</f>
        <v>Retail</v>
      </c>
      <c r="F49" t="str">
        <f>_xlfn.XLOOKUP(_xlfn.XLOOKUP(B49,raw_customers!A:A,raw_customers!F:F),raw_branches!A:A,raw_branches!B:B)</f>
        <v>Sumgait Branch</v>
      </c>
      <c r="G49" s="7">
        <v>6608.87</v>
      </c>
      <c r="H49" s="6">
        <v>6.95</v>
      </c>
      <c r="I49" t="s">
        <v>2377</v>
      </c>
      <c r="J49" t="str">
        <f t="shared" si="0"/>
        <v>Aşağı Risk</v>
      </c>
    </row>
    <row r="50" spans="1:10">
      <c r="A50">
        <v>551</v>
      </c>
      <c r="B50">
        <v>766</v>
      </c>
      <c r="C50" t="str">
        <f>_xlfn.XLOOKUP(B50,raw_customers!A:A,raw_customers!B:B)</f>
        <v>Aysel Həsənov</v>
      </c>
      <c r="D50" t="str">
        <f>_xlfn.XLOOKUP(C50,raw_customers!B:B,raw_customers!C:C)</f>
        <v>F</v>
      </c>
      <c r="E50" t="str">
        <f>_xlfn.XLOOKUP(C50,raw_customers!B:B,raw_customers!G:G)</f>
        <v>Retail</v>
      </c>
      <c r="F50" t="str">
        <f>_xlfn.XLOOKUP(_xlfn.XLOOKUP(B50,raw_customers!A:A,raw_customers!F:F),raw_branches!A:A,raw_branches!B:B)</f>
        <v>Sheki Branch</v>
      </c>
      <c r="G50" s="7">
        <v>92837.72</v>
      </c>
      <c r="H50" s="6">
        <v>20.94</v>
      </c>
      <c r="I50" t="s">
        <v>2377</v>
      </c>
      <c r="J50" t="str">
        <f t="shared" si="0"/>
        <v>Yüksək Risk</v>
      </c>
    </row>
    <row r="51" spans="1:10">
      <c r="A51">
        <v>552</v>
      </c>
      <c r="B51">
        <v>565</v>
      </c>
      <c r="C51" t="str">
        <f>_xlfn.XLOOKUP(B51,raw_customers!A:A,raw_customers!B:B)</f>
        <v>Röya Musayev</v>
      </c>
      <c r="D51" t="str">
        <f>_xlfn.XLOOKUP(C51,raw_customers!B:B,raw_customers!C:C)</f>
        <v>F</v>
      </c>
      <c r="E51" t="str">
        <f>_xlfn.XLOOKUP(C51,raw_customers!B:B,raw_customers!G:G)</f>
        <v>SME</v>
      </c>
      <c r="F51" t="str">
        <f>_xlfn.XLOOKUP(_xlfn.XLOOKUP(B51,raw_customers!A:A,raw_customers!F:F),raw_branches!A:A,raw_branches!B:B)</f>
        <v>Baku Central</v>
      </c>
      <c r="G51" s="7">
        <v>36617.84</v>
      </c>
      <c r="H51" s="6">
        <v>14.51</v>
      </c>
      <c r="I51" t="s">
        <v>2393</v>
      </c>
      <c r="J51" t="str">
        <f t="shared" si="0"/>
        <v>Default (Batıq)</v>
      </c>
    </row>
    <row r="52" spans="1:10">
      <c r="A52">
        <v>553</v>
      </c>
      <c r="B52">
        <v>417</v>
      </c>
      <c r="C52" t="str">
        <f>_xlfn.XLOOKUP(B52,raw_customers!A:A,raw_customers!B:B)</f>
        <v>Mehriban Musayev</v>
      </c>
      <c r="D52" t="str">
        <f>_xlfn.XLOOKUP(C52,raw_customers!B:B,raw_customers!C:C)</f>
        <v>F</v>
      </c>
      <c r="E52" t="str">
        <f>_xlfn.XLOOKUP(C52,raw_customers!B:B,raw_customers!G:G)</f>
        <v>Retail</v>
      </c>
      <c r="F52" t="str">
        <f>_xlfn.XLOOKUP(_xlfn.XLOOKUP(B52,raw_customers!A:A,raw_customers!F:F),raw_branches!A:A,raw_branches!B:B)</f>
        <v>Ganja Branch</v>
      </c>
      <c r="G52" s="7">
        <v>26881.9</v>
      </c>
      <c r="H52" s="6">
        <v>12.49</v>
      </c>
      <c r="I52" t="s">
        <v>2383</v>
      </c>
      <c r="J52" t="str">
        <f t="shared" si="0"/>
        <v>Orta Risk</v>
      </c>
    </row>
    <row r="53" spans="1:10">
      <c r="A53">
        <v>554</v>
      </c>
      <c r="B53">
        <v>30</v>
      </c>
      <c r="C53" t="str">
        <f>_xlfn.XLOOKUP(B53,raw_customers!A:A,raw_customers!B:B)</f>
        <v>Toğrul Məmmədov</v>
      </c>
      <c r="D53" t="str">
        <f>_xlfn.XLOOKUP(C53,raw_customers!B:B,raw_customers!C:C)</f>
        <v>M</v>
      </c>
      <c r="E53" t="str">
        <f>_xlfn.XLOOKUP(C53,raw_customers!B:B,raw_customers!G:G)</f>
        <v>Retail</v>
      </c>
      <c r="F53" t="str">
        <f>_xlfn.XLOOKUP(_xlfn.XLOOKUP(B53,raw_customers!A:A,raw_customers!F:F),raw_branches!A:A,raw_branches!B:B)</f>
        <v>Mingachevir Branch</v>
      </c>
      <c r="G53" s="7">
        <v>7263.69</v>
      </c>
      <c r="H53" s="6">
        <v>15.72</v>
      </c>
      <c r="I53" t="s">
        <v>2393</v>
      </c>
      <c r="J53" t="str">
        <f t="shared" si="0"/>
        <v>Default (Batıq)</v>
      </c>
    </row>
    <row r="54" spans="1:10">
      <c r="A54">
        <v>555</v>
      </c>
      <c r="B54">
        <v>183</v>
      </c>
      <c r="C54" t="str">
        <f>_xlfn.XLOOKUP(B54,raw_customers!A:A,raw_customers!B:B)</f>
        <v>Emin Rəhimov</v>
      </c>
      <c r="D54" t="str">
        <f>_xlfn.XLOOKUP(C54,raw_customers!B:B,raw_customers!C:C)</f>
        <v>M</v>
      </c>
      <c r="E54" t="str">
        <f>_xlfn.XLOOKUP(C54,raw_customers!B:B,raw_customers!G:G)</f>
        <v>Premium</v>
      </c>
      <c r="F54" t="str">
        <f>_xlfn.XLOOKUP(_xlfn.XLOOKUP(B54,raw_customers!A:A,raw_customers!F:F),raw_branches!A:A,raw_branches!B:B)</f>
        <v>Baku Central</v>
      </c>
      <c r="G54" s="7">
        <v>81588.38</v>
      </c>
      <c r="H54" s="6">
        <v>16.15</v>
      </c>
      <c r="I54" t="s">
        <v>2377</v>
      </c>
      <c r="J54" t="str">
        <f t="shared" si="0"/>
        <v>Orta Risk</v>
      </c>
    </row>
    <row r="55" spans="1:10">
      <c r="A55">
        <v>556</v>
      </c>
      <c r="B55">
        <v>569</v>
      </c>
      <c r="C55" t="str">
        <f>_xlfn.XLOOKUP(B55,raw_customers!A:A,raw_customers!B:B)</f>
        <v>Elvin Əliyev</v>
      </c>
      <c r="D55" t="str">
        <f>_xlfn.XLOOKUP(C55,raw_customers!B:B,raw_customers!C:C)</f>
        <v>M</v>
      </c>
      <c r="E55" t="str">
        <f>_xlfn.XLOOKUP(C55,raw_customers!B:B,raw_customers!G:G)</f>
        <v>Retail</v>
      </c>
      <c r="F55" t="str">
        <f>_xlfn.XLOOKUP(_xlfn.XLOOKUP(B55,raw_customers!A:A,raw_customers!F:F),raw_branches!A:A,raw_branches!B:B)</f>
        <v>Ganja Branch</v>
      </c>
      <c r="G55" s="7">
        <v>167764.77</v>
      </c>
      <c r="H55" s="6">
        <v>13.49</v>
      </c>
      <c r="I55" t="s">
        <v>2377</v>
      </c>
      <c r="J55" t="str">
        <f t="shared" si="0"/>
        <v>Orta Risk</v>
      </c>
    </row>
    <row r="56" spans="1:10">
      <c r="A56">
        <v>557</v>
      </c>
      <c r="B56">
        <v>392</v>
      </c>
      <c r="C56" t="str">
        <f>_xlfn.XLOOKUP(B56,raw_customers!A:A,raw_customers!B:B)</f>
        <v>Emin Musayev</v>
      </c>
      <c r="D56" t="str">
        <f>_xlfn.XLOOKUP(C56,raw_customers!B:B,raw_customers!C:C)</f>
        <v>M</v>
      </c>
      <c r="E56" t="str">
        <f>_xlfn.XLOOKUP(C56,raw_customers!B:B,raw_customers!G:G)</f>
        <v>Premium</v>
      </c>
      <c r="F56" t="str">
        <f>_xlfn.XLOOKUP(_xlfn.XLOOKUP(B56,raw_customers!A:A,raw_customers!F:F),raw_branches!A:A,raw_branches!B:B)</f>
        <v>Baku Yasamal</v>
      </c>
      <c r="G56" s="7">
        <v>28762.12</v>
      </c>
      <c r="H56" s="6">
        <v>11.86</v>
      </c>
      <c r="I56" t="s">
        <v>2383</v>
      </c>
      <c r="J56" t="str">
        <f t="shared" si="0"/>
        <v>Aşağı Risk</v>
      </c>
    </row>
    <row r="57" spans="1:10">
      <c r="A57">
        <v>558</v>
      </c>
      <c r="B57">
        <v>288</v>
      </c>
      <c r="C57" t="str">
        <f>_xlfn.XLOOKUP(B57,raw_customers!A:A,raw_customers!B:B)</f>
        <v>Leyla Sadıqov</v>
      </c>
      <c r="D57" t="str">
        <f>_xlfn.XLOOKUP(C57,raw_customers!B:B,raw_customers!C:C)</f>
        <v>F</v>
      </c>
      <c r="E57" t="str">
        <f>_xlfn.XLOOKUP(C57,raw_customers!B:B,raw_customers!G:G)</f>
        <v>Retail</v>
      </c>
      <c r="F57" t="str">
        <f>_xlfn.XLOOKUP(_xlfn.XLOOKUP(B57,raw_customers!A:A,raw_customers!F:F),raw_branches!A:A,raw_branches!B:B)</f>
        <v>Baku Central</v>
      </c>
      <c r="G57" s="7">
        <v>14626.42</v>
      </c>
      <c r="H57" s="6">
        <v>19.11</v>
      </c>
      <c r="I57" t="s">
        <v>2377</v>
      </c>
      <c r="J57" t="str">
        <f t="shared" si="0"/>
        <v>Yüksək Risk</v>
      </c>
    </row>
    <row r="58" spans="1:10">
      <c r="A58">
        <v>559</v>
      </c>
      <c r="B58">
        <v>894</v>
      </c>
      <c r="C58" t="str">
        <f>_xlfn.XLOOKUP(B58,raw_customers!A:A,raw_customers!B:B)</f>
        <v>Nərgiz Nəbiyev</v>
      </c>
      <c r="D58" t="str">
        <f>_xlfn.XLOOKUP(C58,raw_customers!B:B,raw_customers!C:C)</f>
        <v>F</v>
      </c>
      <c r="E58" t="str">
        <f>_xlfn.XLOOKUP(C58,raw_customers!B:B,raw_customers!G:G)</f>
        <v>SME</v>
      </c>
      <c r="F58" t="str">
        <f>_xlfn.XLOOKUP(_xlfn.XLOOKUP(B58,raw_customers!A:A,raw_customers!F:F),raw_branches!A:A,raw_branches!B:B)</f>
        <v>Mingachevir Branch</v>
      </c>
      <c r="G58" s="7">
        <v>31037.18</v>
      </c>
      <c r="H58" s="6">
        <v>9.64</v>
      </c>
      <c r="I58" t="s">
        <v>2383</v>
      </c>
      <c r="J58" t="str">
        <f t="shared" si="0"/>
        <v>Aşağı Risk</v>
      </c>
    </row>
    <row r="59" spans="1:10">
      <c r="A59">
        <v>560</v>
      </c>
      <c r="B59">
        <v>986</v>
      </c>
      <c r="C59" t="str">
        <f>_xlfn.XLOOKUP(B59,raw_customers!A:A,raw_customers!B:B)</f>
        <v>Nərmin İsmayılov</v>
      </c>
      <c r="D59" t="str">
        <f>_xlfn.XLOOKUP(C59,raw_customers!B:B,raw_customers!C:C)</f>
        <v>F</v>
      </c>
      <c r="E59" t="str">
        <f>_xlfn.XLOOKUP(C59,raw_customers!B:B,raw_customers!G:G)</f>
        <v>SME</v>
      </c>
      <c r="F59" t="str">
        <f>_xlfn.XLOOKUP(_xlfn.XLOOKUP(B59,raw_customers!A:A,raw_customers!F:F),raw_branches!A:A,raw_branches!B:B)</f>
        <v>Baku Central</v>
      </c>
      <c r="G59" s="7">
        <v>6252.21</v>
      </c>
      <c r="H59" s="6">
        <v>20.98</v>
      </c>
      <c r="I59" t="s">
        <v>2377</v>
      </c>
      <c r="J59" t="str">
        <f t="shared" si="0"/>
        <v>Yüksək Risk</v>
      </c>
    </row>
    <row r="60" spans="1:10">
      <c r="A60">
        <v>561</v>
      </c>
      <c r="B60">
        <v>915</v>
      </c>
      <c r="C60" t="str">
        <f>_xlfn.XLOOKUP(B60,raw_customers!A:A,raw_customers!B:B)</f>
        <v>Leyla Məmmədov</v>
      </c>
      <c r="D60" t="str">
        <f>_xlfn.XLOOKUP(C60,raw_customers!B:B,raw_customers!C:C)</f>
        <v>F</v>
      </c>
      <c r="E60" t="str">
        <f>_xlfn.XLOOKUP(C60,raw_customers!B:B,raw_customers!G:G)</f>
        <v>Retail</v>
      </c>
      <c r="F60" t="str">
        <f>_xlfn.XLOOKUP(_xlfn.XLOOKUP(B60,raw_customers!A:A,raw_customers!F:F),raw_branches!A:A,raw_branches!B:B)</f>
        <v>Ganja Branch</v>
      </c>
      <c r="G60" s="7">
        <v>5711.66</v>
      </c>
      <c r="H60" s="6">
        <v>10.03</v>
      </c>
      <c r="I60" t="s">
        <v>2377</v>
      </c>
      <c r="J60" t="str">
        <f t="shared" si="0"/>
        <v>Aşağı Risk</v>
      </c>
    </row>
    <row r="61" spans="1:10">
      <c r="A61">
        <v>562</v>
      </c>
      <c r="B61">
        <v>472</v>
      </c>
      <c r="C61" t="str">
        <f>_xlfn.XLOOKUP(B61,raw_customers!A:A,raw_customers!B:B)</f>
        <v>Könül Əliyev</v>
      </c>
      <c r="D61" t="str">
        <f>_xlfn.XLOOKUP(C61,raw_customers!B:B,raw_customers!C:C)</f>
        <v>F</v>
      </c>
      <c r="E61" t="str">
        <f>_xlfn.XLOOKUP(C61,raw_customers!B:B,raw_customers!G:G)</f>
        <v>Retail</v>
      </c>
      <c r="F61" t="str">
        <f>_xlfn.XLOOKUP(_xlfn.XLOOKUP(B61,raw_customers!A:A,raw_customers!F:F),raw_branches!A:A,raw_branches!B:B)</f>
        <v>Lankaran Branch</v>
      </c>
      <c r="G61" s="7">
        <v>25845.3</v>
      </c>
      <c r="H61" s="6">
        <v>13.49</v>
      </c>
      <c r="I61" t="s">
        <v>2377</v>
      </c>
      <c r="J61" t="str">
        <f t="shared" si="0"/>
        <v>Orta Risk</v>
      </c>
    </row>
    <row r="62" spans="1:10">
      <c r="A62">
        <v>563</v>
      </c>
      <c r="B62">
        <v>462</v>
      </c>
      <c r="C62" t="str">
        <f>_xlfn.XLOOKUP(B62,raw_customers!A:A,raw_customers!B:B)</f>
        <v>Kənan Əzizov</v>
      </c>
      <c r="D62" t="str">
        <f>_xlfn.XLOOKUP(C62,raw_customers!B:B,raw_customers!C:C)</f>
        <v>M</v>
      </c>
      <c r="E62" t="str">
        <f>_xlfn.XLOOKUP(C62,raw_customers!B:B,raw_customers!G:G)</f>
        <v>SME</v>
      </c>
      <c r="F62" t="str">
        <f>_xlfn.XLOOKUP(_xlfn.XLOOKUP(B62,raw_customers!A:A,raw_customers!F:F),raw_branches!A:A,raw_branches!B:B)</f>
        <v>Mingachevir Branch</v>
      </c>
      <c r="G62" s="7">
        <v>8070.14</v>
      </c>
      <c r="H62" s="6">
        <v>18.13</v>
      </c>
      <c r="I62" t="s">
        <v>2377</v>
      </c>
      <c r="J62" t="str">
        <f t="shared" si="0"/>
        <v>Yüksək Risk</v>
      </c>
    </row>
    <row r="63" spans="1:10">
      <c r="A63">
        <v>564</v>
      </c>
      <c r="B63">
        <v>988</v>
      </c>
      <c r="C63" t="str">
        <f>_xlfn.XLOOKUP(B63,raw_customers!A:A,raw_customers!B:B)</f>
        <v>Mehriban Bağırov</v>
      </c>
      <c r="D63" t="str">
        <f>_xlfn.XLOOKUP(C63,raw_customers!B:B,raw_customers!C:C)</f>
        <v>F</v>
      </c>
      <c r="E63" t="str">
        <f>_xlfn.XLOOKUP(C63,raw_customers!B:B,raw_customers!G:G)</f>
        <v>SME</v>
      </c>
      <c r="F63" t="str">
        <f>_xlfn.XLOOKUP(_xlfn.XLOOKUP(B63,raw_customers!A:A,raw_customers!F:F),raw_branches!A:A,raw_branches!B:B)</f>
        <v>Baku Yasamal</v>
      </c>
      <c r="G63" s="7">
        <v>9402.66</v>
      </c>
      <c r="H63" s="6">
        <v>16.53</v>
      </c>
      <c r="I63" t="s">
        <v>2377</v>
      </c>
      <c r="J63" t="str">
        <f t="shared" si="0"/>
        <v>Orta Risk</v>
      </c>
    </row>
    <row r="64" spans="1:10">
      <c r="A64">
        <v>565</v>
      </c>
      <c r="B64">
        <v>316</v>
      </c>
      <c r="C64" t="str">
        <f>_xlfn.XLOOKUP(B64,raw_customers!A:A,raw_customers!B:B)</f>
        <v>Nərgiz Nəbiyev</v>
      </c>
      <c r="D64" t="str">
        <f>_xlfn.XLOOKUP(C64,raw_customers!B:B,raw_customers!C:C)</f>
        <v>F</v>
      </c>
      <c r="E64" t="str">
        <f>_xlfn.XLOOKUP(C64,raw_customers!B:B,raw_customers!G:G)</f>
        <v>SME</v>
      </c>
      <c r="F64" t="str">
        <f>_xlfn.XLOOKUP(_xlfn.XLOOKUP(B64,raw_customers!A:A,raw_customers!F:F),raw_branches!A:A,raw_branches!B:B)</f>
        <v>Baku Central</v>
      </c>
      <c r="G64" s="7">
        <v>14194.57</v>
      </c>
      <c r="H64" s="6">
        <v>14.53</v>
      </c>
      <c r="I64" t="s">
        <v>2377</v>
      </c>
      <c r="J64" t="str">
        <f t="shared" si="0"/>
        <v>Orta Risk</v>
      </c>
    </row>
    <row r="65" spans="1:10">
      <c r="A65">
        <v>566</v>
      </c>
      <c r="B65">
        <v>341</v>
      </c>
      <c r="C65" t="str">
        <f>_xlfn.XLOOKUP(B65,raw_customers!A:A,raw_customers!B:B)</f>
        <v>Kamran Abbasov</v>
      </c>
      <c r="D65" t="str">
        <f>_xlfn.XLOOKUP(C65,raw_customers!B:B,raw_customers!C:C)</f>
        <v>M</v>
      </c>
      <c r="E65" t="str">
        <f>_xlfn.XLOOKUP(C65,raw_customers!B:B,raw_customers!G:G)</f>
        <v>Retail</v>
      </c>
      <c r="F65" t="str">
        <f>_xlfn.XLOOKUP(_xlfn.XLOOKUP(B65,raw_customers!A:A,raw_customers!F:F),raw_branches!A:A,raw_branches!B:B)</f>
        <v>Baku Yasamal</v>
      </c>
      <c r="G65" s="7">
        <v>80836.19</v>
      </c>
      <c r="H65" s="6">
        <v>15.5</v>
      </c>
      <c r="I65" t="s">
        <v>2377</v>
      </c>
      <c r="J65" t="str">
        <f t="shared" si="0"/>
        <v>Orta Risk</v>
      </c>
    </row>
    <row r="66" spans="1:10">
      <c r="A66">
        <v>567</v>
      </c>
      <c r="B66">
        <v>231</v>
      </c>
      <c r="C66" t="str">
        <f>_xlfn.XLOOKUP(B66,raw_customers!A:A,raw_customers!B:B)</f>
        <v>Aysel Əzizov</v>
      </c>
      <c r="D66" t="str">
        <f>_xlfn.XLOOKUP(C66,raw_customers!B:B,raw_customers!C:C)</f>
        <v>F</v>
      </c>
      <c r="E66" t="str">
        <f>_xlfn.XLOOKUP(C66,raw_customers!B:B,raw_customers!G:G)</f>
        <v>SME</v>
      </c>
      <c r="F66" t="str">
        <f>_xlfn.XLOOKUP(_xlfn.XLOOKUP(B66,raw_customers!A:A,raw_customers!F:F),raw_branches!A:A,raw_branches!B:B)</f>
        <v>Baku Yasamal</v>
      </c>
      <c r="G66" s="7">
        <v>669.93</v>
      </c>
      <c r="H66" s="6">
        <v>10.58</v>
      </c>
      <c r="I66" t="s">
        <v>2377</v>
      </c>
      <c r="J66" t="str">
        <f t="shared" si="0"/>
        <v>Aşağı Risk</v>
      </c>
    </row>
    <row r="67" spans="1:10">
      <c r="A67">
        <v>568</v>
      </c>
      <c r="B67">
        <v>289</v>
      </c>
      <c r="C67" t="str">
        <f>_xlfn.XLOOKUP(B67,raw_customers!A:A,raw_customers!B:B)</f>
        <v>Günel Həsənov</v>
      </c>
      <c r="D67" t="str">
        <f>_xlfn.XLOOKUP(C67,raw_customers!B:B,raw_customers!C:C)</f>
        <v>F</v>
      </c>
      <c r="E67" t="str">
        <f>_xlfn.XLOOKUP(C67,raw_customers!B:B,raw_customers!G:G)</f>
        <v>Premium</v>
      </c>
      <c r="F67" t="str">
        <f>_xlfn.XLOOKUP(_xlfn.XLOOKUP(B67,raw_customers!A:A,raw_customers!F:F),raw_branches!A:A,raw_branches!B:B)</f>
        <v>Sheki Branch</v>
      </c>
      <c r="G67" s="7">
        <v>6977.57</v>
      </c>
      <c r="H67" s="6">
        <v>19.47</v>
      </c>
      <c r="I67" t="s">
        <v>2377</v>
      </c>
      <c r="J67" t="str">
        <f t="shared" ref="J67:J130" si="1">IF(I67="Default","Default (Batıq)",IF(H67&gt;=18,"Yüksək Risk",IF(H67&gt;=12,"Orta Risk","Aşağı Risk")))</f>
        <v>Yüksək Risk</v>
      </c>
    </row>
    <row r="68" spans="1:10">
      <c r="A68">
        <v>569</v>
      </c>
      <c r="B68">
        <v>757</v>
      </c>
      <c r="C68" t="str">
        <f>_xlfn.XLOOKUP(B68,raw_customers!A:A,raw_customers!B:B)</f>
        <v>Emin Cəfərov</v>
      </c>
      <c r="D68" t="str">
        <f>_xlfn.XLOOKUP(C68,raw_customers!B:B,raw_customers!C:C)</f>
        <v>M</v>
      </c>
      <c r="E68" t="str">
        <f>_xlfn.XLOOKUP(C68,raw_customers!B:B,raw_customers!G:G)</f>
        <v>Retail</v>
      </c>
      <c r="F68" t="str">
        <f>_xlfn.XLOOKUP(_xlfn.XLOOKUP(B68,raw_customers!A:A,raw_customers!F:F),raw_branches!A:A,raw_branches!B:B)</f>
        <v>Baku Yasamal</v>
      </c>
      <c r="G68" s="7">
        <v>99530.35</v>
      </c>
      <c r="H68" s="6">
        <v>20.57</v>
      </c>
      <c r="I68" t="s">
        <v>2377</v>
      </c>
      <c r="J68" t="str">
        <f t="shared" si="1"/>
        <v>Yüksək Risk</v>
      </c>
    </row>
    <row r="69" spans="1:10">
      <c r="A69">
        <v>570</v>
      </c>
      <c r="B69">
        <v>637</v>
      </c>
      <c r="C69" t="str">
        <f>_xlfn.XLOOKUP(B69,raw_customers!A:A,raw_customers!B:B)</f>
        <v>Vəfa Hüseynov</v>
      </c>
      <c r="D69" t="str">
        <f>_xlfn.XLOOKUP(C69,raw_customers!B:B,raw_customers!C:C)</f>
        <v>F</v>
      </c>
      <c r="E69" t="str">
        <f>_xlfn.XLOOKUP(C69,raw_customers!B:B,raw_customers!G:G)</f>
        <v>Retail</v>
      </c>
      <c r="F69" t="str">
        <f>_xlfn.XLOOKUP(_xlfn.XLOOKUP(B69,raw_customers!A:A,raw_customers!F:F),raw_branches!A:A,raw_branches!B:B)</f>
        <v>Mingachevir Branch</v>
      </c>
      <c r="G69" s="7">
        <v>141559.21</v>
      </c>
      <c r="H69" s="6">
        <v>6.77</v>
      </c>
      <c r="I69" t="s">
        <v>2377</v>
      </c>
      <c r="J69" t="str">
        <f t="shared" si="1"/>
        <v>Aşağı Risk</v>
      </c>
    </row>
    <row r="70" spans="1:10">
      <c r="A70">
        <v>571</v>
      </c>
      <c r="B70">
        <v>489</v>
      </c>
      <c r="C70" t="str">
        <f>_xlfn.XLOOKUP(B70,raw_customers!A:A,raw_customers!B:B)</f>
        <v>Röya Rzayev</v>
      </c>
      <c r="D70" t="str">
        <f>_xlfn.XLOOKUP(C70,raw_customers!B:B,raw_customers!C:C)</f>
        <v>F</v>
      </c>
      <c r="E70" t="str">
        <f>_xlfn.XLOOKUP(C70,raw_customers!B:B,raw_customers!G:G)</f>
        <v>Premium</v>
      </c>
      <c r="F70" t="str">
        <f>_xlfn.XLOOKUP(_xlfn.XLOOKUP(B70,raw_customers!A:A,raw_customers!F:F),raw_branches!A:A,raw_branches!B:B)</f>
        <v>Mingachevir Branch</v>
      </c>
      <c r="G70" s="7">
        <v>3910.27</v>
      </c>
      <c r="H70" s="6">
        <v>7.63</v>
      </c>
      <c r="I70" t="s">
        <v>2377</v>
      </c>
      <c r="J70" t="str">
        <f t="shared" si="1"/>
        <v>Aşağı Risk</v>
      </c>
    </row>
    <row r="71" spans="1:10">
      <c r="A71">
        <v>572</v>
      </c>
      <c r="B71">
        <v>247</v>
      </c>
      <c r="C71" t="str">
        <f>_xlfn.XLOOKUP(B71,raw_customers!A:A,raw_customers!B:B)</f>
        <v>Samir Abbasov</v>
      </c>
      <c r="D71" t="str">
        <f>_xlfn.XLOOKUP(C71,raw_customers!B:B,raw_customers!C:C)</f>
        <v>M</v>
      </c>
      <c r="E71" t="str">
        <f>_xlfn.XLOOKUP(C71,raw_customers!B:B,raw_customers!G:G)</f>
        <v>Retail</v>
      </c>
      <c r="F71" t="str">
        <f>_xlfn.XLOOKUP(_xlfn.XLOOKUP(B71,raw_customers!A:A,raw_customers!F:F),raw_branches!A:A,raw_branches!B:B)</f>
        <v>Sheki Branch</v>
      </c>
      <c r="G71" s="7">
        <v>1452.84</v>
      </c>
      <c r="H71" s="6">
        <v>16.99</v>
      </c>
      <c r="I71" t="s">
        <v>2377</v>
      </c>
      <c r="J71" t="str">
        <f t="shared" si="1"/>
        <v>Orta Risk</v>
      </c>
    </row>
    <row r="72" spans="1:10">
      <c r="A72">
        <v>573</v>
      </c>
      <c r="B72">
        <v>818</v>
      </c>
      <c r="C72" t="str">
        <f>_xlfn.XLOOKUP(B72,raw_customers!A:A,raw_customers!B:B)</f>
        <v>Murad Sadıqov</v>
      </c>
      <c r="D72" t="str">
        <f>_xlfn.XLOOKUP(C72,raw_customers!B:B,raw_customers!C:C)</f>
        <v>M</v>
      </c>
      <c r="E72" t="str">
        <f>_xlfn.XLOOKUP(C72,raw_customers!B:B,raw_customers!G:G)</f>
        <v>Premium</v>
      </c>
      <c r="F72" t="str">
        <f>_xlfn.XLOOKUP(_xlfn.XLOOKUP(B72,raw_customers!A:A,raw_customers!F:F),raw_branches!A:A,raw_branches!B:B)</f>
        <v>Baku Central</v>
      </c>
      <c r="G72" s="7">
        <v>5571.63</v>
      </c>
      <c r="H72" s="6">
        <v>7.78</v>
      </c>
      <c r="I72" t="s">
        <v>2383</v>
      </c>
      <c r="J72" t="str">
        <f t="shared" si="1"/>
        <v>Aşağı Risk</v>
      </c>
    </row>
    <row r="73" spans="1:10">
      <c r="A73">
        <v>574</v>
      </c>
      <c r="B73">
        <v>591</v>
      </c>
      <c r="C73" t="str">
        <f>_xlfn.XLOOKUP(B73,raw_customers!A:A,raw_customers!B:B)</f>
        <v>Türkan Novruzov</v>
      </c>
      <c r="D73" t="str">
        <f>_xlfn.XLOOKUP(C73,raw_customers!B:B,raw_customers!C:C)</f>
        <v>F</v>
      </c>
      <c r="E73" t="str">
        <f>_xlfn.XLOOKUP(C73,raw_customers!B:B,raw_customers!G:G)</f>
        <v>Premium</v>
      </c>
      <c r="F73" t="str">
        <f>_xlfn.XLOOKUP(_xlfn.XLOOKUP(B73,raw_customers!A:A,raw_customers!F:F),raw_branches!A:A,raw_branches!B:B)</f>
        <v>Sumgait Branch</v>
      </c>
      <c r="G73" s="7">
        <v>1471.05</v>
      </c>
      <c r="H73" s="6">
        <v>11.13</v>
      </c>
      <c r="I73" t="s">
        <v>2377</v>
      </c>
      <c r="J73" t="str">
        <f t="shared" si="1"/>
        <v>Aşağı Risk</v>
      </c>
    </row>
    <row r="74" spans="1:10">
      <c r="A74">
        <v>575</v>
      </c>
      <c r="B74">
        <v>555</v>
      </c>
      <c r="C74" t="str">
        <f>_xlfn.XLOOKUP(B74,raw_customers!A:A,raw_customers!B:B)</f>
        <v>Könül Abbasov</v>
      </c>
      <c r="D74" t="str">
        <f>_xlfn.XLOOKUP(C74,raw_customers!B:B,raw_customers!C:C)</f>
        <v>F</v>
      </c>
      <c r="E74" t="str">
        <f>_xlfn.XLOOKUP(C74,raw_customers!B:B,raw_customers!G:G)</f>
        <v>SME</v>
      </c>
      <c r="F74" t="str">
        <f>_xlfn.XLOOKUP(_xlfn.XLOOKUP(B74,raw_customers!A:A,raw_customers!F:F),raw_branches!A:A,raw_branches!B:B)</f>
        <v>Lankaran Branch</v>
      </c>
      <c r="G74" s="7">
        <v>9814.54</v>
      </c>
      <c r="H74" s="6">
        <v>9.22</v>
      </c>
      <c r="I74" t="s">
        <v>2377</v>
      </c>
      <c r="J74" t="str">
        <f t="shared" si="1"/>
        <v>Aşağı Risk</v>
      </c>
    </row>
    <row r="75" spans="1:10">
      <c r="A75">
        <v>576</v>
      </c>
      <c r="B75">
        <v>713</v>
      </c>
      <c r="C75" t="str">
        <f>_xlfn.XLOOKUP(B75,raw_customers!A:A,raw_customers!B:B)</f>
        <v>Lalə Kərimov</v>
      </c>
      <c r="D75" t="str">
        <f>_xlfn.XLOOKUP(C75,raw_customers!B:B,raw_customers!C:C)</f>
        <v>F</v>
      </c>
      <c r="E75" t="str">
        <f>_xlfn.XLOOKUP(C75,raw_customers!B:B,raw_customers!G:G)</f>
        <v>Premium</v>
      </c>
      <c r="F75" t="str">
        <f>_xlfn.XLOOKUP(_xlfn.XLOOKUP(B75,raw_customers!A:A,raw_customers!F:F),raw_branches!A:A,raw_branches!B:B)</f>
        <v>Sumgait Branch</v>
      </c>
      <c r="G75" s="7">
        <v>9701.13</v>
      </c>
      <c r="H75" s="6">
        <v>17.47</v>
      </c>
      <c r="I75" t="s">
        <v>2377</v>
      </c>
      <c r="J75" t="str">
        <f t="shared" si="1"/>
        <v>Orta Risk</v>
      </c>
    </row>
    <row r="76" spans="1:10">
      <c r="A76">
        <v>577</v>
      </c>
      <c r="B76">
        <v>864</v>
      </c>
      <c r="C76" t="str">
        <f>_xlfn.XLOOKUP(B76,raw_customers!A:A,raw_customers!B:B)</f>
        <v>Günel Orucov</v>
      </c>
      <c r="D76" t="str">
        <f>_xlfn.XLOOKUP(C76,raw_customers!B:B,raw_customers!C:C)</f>
        <v>F</v>
      </c>
      <c r="E76" t="str">
        <f>_xlfn.XLOOKUP(C76,raw_customers!B:B,raw_customers!G:G)</f>
        <v>SME</v>
      </c>
      <c r="F76" t="str">
        <f>_xlfn.XLOOKUP(_xlfn.XLOOKUP(B76,raw_customers!A:A,raw_customers!F:F),raw_branches!A:A,raw_branches!B:B)</f>
        <v>Mingachevir Branch</v>
      </c>
      <c r="G76" s="7">
        <v>7281.43</v>
      </c>
      <c r="H76" s="6">
        <v>12.05</v>
      </c>
      <c r="I76" t="s">
        <v>2377</v>
      </c>
      <c r="J76" t="str">
        <f t="shared" si="1"/>
        <v>Orta Risk</v>
      </c>
    </row>
    <row r="77" spans="1:10">
      <c r="A77">
        <v>578</v>
      </c>
      <c r="B77">
        <v>311</v>
      </c>
      <c r="C77" t="str">
        <f>_xlfn.XLOOKUP(B77,raw_customers!A:A,raw_customers!B:B)</f>
        <v>Tural Əliyev</v>
      </c>
      <c r="D77" t="str">
        <f>_xlfn.XLOOKUP(C77,raw_customers!B:B,raw_customers!C:C)</f>
        <v>M</v>
      </c>
      <c r="E77" t="str">
        <f>_xlfn.XLOOKUP(C77,raw_customers!B:B,raw_customers!G:G)</f>
        <v>Retail</v>
      </c>
      <c r="F77" t="str">
        <f>_xlfn.XLOOKUP(_xlfn.XLOOKUP(B77,raw_customers!A:A,raw_customers!F:F),raw_branches!A:A,raw_branches!B:B)</f>
        <v>Ganja Branch</v>
      </c>
      <c r="G77" s="7">
        <v>24478.57</v>
      </c>
      <c r="H77" s="6">
        <v>8.81</v>
      </c>
      <c r="I77" t="s">
        <v>2383</v>
      </c>
      <c r="J77" t="str">
        <f t="shared" si="1"/>
        <v>Aşağı Risk</v>
      </c>
    </row>
    <row r="78" spans="1:10">
      <c r="A78">
        <v>579</v>
      </c>
      <c r="B78">
        <v>766</v>
      </c>
      <c r="C78" t="str">
        <f>_xlfn.XLOOKUP(B78,raw_customers!A:A,raw_customers!B:B)</f>
        <v>Aysel Həsənov</v>
      </c>
      <c r="D78" t="str">
        <f>_xlfn.XLOOKUP(C78,raw_customers!B:B,raw_customers!C:C)</f>
        <v>F</v>
      </c>
      <c r="E78" t="str">
        <f>_xlfn.XLOOKUP(C78,raw_customers!B:B,raw_customers!G:G)</f>
        <v>Retail</v>
      </c>
      <c r="F78" t="str">
        <f>_xlfn.XLOOKUP(_xlfn.XLOOKUP(B78,raw_customers!A:A,raw_customers!F:F),raw_branches!A:A,raw_branches!B:B)</f>
        <v>Sheki Branch</v>
      </c>
      <c r="G78" s="7">
        <v>112550.72</v>
      </c>
      <c r="H78" s="6">
        <v>21.06</v>
      </c>
      <c r="I78" t="s">
        <v>2377</v>
      </c>
      <c r="J78" t="str">
        <f t="shared" si="1"/>
        <v>Yüksək Risk</v>
      </c>
    </row>
    <row r="79" spans="1:10">
      <c r="A79">
        <v>580</v>
      </c>
      <c r="B79">
        <v>530</v>
      </c>
      <c r="C79" t="str">
        <f>_xlfn.XLOOKUP(B79,raw_customers!A:A,raw_customers!B:B)</f>
        <v>Könül Əzizov</v>
      </c>
      <c r="D79" t="str">
        <f>_xlfn.XLOOKUP(C79,raw_customers!B:B,raw_customers!C:C)</f>
        <v>F</v>
      </c>
      <c r="E79" t="str">
        <f>_xlfn.XLOOKUP(C79,raw_customers!B:B,raw_customers!G:G)</f>
        <v>SME</v>
      </c>
      <c r="F79" t="str">
        <f>_xlfn.XLOOKUP(_xlfn.XLOOKUP(B79,raw_customers!A:A,raw_customers!F:F),raw_branches!A:A,raw_branches!B:B)</f>
        <v>Sumgait Branch</v>
      </c>
      <c r="G79" s="7">
        <v>12971.68</v>
      </c>
      <c r="H79" s="6">
        <v>20.26</v>
      </c>
      <c r="I79" t="s">
        <v>2377</v>
      </c>
      <c r="J79" t="str">
        <f t="shared" si="1"/>
        <v>Yüksək Risk</v>
      </c>
    </row>
    <row r="80" spans="1:10">
      <c r="A80">
        <v>581</v>
      </c>
      <c r="B80">
        <v>27</v>
      </c>
      <c r="C80" t="str">
        <f>_xlfn.XLOOKUP(B80,raw_customers!A:A,raw_customers!B:B)</f>
        <v>Vüqar Rəhimov</v>
      </c>
      <c r="D80" t="str">
        <f>_xlfn.XLOOKUP(C80,raw_customers!B:B,raw_customers!C:C)</f>
        <v>M</v>
      </c>
      <c r="E80" t="str">
        <f>_xlfn.XLOOKUP(C80,raw_customers!B:B,raw_customers!G:G)</f>
        <v>Retail</v>
      </c>
      <c r="F80" t="str">
        <f>_xlfn.XLOOKUP(_xlfn.XLOOKUP(B80,raw_customers!A:A,raw_customers!F:F),raw_branches!A:A,raw_branches!B:B)</f>
        <v>Baku Yasamal</v>
      </c>
      <c r="G80" s="7">
        <v>156488.71</v>
      </c>
      <c r="H80" s="6">
        <v>8.5</v>
      </c>
      <c r="I80" t="s">
        <v>2377</v>
      </c>
      <c r="J80" t="str">
        <f t="shared" si="1"/>
        <v>Aşağı Risk</v>
      </c>
    </row>
    <row r="81" spans="1:10">
      <c r="A81">
        <v>582</v>
      </c>
      <c r="B81">
        <v>419</v>
      </c>
      <c r="C81" t="str">
        <f>_xlfn.XLOOKUP(B81,raw_customers!A:A,raw_customers!B:B)</f>
        <v>Səbinə Sadıqov</v>
      </c>
      <c r="D81" t="str">
        <f>_xlfn.XLOOKUP(C81,raw_customers!B:B,raw_customers!C:C)</f>
        <v>F</v>
      </c>
      <c r="E81" t="str">
        <f>_xlfn.XLOOKUP(C81,raw_customers!B:B,raw_customers!G:G)</f>
        <v>Retail</v>
      </c>
      <c r="F81" t="str">
        <f>_xlfn.XLOOKUP(_xlfn.XLOOKUP(B81,raw_customers!A:A,raw_customers!F:F),raw_branches!A:A,raw_branches!B:B)</f>
        <v>Sheki Branch</v>
      </c>
      <c r="G81" s="7">
        <v>1218.62</v>
      </c>
      <c r="H81" s="6">
        <v>18.17</v>
      </c>
      <c r="I81" t="s">
        <v>2377</v>
      </c>
      <c r="J81" t="str">
        <f t="shared" si="1"/>
        <v>Yüksək Risk</v>
      </c>
    </row>
    <row r="82" spans="1:10">
      <c r="A82">
        <v>583</v>
      </c>
      <c r="B82">
        <v>889</v>
      </c>
      <c r="C82" t="str">
        <f>_xlfn.XLOOKUP(B82,raw_customers!A:A,raw_customers!B:B)</f>
        <v>Orxan Hüseynov</v>
      </c>
      <c r="D82" t="str">
        <f>_xlfn.XLOOKUP(C82,raw_customers!B:B,raw_customers!C:C)</f>
        <v>M</v>
      </c>
      <c r="E82" t="str">
        <f>_xlfn.XLOOKUP(C82,raw_customers!B:B,raw_customers!G:G)</f>
        <v>Retail</v>
      </c>
      <c r="F82" t="str">
        <f>_xlfn.XLOOKUP(_xlfn.XLOOKUP(B82,raw_customers!A:A,raw_customers!F:F),raw_branches!A:A,raw_branches!B:B)</f>
        <v>Ganja Branch</v>
      </c>
      <c r="G82" s="7">
        <v>10418.17</v>
      </c>
      <c r="H82" s="6">
        <v>21.99</v>
      </c>
      <c r="I82" t="s">
        <v>2377</v>
      </c>
      <c r="J82" t="str">
        <f t="shared" si="1"/>
        <v>Yüksək Risk</v>
      </c>
    </row>
    <row r="83" spans="1:10">
      <c r="A83">
        <v>584</v>
      </c>
      <c r="B83">
        <v>80</v>
      </c>
      <c r="C83" t="str">
        <f>_xlfn.XLOOKUP(B83,raw_customers!A:A,raw_customers!B:B)</f>
        <v>Ceyhun Rzayev</v>
      </c>
      <c r="D83" t="str">
        <f>_xlfn.XLOOKUP(C83,raw_customers!B:B,raw_customers!C:C)</f>
        <v>M</v>
      </c>
      <c r="E83" t="str">
        <f>_xlfn.XLOOKUP(C83,raw_customers!B:B,raw_customers!G:G)</f>
        <v>Retail</v>
      </c>
      <c r="F83" t="str">
        <f>_xlfn.XLOOKUP(_xlfn.XLOOKUP(B83,raw_customers!A:A,raw_customers!F:F),raw_branches!A:A,raw_branches!B:B)</f>
        <v>Baku Yasamal</v>
      </c>
      <c r="G83" s="7">
        <v>87041.24</v>
      </c>
      <c r="H83" s="6">
        <v>10.84</v>
      </c>
      <c r="I83" t="s">
        <v>2377</v>
      </c>
      <c r="J83" t="str">
        <f t="shared" si="1"/>
        <v>Aşağı Risk</v>
      </c>
    </row>
    <row r="84" spans="1:10">
      <c r="A84">
        <v>585</v>
      </c>
      <c r="B84">
        <v>585</v>
      </c>
      <c r="C84" t="str">
        <f>_xlfn.XLOOKUP(B84,raw_customers!A:A,raw_customers!B:B)</f>
        <v>Elvin Hüseynov</v>
      </c>
      <c r="D84" t="str">
        <f>_xlfn.XLOOKUP(C84,raw_customers!B:B,raw_customers!C:C)</f>
        <v>M</v>
      </c>
      <c r="E84" t="str">
        <f>_xlfn.XLOOKUP(C84,raw_customers!B:B,raw_customers!G:G)</f>
        <v>SME</v>
      </c>
      <c r="F84" t="str">
        <f>_xlfn.XLOOKUP(_xlfn.XLOOKUP(B84,raw_customers!A:A,raw_customers!F:F),raw_branches!A:A,raw_branches!B:B)</f>
        <v>Mingachevir Branch</v>
      </c>
      <c r="G84" s="7">
        <v>34748.01</v>
      </c>
      <c r="H84" s="6">
        <v>9.05</v>
      </c>
      <c r="I84" t="s">
        <v>2393</v>
      </c>
      <c r="J84" t="str">
        <f t="shared" si="1"/>
        <v>Default (Batıq)</v>
      </c>
    </row>
    <row r="85" spans="1:10">
      <c r="A85">
        <v>586</v>
      </c>
      <c r="B85">
        <v>938</v>
      </c>
      <c r="C85" t="str">
        <f>_xlfn.XLOOKUP(B85,raw_customers!A:A,raw_customers!B:B)</f>
        <v>Rəşad Cəfərov</v>
      </c>
      <c r="D85" t="str">
        <f>_xlfn.XLOOKUP(C85,raw_customers!B:B,raw_customers!C:C)</f>
        <v>M</v>
      </c>
      <c r="E85" t="str">
        <f>_xlfn.XLOOKUP(C85,raw_customers!B:B,raw_customers!G:G)</f>
        <v>Retail</v>
      </c>
      <c r="F85" t="str">
        <f>_xlfn.XLOOKUP(_xlfn.XLOOKUP(B85,raw_customers!A:A,raw_customers!F:F),raw_branches!A:A,raw_branches!B:B)</f>
        <v>Lankaran Branch</v>
      </c>
      <c r="G85" s="7">
        <v>9477.37</v>
      </c>
      <c r="H85" s="6">
        <v>20.4</v>
      </c>
      <c r="I85" t="s">
        <v>2377</v>
      </c>
      <c r="J85" t="str">
        <f t="shared" si="1"/>
        <v>Yüksək Risk</v>
      </c>
    </row>
    <row r="86" spans="1:10">
      <c r="A86">
        <v>587</v>
      </c>
      <c r="B86">
        <v>731</v>
      </c>
      <c r="C86" t="str">
        <f>_xlfn.XLOOKUP(B86,raw_customers!A:A,raw_customers!B:B)</f>
        <v>Ülviyyə Novruzov</v>
      </c>
      <c r="D86" t="str">
        <f>_xlfn.XLOOKUP(C86,raw_customers!B:B,raw_customers!C:C)</f>
        <v>F</v>
      </c>
      <c r="E86" t="str">
        <f>_xlfn.XLOOKUP(C86,raw_customers!B:B,raw_customers!G:G)</f>
        <v>Retail</v>
      </c>
      <c r="F86" t="str">
        <f>_xlfn.XLOOKUP(_xlfn.XLOOKUP(B86,raw_customers!A:A,raw_customers!F:F),raw_branches!A:A,raw_branches!B:B)</f>
        <v>Baku Central</v>
      </c>
      <c r="G86" s="2">
        <v>152589</v>
      </c>
      <c r="H86" s="6">
        <v>5.48</v>
      </c>
      <c r="I86" t="s">
        <v>2377</v>
      </c>
      <c r="J86" t="str">
        <f t="shared" si="1"/>
        <v>Aşağı Risk</v>
      </c>
    </row>
    <row r="87" spans="1:10">
      <c r="A87">
        <v>588</v>
      </c>
      <c r="B87">
        <v>957</v>
      </c>
      <c r="C87" t="str">
        <f>_xlfn.XLOOKUP(B87,raw_customers!A:A,raw_customers!B:B)</f>
        <v>Röya Həsənov</v>
      </c>
      <c r="D87" t="str">
        <f>_xlfn.XLOOKUP(C87,raw_customers!B:B,raw_customers!C:C)</f>
        <v>F</v>
      </c>
      <c r="E87" t="str">
        <f>_xlfn.XLOOKUP(C87,raw_customers!B:B,raw_customers!G:G)</f>
        <v>Retail</v>
      </c>
      <c r="F87" t="str">
        <f>_xlfn.XLOOKUP(_xlfn.XLOOKUP(B87,raw_customers!A:A,raw_customers!F:F),raw_branches!A:A,raw_branches!B:B)</f>
        <v>Sumgait Branch</v>
      </c>
      <c r="G87" s="7">
        <v>8692.15</v>
      </c>
      <c r="H87" s="6">
        <v>13.73</v>
      </c>
      <c r="I87" t="s">
        <v>2377</v>
      </c>
      <c r="J87" t="str">
        <f t="shared" si="1"/>
        <v>Orta Risk</v>
      </c>
    </row>
    <row r="88" spans="1:10">
      <c r="A88">
        <v>589</v>
      </c>
      <c r="B88">
        <v>852</v>
      </c>
      <c r="C88" t="str">
        <f>_xlfn.XLOOKUP(B88,raw_customers!A:A,raw_customers!B:B)</f>
        <v>Vüqar Rəhimov</v>
      </c>
      <c r="D88" t="str">
        <f>_xlfn.XLOOKUP(C88,raw_customers!B:B,raw_customers!C:C)</f>
        <v>M</v>
      </c>
      <c r="E88" t="str">
        <f>_xlfn.XLOOKUP(C88,raw_customers!B:B,raw_customers!G:G)</f>
        <v>Retail</v>
      </c>
      <c r="F88" t="str">
        <f>_xlfn.XLOOKUP(_xlfn.XLOOKUP(B88,raw_customers!A:A,raw_customers!F:F),raw_branches!A:A,raw_branches!B:B)</f>
        <v>Baku Central</v>
      </c>
      <c r="G88" s="7">
        <v>8404.49</v>
      </c>
      <c r="H88" s="6">
        <v>11.07</v>
      </c>
      <c r="I88" t="s">
        <v>2383</v>
      </c>
      <c r="J88" t="str">
        <f t="shared" si="1"/>
        <v>Aşağı Risk</v>
      </c>
    </row>
    <row r="89" spans="1:10">
      <c r="A89">
        <v>590</v>
      </c>
      <c r="B89">
        <v>545</v>
      </c>
      <c r="C89" t="str">
        <f>_xlfn.XLOOKUP(B89,raw_customers!A:A,raw_customers!B:B)</f>
        <v>Murad Həsənov</v>
      </c>
      <c r="D89" t="str">
        <f>_xlfn.XLOOKUP(C89,raw_customers!B:B,raw_customers!C:C)</f>
        <v>M</v>
      </c>
      <c r="E89" t="str">
        <f>_xlfn.XLOOKUP(C89,raw_customers!B:B,raw_customers!G:G)</f>
        <v>Retail</v>
      </c>
      <c r="F89" t="str">
        <f>_xlfn.XLOOKUP(_xlfn.XLOOKUP(B89,raw_customers!A:A,raw_customers!F:F),raw_branches!A:A,raw_branches!B:B)</f>
        <v>Sheki Branch</v>
      </c>
      <c r="G89" s="7">
        <v>9594.92</v>
      </c>
      <c r="H89" s="6">
        <v>14.22</v>
      </c>
      <c r="I89" t="s">
        <v>2377</v>
      </c>
      <c r="J89" t="str">
        <f t="shared" si="1"/>
        <v>Orta Risk</v>
      </c>
    </row>
    <row r="90" spans="1:10">
      <c r="A90">
        <v>591</v>
      </c>
      <c r="B90">
        <v>63</v>
      </c>
      <c r="C90" t="str">
        <f>_xlfn.XLOOKUP(B90,raw_customers!A:A,raw_customers!B:B)</f>
        <v>Ceyhun Rəhimov</v>
      </c>
      <c r="D90" t="str">
        <f>_xlfn.XLOOKUP(C90,raw_customers!B:B,raw_customers!C:C)</f>
        <v>M</v>
      </c>
      <c r="E90" t="str">
        <f>_xlfn.XLOOKUP(C90,raw_customers!B:B,raw_customers!G:G)</f>
        <v>Retail</v>
      </c>
      <c r="F90" t="str">
        <f>_xlfn.XLOOKUP(_xlfn.XLOOKUP(B90,raw_customers!A:A,raw_customers!F:F),raw_branches!A:A,raw_branches!B:B)</f>
        <v>Sumgait Branch</v>
      </c>
      <c r="G90" s="7">
        <v>7213.02</v>
      </c>
      <c r="H90" s="6">
        <v>11.36</v>
      </c>
      <c r="I90" t="s">
        <v>2377</v>
      </c>
      <c r="J90" t="str">
        <f t="shared" si="1"/>
        <v>Aşağı Risk</v>
      </c>
    </row>
    <row r="91" spans="1:10">
      <c r="A91">
        <v>592</v>
      </c>
      <c r="B91">
        <v>182</v>
      </c>
      <c r="C91" t="str">
        <f>_xlfn.XLOOKUP(B91,raw_customers!A:A,raw_customers!B:B)</f>
        <v>Orxan Sadıqov</v>
      </c>
      <c r="D91" t="str">
        <f>_xlfn.XLOOKUP(C91,raw_customers!B:B,raw_customers!C:C)</f>
        <v>M</v>
      </c>
      <c r="E91" t="str">
        <f>_xlfn.XLOOKUP(C91,raw_customers!B:B,raw_customers!G:G)</f>
        <v>Retail</v>
      </c>
      <c r="F91" t="str">
        <f>_xlfn.XLOOKUP(_xlfn.XLOOKUP(B91,raw_customers!A:A,raw_customers!F:F),raw_branches!A:A,raw_branches!B:B)</f>
        <v>Lankaran Branch</v>
      </c>
      <c r="G91" s="7">
        <v>14710.22</v>
      </c>
      <c r="H91" s="6">
        <v>12.49</v>
      </c>
      <c r="I91" t="s">
        <v>2377</v>
      </c>
      <c r="J91" t="str">
        <f t="shared" si="1"/>
        <v>Orta Risk</v>
      </c>
    </row>
    <row r="92" spans="1:10">
      <c r="A92">
        <v>593</v>
      </c>
      <c r="B92">
        <v>821</v>
      </c>
      <c r="C92" t="str">
        <f>_xlfn.XLOOKUP(B92,raw_customers!A:A,raw_customers!B:B)</f>
        <v>Fidan Əliyev</v>
      </c>
      <c r="D92" t="str">
        <f>_xlfn.XLOOKUP(C92,raw_customers!B:B,raw_customers!C:C)</f>
        <v>F</v>
      </c>
      <c r="E92" t="str">
        <f>_xlfn.XLOOKUP(C92,raw_customers!B:B,raw_customers!G:G)</f>
        <v>Retail</v>
      </c>
      <c r="F92" t="str">
        <f>_xlfn.XLOOKUP(_xlfn.XLOOKUP(B92,raw_customers!A:A,raw_customers!F:F),raw_branches!A:A,raw_branches!B:B)</f>
        <v>Sheki Branch</v>
      </c>
      <c r="G92" s="7">
        <v>34880.08</v>
      </c>
      <c r="H92" s="6">
        <v>7.19</v>
      </c>
      <c r="I92" t="s">
        <v>2377</v>
      </c>
      <c r="J92" t="str">
        <f t="shared" si="1"/>
        <v>Aşağı Risk</v>
      </c>
    </row>
    <row r="93" spans="1:10">
      <c r="A93">
        <v>594</v>
      </c>
      <c r="B93">
        <v>629</v>
      </c>
      <c r="C93" t="str">
        <f>_xlfn.XLOOKUP(B93,raw_customers!A:A,raw_customers!B:B)</f>
        <v>Zeynəb Rzayev</v>
      </c>
      <c r="D93" t="str">
        <f>_xlfn.XLOOKUP(C93,raw_customers!B:B,raw_customers!C:C)</f>
        <v>F</v>
      </c>
      <c r="E93" t="str">
        <f>_xlfn.XLOOKUP(C93,raw_customers!B:B,raw_customers!G:G)</f>
        <v>Retail</v>
      </c>
      <c r="F93" t="str">
        <f>_xlfn.XLOOKUP(_xlfn.XLOOKUP(B93,raw_customers!A:A,raw_customers!F:F),raw_branches!A:A,raw_branches!B:B)</f>
        <v>Baku Yasamal</v>
      </c>
      <c r="G93" s="7">
        <v>9608.98</v>
      </c>
      <c r="H93" s="6">
        <v>14.45</v>
      </c>
      <c r="I93" t="s">
        <v>2393</v>
      </c>
      <c r="J93" t="str">
        <f t="shared" si="1"/>
        <v>Default (Batıq)</v>
      </c>
    </row>
    <row r="94" spans="1:10">
      <c r="A94">
        <v>595</v>
      </c>
      <c r="B94">
        <v>888</v>
      </c>
      <c r="C94" t="str">
        <f>_xlfn.XLOOKUP(B94,raw_customers!A:A,raw_customers!B:B)</f>
        <v>Rəşad Quliyev</v>
      </c>
      <c r="D94" t="str">
        <f>_xlfn.XLOOKUP(C94,raw_customers!B:B,raw_customers!C:C)</f>
        <v>M</v>
      </c>
      <c r="E94" t="str">
        <f>_xlfn.XLOOKUP(C94,raw_customers!B:B,raw_customers!G:G)</f>
        <v>Retail</v>
      </c>
      <c r="F94" t="str">
        <f>_xlfn.XLOOKUP(_xlfn.XLOOKUP(B94,raw_customers!A:A,raw_customers!F:F),raw_branches!A:A,raw_branches!B:B)</f>
        <v>Lankaran Branch</v>
      </c>
      <c r="G94" s="7">
        <v>37488.65</v>
      </c>
      <c r="H94" s="6">
        <v>21.68</v>
      </c>
      <c r="I94" t="s">
        <v>2383</v>
      </c>
      <c r="J94" t="str">
        <f t="shared" si="1"/>
        <v>Yüksək Risk</v>
      </c>
    </row>
    <row r="95" spans="1:10">
      <c r="A95">
        <v>596</v>
      </c>
      <c r="B95">
        <v>928</v>
      </c>
      <c r="C95" t="str">
        <f>_xlfn.XLOOKUP(B95,raw_customers!A:A,raw_customers!B:B)</f>
        <v>Şəbnəm Orucov</v>
      </c>
      <c r="D95" t="str">
        <f>_xlfn.XLOOKUP(C95,raw_customers!B:B,raw_customers!C:C)</f>
        <v>F</v>
      </c>
      <c r="E95" t="str">
        <f>_xlfn.XLOOKUP(C95,raw_customers!B:B,raw_customers!G:G)</f>
        <v>Retail</v>
      </c>
      <c r="F95" t="str">
        <f>_xlfn.XLOOKUP(_xlfn.XLOOKUP(B95,raw_customers!A:A,raw_customers!F:F),raw_branches!A:A,raw_branches!B:B)</f>
        <v>Ganja Branch</v>
      </c>
      <c r="G95" s="7">
        <v>21100.83</v>
      </c>
      <c r="H95" s="6">
        <v>7.94</v>
      </c>
      <c r="I95" t="s">
        <v>2383</v>
      </c>
      <c r="J95" t="str">
        <f t="shared" si="1"/>
        <v>Aşağı Risk</v>
      </c>
    </row>
    <row r="96" spans="1:10">
      <c r="A96">
        <v>597</v>
      </c>
      <c r="B96">
        <v>509</v>
      </c>
      <c r="C96" t="str">
        <f>_xlfn.XLOOKUP(B96,raw_customers!A:A,raw_customers!B:B)</f>
        <v>Nərgiz Rəhimov</v>
      </c>
      <c r="D96" t="str">
        <f>_xlfn.XLOOKUP(C96,raw_customers!B:B,raw_customers!C:C)</f>
        <v>F</v>
      </c>
      <c r="E96" t="str">
        <f>_xlfn.XLOOKUP(C96,raw_customers!B:B,raw_customers!G:G)</f>
        <v>Retail</v>
      </c>
      <c r="F96" t="str">
        <f>_xlfn.XLOOKUP(_xlfn.XLOOKUP(B96,raw_customers!A:A,raw_customers!F:F),raw_branches!A:A,raw_branches!B:B)</f>
        <v>Mingachevir Branch</v>
      </c>
      <c r="G96" s="7">
        <v>39769.54</v>
      </c>
      <c r="H96" s="6">
        <v>14.22</v>
      </c>
      <c r="I96" t="s">
        <v>2393</v>
      </c>
      <c r="J96" t="str">
        <f t="shared" si="1"/>
        <v>Default (Batıq)</v>
      </c>
    </row>
    <row r="97" spans="1:10">
      <c r="A97">
        <v>598</v>
      </c>
      <c r="B97">
        <v>85</v>
      </c>
      <c r="C97" t="str">
        <f>_xlfn.XLOOKUP(B97,raw_customers!A:A,raw_customers!B:B)</f>
        <v>Leyla Novruzov</v>
      </c>
      <c r="D97" t="str">
        <f>_xlfn.XLOOKUP(C97,raw_customers!B:B,raw_customers!C:C)</f>
        <v>F</v>
      </c>
      <c r="E97" t="str">
        <f>_xlfn.XLOOKUP(C97,raw_customers!B:B,raw_customers!G:G)</f>
        <v>SME</v>
      </c>
      <c r="F97" t="str">
        <f>_xlfn.XLOOKUP(_xlfn.XLOOKUP(B97,raw_customers!A:A,raw_customers!F:F),raw_branches!A:A,raw_branches!B:B)</f>
        <v>Baku Central</v>
      </c>
      <c r="G97" s="7">
        <v>4202.04</v>
      </c>
      <c r="H97" s="6">
        <v>21.03</v>
      </c>
      <c r="I97" t="s">
        <v>2377</v>
      </c>
      <c r="J97" t="str">
        <f t="shared" si="1"/>
        <v>Yüksək Risk</v>
      </c>
    </row>
    <row r="98" spans="1:10">
      <c r="A98">
        <v>599</v>
      </c>
      <c r="B98">
        <v>42</v>
      </c>
      <c r="C98" t="str">
        <f>_xlfn.XLOOKUP(B98,raw_customers!A:A,raw_customers!B:B)</f>
        <v>Fuad Kərimov</v>
      </c>
      <c r="D98" t="str">
        <f>_xlfn.XLOOKUP(C98,raw_customers!B:B,raw_customers!C:C)</f>
        <v>M</v>
      </c>
      <c r="E98" t="str">
        <f>_xlfn.XLOOKUP(C98,raw_customers!B:B,raw_customers!G:G)</f>
        <v>Retail</v>
      </c>
      <c r="F98" t="str">
        <f>_xlfn.XLOOKUP(_xlfn.XLOOKUP(B98,raw_customers!A:A,raw_customers!F:F),raw_branches!A:A,raw_branches!B:B)</f>
        <v>Sheki Branch</v>
      </c>
      <c r="G98" s="7">
        <v>170236.97</v>
      </c>
      <c r="H98" s="6">
        <v>17.25</v>
      </c>
      <c r="I98" t="s">
        <v>2377</v>
      </c>
      <c r="J98" t="str">
        <f t="shared" si="1"/>
        <v>Orta Risk</v>
      </c>
    </row>
    <row r="99" spans="1:10">
      <c r="A99">
        <v>600</v>
      </c>
      <c r="B99">
        <v>611</v>
      </c>
      <c r="C99" t="str">
        <f>_xlfn.XLOOKUP(B99,raw_customers!A:A,raw_customers!B:B)</f>
        <v>Lalə Abbasov</v>
      </c>
      <c r="D99" t="str">
        <f>_xlfn.XLOOKUP(C99,raw_customers!B:B,raw_customers!C:C)</f>
        <v>F</v>
      </c>
      <c r="E99" t="str">
        <f>_xlfn.XLOOKUP(C99,raw_customers!B:B,raw_customers!G:G)</f>
        <v>Retail</v>
      </c>
      <c r="F99" t="str">
        <f>_xlfn.XLOOKUP(_xlfn.XLOOKUP(B99,raw_customers!A:A,raw_customers!F:F),raw_branches!A:A,raw_branches!B:B)</f>
        <v>Sheki Branch</v>
      </c>
      <c r="G99" s="2">
        <v>167673</v>
      </c>
      <c r="H99" s="6">
        <v>18.78</v>
      </c>
      <c r="I99" t="s">
        <v>2377</v>
      </c>
      <c r="J99" t="str">
        <f t="shared" si="1"/>
        <v>Yüksək Risk</v>
      </c>
    </row>
    <row r="100" spans="1:10">
      <c r="A100">
        <v>601</v>
      </c>
      <c r="B100">
        <v>640</v>
      </c>
      <c r="C100" t="str">
        <f>_xlfn.XLOOKUP(B100,raw_customers!A:A,raw_customers!B:B)</f>
        <v>Səbinə Məmmədov</v>
      </c>
      <c r="D100" t="str">
        <f>_xlfn.XLOOKUP(C100,raw_customers!B:B,raw_customers!C:C)</f>
        <v>F</v>
      </c>
      <c r="E100" t="str">
        <f>_xlfn.XLOOKUP(C100,raw_customers!B:B,raw_customers!G:G)</f>
        <v>Retail</v>
      </c>
      <c r="F100" t="str">
        <f>_xlfn.XLOOKUP(_xlfn.XLOOKUP(B100,raw_customers!A:A,raw_customers!F:F),raw_branches!A:A,raw_branches!B:B)</f>
        <v>Baku Yasamal</v>
      </c>
      <c r="G100" s="7">
        <v>11524.84</v>
      </c>
      <c r="H100" s="6">
        <v>9.12</v>
      </c>
      <c r="I100" t="s">
        <v>2377</v>
      </c>
      <c r="J100" t="str">
        <f t="shared" si="1"/>
        <v>Aşağı Risk</v>
      </c>
    </row>
    <row r="101" spans="1:10">
      <c r="A101">
        <v>602</v>
      </c>
      <c r="B101">
        <v>951</v>
      </c>
      <c r="C101" t="str">
        <f>_xlfn.XLOOKUP(B101,raw_customers!A:A,raw_customers!B:B)</f>
        <v>Röya Tağıyev</v>
      </c>
      <c r="D101" t="str">
        <f>_xlfn.XLOOKUP(C101,raw_customers!B:B,raw_customers!C:C)</f>
        <v>F</v>
      </c>
      <c r="E101" t="str">
        <f>_xlfn.XLOOKUP(C101,raw_customers!B:B,raw_customers!G:G)</f>
        <v>Retail</v>
      </c>
      <c r="F101" t="str">
        <f>_xlfn.XLOOKUP(_xlfn.XLOOKUP(B101,raw_customers!A:A,raw_customers!F:F),raw_branches!A:A,raw_branches!B:B)</f>
        <v>Sumgait Branch</v>
      </c>
      <c r="G101" s="7">
        <v>63962.45</v>
      </c>
      <c r="H101" s="6">
        <v>11.08</v>
      </c>
      <c r="I101" t="s">
        <v>2377</v>
      </c>
      <c r="J101" t="str">
        <f t="shared" si="1"/>
        <v>Aşağı Risk</v>
      </c>
    </row>
    <row r="102" spans="1:10">
      <c r="A102">
        <v>603</v>
      </c>
      <c r="B102">
        <v>997</v>
      </c>
      <c r="C102" t="str">
        <f>_xlfn.XLOOKUP(B102,raw_customers!A:A,raw_customers!B:B)</f>
        <v>Fərid Kərimov</v>
      </c>
      <c r="D102" t="str">
        <f>_xlfn.XLOOKUP(C102,raw_customers!B:B,raw_customers!C:C)</f>
        <v>M</v>
      </c>
      <c r="E102" t="str">
        <f>_xlfn.XLOOKUP(C102,raw_customers!B:B,raw_customers!G:G)</f>
        <v>SME</v>
      </c>
      <c r="F102" t="str">
        <f>_xlfn.XLOOKUP(_xlfn.XLOOKUP(B102,raw_customers!A:A,raw_customers!F:F),raw_branches!A:A,raw_branches!B:B)</f>
        <v>Sumgait Branch</v>
      </c>
      <c r="G102" s="7">
        <v>96533.43</v>
      </c>
      <c r="H102" s="6">
        <v>15.11</v>
      </c>
      <c r="I102" t="s">
        <v>2377</v>
      </c>
      <c r="J102" t="str">
        <f t="shared" si="1"/>
        <v>Orta Risk</v>
      </c>
    </row>
    <row r="103" spans="1:10">
      <c r="A103">
        <v>604</v>
      </c>
      <c r="B103">
        <v>778</v>
      </c>
      <c r="C103" t="str">
        <f>_xlfn.XLOOKUP(B103,raw_customers!A:A,raw_customers!B:B)</f>
        <v>Zaur Həsənov</v>
      </c>
      <c r="D103" t="str">
        <f>_xlfn.XLOOKUP(C103,raw_customers!B:B,raw_customers!C:C)</f>
        <v>M</v>
      </c>
      <c r="E103" t="str">
        <f>_xlfn.XLOOKUP(C103,raw_customers!B:B,raw_customers!G:G)</f>
        <v>Retail</v>
      </c>
      <c r="F103" t="str">
        <f>_xlfn.XLOOKUP(_xlfn.XLOOKUP(B103,raw_customers!A:A,raw_customers!F:F),raw_branches!A:A,raw_branches!B:B)</f>
        <v>Baku Central</v>
      </c>
      <c r="G103" s="7">
        <v>5945.96</v>
      </c>
      <c r="H103" s="6">
        <v>11.87</v>
      </c>
      <c r="I103" t="s">
        <v>2383</v>
      </c>
      <c r="J103" t="str">
        <f t="shared" si="1"/>
        <v>Aşağı Risk</v>
      </c>
    </row>
    <row r="104" spans="1:10">
      <c r="A104">
        <v>605</v>
      </c>
      <c r="B104">
        <v>312</v>
      </c>
      <c r="C104" t="str">
        <f>_xlfn.XLOOKUP(B104,raw_customers!A:A,raw_customers!B:B)</f>
        <v>Nicat Hüseynov</v>
      </c>
      <c r="D104" t="str">
        <f>_xlfn.XLOOKUP(C104,raw_customers!B:B,raw_customers!C:C)</f>
        <v>M</v>
      </c>
      <c r="E104" t="str">
        <f>_xlfn.XLOOKUP(C104,raw_customers!B:B,raw_customers!G:G)</f>
        <v>Retail</v>
      </c>
      <c r="F104" t="str">
        <f>_xlfn.XLOOKUP(_xlfn.XLOOKUP(B104,raw_customers!A:A,raw_customers!F:F),raw_branches!A:A,raw_branches!B:B)</f>
        <v>Sumgait Branch</v>
      </c>
      <c r="G104" s="2">
        <v>3823</v>
      </c>
      <c r="H104" s="6">
        <v>13.15</v>
      </c>
      <c r="I104" t="s">
        <v>2377</v>
      </c>
      <c r="J104" t="str">
        <f t="shared" si="1"/>
        <v>Orta Risk</v>
      </c>
    </row>
    <row r="105" spans="1:10">
      <c r="A105">
        <v>606</v>
      </c>
      <c r="B105">
        <v>186</v>
      </c>
      <c r="C105" t="str">
        <f>_xlfn.XLOOKUP(B105,raw_customers!A:A,raw_customers!B:B)</f>
        <v>Emin Tağıyev</v>
      </c>
      <c r="D105" t="str">
        <f>_xlfn.XLOOKUP(C105,raw_customers!B:B,raw_customers!C:C)</f>
        <v>M</v>
      </c>
      <c r="E105" t="str">
        <f>_xlfn.XLOOKUP(C105,raw_customers!B:B,raw_customers!G:G)</f>
        <v>Retail</v>
      </c>
      <c r="F105" t="str">
        <f>_xlfn.XLOOKUP(_xlfn.XLOOKUP(B105,raw_customers!A:A,raw_customers!F:F),raw_branches!A:A,raw_branches!B:B)</f>
        <v>Mingachevir Branch</v>
      </c>
      <c r="G105" s="7">
        <v>7771.89</v>
      </c>
      <c r="H105" s="6">
        <v>13.53</v>
      </c>
      <c r="I105" t="s">
        <v>2377</v>
      </c>
      <c r="J105" t="str">
        <f t="shared" si="1"/>
        <v>Orta Risk</v>
      </c>
    </row>
    <row r="106" spans="1:10">
      <c r="A106">
        <v>607</v>
      </c>
      <c r="B106">
        <v>257</v>
      </c>
      <c r="C106" t="str">
        <f>_xlfn.XLOOKUP(B106,raw_customers!A:A,raw_customers!B:B)</f>
        <v>Ülviyyə Cəfərov</v>
      </c>
      <c r="D106" t="str">
        <f>_xlfn.XLOOKUP(C106,raw_customers!B:B,raw_customers!C:C)</f>
        <v>F</v>
      </c>
      <c r="E106" t="str">
        <f>_xlfn.XLOOKUP(C106,raw_customers!B:B,raw_customers!G:G)</f>
        <v>Premium</v>
      </c>
      <c r="F106" t="str">
        <f>_xlfn.XLOOKUP(_xlfn.XLOOKUP(B106,raw_customers!A:A,raw_customers!F:F),raw_branches!A:A,raw_branches!B:B)</f>
        <v>Lankaran Branch</v>
      </c>
      <c r="G106" s="7">
        <v>75611.91</v>
      </c>
      <c r="H106" s="6">
        <v>10.49</v>
      </c>
      <c r="I106" t="s">
        <v>2383</v>
      </c>
      <c r="J106" t="str">
        <f t="shared" si="1"/>
        <v>Aşağı Risk</v>
      </c>
    </row>
    <row r="107" spans="1:10">
      <c r="A107">
        <v>608</v>
      </c>
      <c r="B107">
        <v>143</v>
      </c>
      <c r="C107" t="str">
        <f>_xlfn.XLOOKUP(B107,raw_customers!A:A,raw_customers!B:B)</f>
        <v>Vüqar Hüseynov</v>
      </c>
      <c r="D107" t="str">
        <f>_xlfn.XLOOKUP(C107,raw_customers!B:B,raw_customers!C:C)</f>
        <v>M</v>
      </c>
      <c r="E107" t="str">
        <f>_xlfn.XLOOKUP(C107,raw_customers!B:B,raw_customers!G:G)</f>
        <v>Retail</v>
      </c>
      <c r="F107" t="str">
        <f>_xlfn.XLOOKUP(_xlfn.XLOOKUP(B107,raw_customers!A:A,raw_customers!F:F),raw_branches!A:A,raw_branches!B:B)</f>
        <v>Ganja Branch</v>
      </c>
      <c r="G107" s="7">
        <v>19225.29</v>
      </c>
      <c r="H107" s="6">
        <v>20.31</v>
      </c>
      <c r="I107" t="s">
        <v>2377</v>
      </c>
      <c r="J107" t="str">
        <f t="shared" si="1"/>
        <v>Yüksək Risk</v>
      </c>
    </row>
    <row r="108" spans="1:10">
      <c r="A108">
        <v>609</v>
      </c>
      <c r="B108">
        <v>263</v>
      </c>
      <c r="C108" t="str">
        <f>_xlfn.XLOOKUP(B108,raw_customers!A:A,raw_customers!B:B)</f>
        <v>Ceyhun Cəfərov</v>
      </c>
      <c r="D108" t="str">
        <f>_xlfn.XLOOKUP(C108,raw_customers!B:B,raw_customers!C:C)</f>
        <v>M</v>
      </c>
      <c r="E108" t="str">
        <f>_xlfn.XLOOKUP(C108,raw_customers!B:B,raw_customers!G:G)</f>
        <v>Retail</v>
      </c>
      <c r="F108" t="str">
        <f>_xlfn.XLOOKUP(_xlfn.XLOOKUP(B108,raw_customers!A:A,raw_customers!F:F),raw_branches!A:A,raw_branches!B:B)</f>
        <v>Sheki Branch</v>
      </c>
      <c r="G108" s="7">
        <v>116430.82</v>
      </c>
      <c r="H108" s="6">
        <v>19.23</v>
      </c>
      <c r="I108" t="s">
        <v>2377</v>
      </c>
      <c r="J108" t="str">
        <f t="shared" si="1"/>
        <v>Yüksək Risk</v>
      </c>
    </row>
    <row r="109" spans="1:10">
      <c r="A109">
        <v>610</v>
      </c>
      <c r="B109">
        <v>183</v>
      </c>
      <c r="C109" t="str">
        <f>_xlfn.XLOOKUP(B109,raw_customers!A:A,raw_customers!B:B)</f>
        <v>Emin Rəhimov</v>
      </c>
      <c r="D109" t="str">
        <f>_xlfn.XLOOKUP(C109,raw_customers!B:B,raw_customers!C:C)</f>
        <v>M</v>
      </c>
      <c r="E109" t="str">
        <f>_xlfn.XLOOKUP(C109,raw_customers!B:B,raw_customers!G:G)</f>
        <v>Premium</v>
      </c>
      <c r="F109" t="str">
        <f>_xlfn.XLOOKUP(_xlfn.XLOOKUP(B109,raw_customers!A:A,raw_customers!F:F),raw_branches!A:A,raw_branches!B:B)</f>
        <v>Baku Central</v>
      </c>
      <c r="G109" s="7">
        <v>61352.8</v>
      </c>
      <c r="H109" s="6">
        <v>6.63</v>
      </c>
      <c r="I109" t="s">
        <v>2377</v>
      </c>
      <c r="J109" t="str">
        <f t="shared" si="1"/>
        <v>Aşağı Risk</v>
      </c>
    </row>
    <row r="110" spans="1:10">
      <c r="A110">
        <v>611</v>
      </c>
      <c r="B110">
        <v>759</v>
      </c>
      <c r="C110" t="str">
        <f>_xlfn.XLOOKUP(B110,raw_customers!A:A,raw_customers!B:B)</f>
        <v>Lalə Quliyev</v>
      </c>
      <c r="D110" t="str">
        <f>_xlfn.XLOOKUP(C110,raw_customers!B:B,raw_customers!C:C)</f>
        <v>F</v>
      </c>
      <c r="E110" t="str">
        <f>_xlfn.XLOOKUP(C110,raw_customers!B:B,raw_customers!G:G)</f>
        <v>Retail</v>
      </c>
      <c r="F110" t="str">
        <f>_xlfn.XLOOKUP(_xlfn.XLOOKUP(B110,raw_customers!A:A,raw_customers!F:F),raw_branches!A:A,raw_branches!B:B)</f>
        <v>Baku Central</v>
      </c>
      <c r="G110" s="7">
        <v>7812.74</v>
      </c>
      <c r="H110" s="6">
        <v>21.67</v>
      </c>
      <c r="I110" t="s">
        <v>2377</v>
      </c>
      <c r="J110" t="str">
        <f t="shared" si="1"/>
        <v>Yüksək Risk</v>
      </c>
    </row>
    <row r="111" spans="1:10">
      <c r="A111">
        <v>612</v>
      </c>
      <c r="B111">
        <v>711</v>
      </c>
      <c r="C111" t="str">
        <f>_xlfn.XLOOKUP(B111,raw_customers!A:A,raw_customers!B:B)</f>
        <v>Aynur Həsənov</v>
      </c>
      <c r="D111" t="str">
        <f>_xlfn.XLOOKUP(C111,raw_customers!B:B,raw_customers!C:C)</f>
        <v>F</v>
      </c>
      <c r="E111" t="str">
        <f>_xlfn.XLOOKUP(C111,raw_customers!B:B,raw_customers!G:G)</f>
        <v>Retail</v>
      </c>
      <c r="F111" t="str">
        <f>_xlfn.XLOOKUP(_xlfn.XLOOKUP(B111,raw_customers!A:A,raw_customers!F:F),raw_branches!A:A,raw_branches!B:B)</f>
        <v>Sheki Branch</v>
      </c>
      <c r="G111" s="7">
        <v>17470.31</v>
      </c>
      <c r="H111" s="6">
        <v>12.37</v>
      </c>
      <c r="I111" t="s">
        <v>2377</v>
      </c>
      <c r="J111" t="str">
        <f t="shared" si="1"/>
        <v>Orta Risk</v>
      </c>
    </row>
    <row r="112" spans="1:10">
      <c r="A112">
        <v>613</v>
      </c>
      <c r="B112">
        <v>283</v>
      </c>
      <c r="C112" t="str">
        <f>_xlfn.XLOOKUP(B112,raw_customers!A:A,raw_customers!B:B)</f>
        <v>Fuad Rzayev</v>
      </c>
      <c r="D112" t="str">
        <f>_xlfn.XLOOKUP(C112,raw_customers!B:B,raw_customers!C:C)</f>
        <v>M</v>
      </c>
      <c r="E112" t="str">
        <f>_xlfn.XLOOKUP(C112,raw_customers!B:B,raw_customers!G:G)</f>
        <v>SME</v>
      </c>
      <c r="F112" t="str">
        <f>_xlfn.XLOOKUP(_xlfn.XLOOKUP(B112,raw_customers!A:A,raw_customers!F:F),raw_branches!A:A,raw_branches!B:B)</f>
        <v>Baku Central</v>
      </c>
      <c r="G112" s="7">
        <v>34100.07</v>
      </c>
      <c r="H112" s="6">
        <v>21.64</v>
      </c>
      <c r="I112" t="s">
        <v>2393</v>
      </c>
      <c r="J112" t="str">
        <f t="shared" si="1"/>
        <v>Default (Batıq)</v>
      </c>
    </row>
    <row r="113" spans="1:10">
      <c r="A113">
        <v>614</v>
      </c>
      <c r="B113">
        <v>270</v>
      </c>
      <c r="C113" t="str">
        <f>_xlfn.XLOOKUP(B113,raw_customers!A:A,raw_customers!B:B)</f>
        <v>Ramin Nəbiyev</v>
      </c>
      <c r="D113" t="str">
        <f>_xlfn.XLOOKUP(C113,raw_customers!B:B,raw_customers!C:C)</f>
        <v>M</v>
      </c>
      <c r="E113" t="str">
        <f>_xlfn.XLOOKUP(C113,raw_customers!B:B,raw_customers!G:G)</f>
        <v>Premium</v>
      </c>
      <c r="F113" t="str">
        <f>_xlfn.XLOOKUP(_xlfn.XLOOKUP(B113,raw_customers!A:A,raw_customers!F:F),raw_branches!A:A,raw_branches!B:B)</f>
        <v>Lankaran Branch</v>
      </c>
      <c r="G113" s="7">
        <v>91194.05</v>
      </c>
      <c r="H113" s="6">
        <v>13.01</v>
      </c>
      <c r="I113" t="s">
        <v>2377</v>
      </c>
      <c r="J113" t="str">
        <f t="shared" si="1"/>
        <v>Orta Risk</v>
      </c>
    </row>
    <row r="114" spans="1:10">
      <c r="A114">
        <v>615</v>
      </c>
      <c r="B114">
        <v>271</v>
      </c>
      <c r="C114" t="str">
        <f>_xlfn.XLOOKUP(B114,raw_customers!A:A,raw_customers!B:B)</f>
        <v>Şəbnəm Kərimov</v>
      </c>
      <c r="D114" t="str">
        <f>_xlfn.XLOOKUP(C114,raw_customers!B:B,raw_customers!C:C)</f>
        <v>F</v>
      </c>
      <c r="E114" t="str">
        <f>_xlfn.XLOOKUP(C114,raw_customers!B:B,raw_customers!G:G)</f>
        <v>Retail</v>
      </c>
      <c r="F114" t="str">
        <f>_xlfn.XLOOKUP(_xlfn.XLOOKUP(B114,raw_customers!A:A,raw_customers!F:F),raw_branches!A:A,raw_branches!B:B)</f>
        <v>Ganja Branch</v>
      </c>
      <c r="G114" s="7">
        <v>155689.29</v>
      </c>
      <c r="H114" s="6">
        <v>19.45</v>
      </c>
      <c r="I114" t="s">
        <v>2377</v>
      </c>
      <c r="J114" t="str">
        <f t="shared" si="1"/>
        <v>Yüksək Risk</v>
      </c>
    </row>
    <row r="115" spans="1:10">
      <c r="A115">
        <v>616</v>
      </c>
      <c r="B115">
        <v>429</v>
      </c>
      <c r="C115" t="str">
        <f>_xlfn.XLOOKUP(B115,raw_customers!A:A,raw_customers!B:B)</f>
        <v>Elşən Həsənov</v>
      </c>
      <c r="D115" t="str">
        <f>_xlfn.XLOOKUP(C115,raw_customers!B:B,raw_customers!C:C)</f>
        <v>M</v>
      </c>
      <c r="E115" t="str">
        <f>_xlfn.XLOOKUP(C115,raw_customers!B:B,raw_customers!G:G)</f>
        <v>Retail</v>
      </c>
      <c r="F115" t="str">
        <f>_xlfn.XLOOKUP(_xlfn.XLOOKUP(B115,raw_customers!A:A,raw_customers!F:F),raw_branches!A:A,raw_branches!B:B)</f>
        <v>Mingachevir Branch</v>
      </c>
      <c r="G115" s="7">
        <v>37682.93</v>
      </c>
      <c r="H115" s="6">
        <v>12.82</v>
      </c>
      <c r="I115" t="s">
        <v>2377</v>
      </c>
      <c r="J115" t="str">
        <f t="shared" si="1"/>
        <v>Orta Risk</v>
      </c>
    </row>
    <row r="116" spans="1:10">
      <c r="A116">
        <v>617</v>
      </c>
      <c r="B116">
        <v>351</v>
      </c>
      <c r="C116" t="str">
        <f>_xlfn.XLOOKUP(B116,raw_customers!A:A,raw_customers!B:B)</f>
        <v>Kamran Novruzov</v>
      </c>
      <c r="D116" t="str">
        <f>_xlfn.XLOOKUP(C116,raw_customers!B:B,raw_customers!C:C)</f>
        <v>M</v>
      </c>
      <c r="E116" t="str">
        <f>_xlfn.XLOOKUP(C116,raw_customers!B:B,raw_customers!G:G)</f>
        <v>Retail</v>
      </c>
      <c r="F116" t="str">
        <f>_xlfn.XLOOKUP(_xlfn.XLOOKUP(B116,raw_customers!A:A,raw_customers!F:F),raw_branches!A:A,raw_branches!B:B)</f>
        <v>Lankaran Branch</v>
      </c>
      <c r="G116" s="7">
        <v>683.07</v>
      </c>
      <c r="H116" s="6">
        <v>16.07</v>
      </c>
      <c r="I116" t="s">
        <v>2377</v>
      </c>
      <c r="J116" t="str">
        <f t="shared" si="1"/>
        <v>Orta Risk</v>
      </c>
    </row>
    <row r="117" spans="1:10">
      <c r="A117">
        <v>618</v>
      </c>
      <c r="B117">
        <v>45</v>
      </c>
      <c r="C117" t="str">
        <f>_xlfn.XLOOKUP(B117,raw_customers!A:A,raw_customers!B:B)</f>
        <v>Rəşad Bağırov</v>
      </c>
      <c r="D117" t="str">
        <f>_xlfn.XLOOKUP(C117,raw_customers!B:B,raw_customers!C:C)</f>
        <v>M</v>
      </c>
      <c r="E117" t="str">
        <f>_xlfn.XLOOKUP(C117,raw_customers!B:B,raw_customers!G:G)</f>
        <v>SME</v>
      </c>
      <c r="F117" t="str">
        <f>_xlfn.XLOOKUP(_xlfn.XLOOKUP(B117,raw_customers!A:A,raw_customers!F:F),raw_branches!A:A,raw_branches!B:B)</f>
        <v>Baku Yasamal</v>
      </c>
      <c r="G117" s="2">
        <v>22466</v>
      </c>
      <c r="H117" s="6">
        <v>13.46</v>
      </c>
      <c r="I117" t="s">
        <v>2393</v>
      </c>
      <c r="J117" t="str">
        <f t="shared" si="1"/>
        <v>Default (Batıq)</v>
      </c>
    </row>
    <row r="118" spans="1:10">
      <c r="A118">
        <v>619</v>
      </c>
      <c r="B118">
        <v>1</v>
      </c>
      <c r="C118" t="str">
        <f>_xlfn.XLOOKUP(B118,raw_customers!A:A,raw_customers!B:B)</f>
        <v>Fidan Vəliyev</v>
      </c>
      <c r="D118" t="str">
        <f>_xlfn.XLOOKUP(C118,raw_customers!B:B,raw_customers!C:C)</f>
        <v>F</v>
      </c>
      <c r="E118" t="str">
        <f>_xlfn.XLOOKUP(C118,raw_customers!B:B,raw_customers!G:G)</f>
        <v>SME</v>
      </c>
      <c r="F118" t="str">
        <f>_xlfn.XLOOKUP(_xlfn.XLOOKUP(B118,raw_customers!A:A,raw_customers!F:F),raw_branches!A:A,raw_branches!B:B)</f>
        <v>Baku Yasamal</v>
      </c>
      <c r="G118" s="7">
        <v>3194.41</v>
      </c>
      <c r="H118" s="6">
        <v>16.41</v>
      </c>
      <c r="I118" t="s">
        <v>2383</v>
      </c>
      <c r="J118" t="str">
        <f t="shared" si="1"/>
        <v>Orta Risk</v>
      </c>
    </row>
    <row r="119" spans="1:10">
      <c r="A119">
        <v>620</v>
      </c>
      <c r="B119">
        <v>77</v>
      </c>
      <c r="C119" t="str">
        <f>_xlfn.XLOOKUP(B119,raw_customers!A:A,raw_customers!B:B)</f>
        <v>Könül Məmmədov</v>
      </c>
      <c r="D119" t="str">
        <f>_xlfn.XLOOKUP(C119,raw_customers!B:B,raw_customers!C:C)</f>
        <v>F</v>
      </c>
      <c r="E119" t="str">
        <f>_xlfn.XLOOKUP(C119,raw_customers!B:B,raw_customers!G:G)</f>
        <v>SME</v>
      </c>
      <c r="F119" t="str">
        <f>_xlfn.XLOOKUP(_xlfn.XLOOKUP(B119,raw_customers!A:A,raw_customers!F:F),raw_branches!A:A,raw_branches!B:B)</f>
        <v>Sheki Branch</v>
      </c>
      <c r="G119" s="7">
        <v>2267.35</v>
      </c>
      <c r="H119" s="6">
        <v>9.63</v>
      </c>
      <c r="I119" t="s">
        <v>2377</v>
      </c>
      <c r="J119" t="str">
        <f t="shared" si="1"/>
        <v>Aşağı Risk</v>
      </c>
    </row>
    <row r="120" spans="1:10">
      <c r="A120">
        <v>621</v>
      </c>
      <c r="B120">
        <v>62</v>
      </c>
      <c r="C120" t="str">
        <f>_xlfn.XLOOKUP(B120,raw_customers!A:A,raw_customers!B:B)</f>
        <v>Samir Musayev</v>
      </c>
      <c r="D120" t="str">
        <f>_xlfn.XLOOKUP(C120,raw_customers!B:B,raw_customers!C:C)</f>
        <v>M</v>
      </c>
      <c r="E120" t="str">
        <f>_xlfn.XLOOKUP(C120,raw_customers!B:B,raw_customers!G:G)</f>
        <v>Premium</v>
      </c>
      <c r="F120" t="str">
        <f>_xlfn.XLOOKUP(_xlfn.XLOOKUP(B120,raw_customers!A:A,raw_customers!F:F),raw_branches!A:A,raw_branches!B:B)</f>
        <v>Baku Yasamal</v>
      </c>
      <c r="G120" s="7">
        <v>26436.52</v>
      </c>
      <c r="H120" s="6">
        <v>18.91</v>
      </c>
      <c r="I120" t="s">
        <v>2393</v>
      </c>
      <c r="J120" t="str">
        <f t="shared" si="1"/>
        <v>Default (Batıq)</v>
      </c>
    </row>
    <row r="121" spans="1:10">
      <c r="A121">
        <v>622</v>
      </c>
      <c r="B121">
        <v>165</v>
      </c>
      <c r="C121" t="str">
        <f>_xlfn.XLOOKUP(B121,raw_customers!A:A,raw_customers!B:B)</f>
        <v>Fidan İsmayılov</v>
      </c>
      <c r="D121" t="str">
        <f>_xlfn.XLOOKUP(C121,raw_customers!B:B,raw_customers!C:C)</f>
        <v>F</v>
      </c>
      <c r="E121" t="str">
        <f>_xlfn.XLOOKUP(C121,raw_customers!B:B,raw_customers!G:G)</f>
        <v>SME</v>
      </c>
      <c r="F121" t="str">
        <f>_xlfn.XLOOKUP(_xlfn.XLOOKUP(B121,raw_customers!A:A,raw_customers!F:F),raw_branches!A:A,raw_branches!B:B)</f>
        <v>Baku Yasamal</v>
      </c>
      <c r="G121" s="7">
        <v>3664.38</v>
      </c>
      <c r="H121" s="6">
        <v>6.95</v>
      </c>
      <c r="I121" t="s">
        <v>2393</v>
      </c>
      <c r="J121" t="str">
        <f t="shared" si="1"/>
        <v>Default (Batıq)</v>
      </c>
    </row>
    <row r="122" spans="1:10">
      <c r="A122">
        <v>623</v>
      </c>
      <c r="B122">
        <v>740</v>
      </c>
      <c r="C122" t="str">
        <f>_xlfn.XLOOKUP(B122,raw_customers!A:A,raw_customers!B:B)</f>
        <v>Zaur Orucov</v>
      </c>
      <c r="D122" t="str">
        <f>_xlfn.XLOOKUP(C122,raw_customers!B:B,raw_customers!C:C)</f>
        <v>M</v>
      </c>
      <c r="E122" t="str">
        <f>_xlfn.XLOOKUP(C122,raw_customers!B:B,raw_customers!G:G)</f>
        <v>SME</v>
      </c>
      <c r="F122" t="str">
        <f>_xlfn.XLOOKUP(_xlfn.XLOOKUP(B122,raw_customers!A:A,raw_customers!F:F),raw_branches!A:A,raw_branches!B:B)</f>
        <v>Baku Yasamal</v>
      </c>
      <c r="G122" s="7">
        <v>133140.39</v>
      </c>
      <c r="H122" s="6">
        <v>12.5</v>
      </c>
      <c r="I122" t="s">
        <v>2377</v>
      </c>
      <c r="J122" t="str">
        <f t="shared" si="1"/>
        <v>Orta Risk</v>
      </c>
    </row>
    <row r="123" spans="1:10">
      <c r="A123">
        <v>624</v>
      </c>
      <c r="B123">
        <v>843</v>
      </c>
      <c r="C123" t="str">
        <f>_xlfn.XLOOKUP(B123,raw_customers!A:A,raw_customers!B:B)</f>
        <v>Səbinə Tağıyev</v>
      </c>
      <c r="D123" t="str">
        <f>_xlfn.XLOOKUP(C123,raw_customers!B:B,raw_customers!C:C)</f>
        <v>F</v>
      </c>
      <c r="E123" t="str">
        <f>_xlfn.XLOOKUP(C123,raw_customers!B:B,raw_customers!G:G)</f>
        <v>Retail</v>
      </c>
      <c r="F123" t="str">
        <f>_xlfn.XLOOKUP(_xlfn.XLOOKUP(B123,raw_customers!A:A,raw_customers!F:F),raw_branches!A:A,raw_branches!B:B)</f>
        <v>Baku Yasamal</v>
      </c>
      <c r="G123" s="7">
        <v>24437.48</v>
      </c>
      <c r="H123" s="6">
        <v>7.34</v>
      </c>
      <c r="I123" t="s">
        <v>2377</v>
      </c>
      <c r="J123" t="str">
        <f t="shared" si="1"/>
        <v>Aşağı Risk</v>
      </c>
    </row>
    <row r="124" spans="1:10">
      <c r="A124">
        <v>625</v>
      </c>
      <c r="B124">
        <v>836</v>
      </c>
      <c r="C124" t="str">
        <f>_xlfn.XLOOKUP(B124,raw_customers!A:A,raw_customers!B:B)</f>
        <v>Günel Musayev</v>
      </c>
      <c r="D124" t="str">
        <f>_xlfn.XLOOKUP(C124,raw_customers!B:B,raw_customers!C:C)</f>
        <v>F</v>
      </c>
      <c r="E124" t="str">
        <f>_xlfn.XLOOKUP(C124,raw_customers!B:B,raw_customers!G:G)</f>
        <v>SME</v>
      </c>
      <c r="F124" t="str">
        <f>_xlfn.XLOOKUP(_xlfn.XLOOKUP(B124,raw_customers!A:A,raw_customers!F:F),raw_branches!A:A,raw_branches!B:B)</f>
        <v>Ganja Branch</v>
      </c>
      <c r="G124" s="7">
        <v>6646.72</v>
      </c>
      <c r="H124" s="6">
        <v>16.86</v>
      </c>
      <c r="I124" t="s">
        <v>2377</v>
      </c>
      <c r="J124" t="str">
        <f t="shared" si="1"/>
        <v>Orta Risk</v>
      </c>
    </row>
    <row r="125" spans="1:10">
      <c r="A125">
        <v>626</v>
      </c>
      <c r="B125">
        <v>300</v>
      </c>
      <c r="C125" t="str">
        <f>_xlfn.XLOOKUP(B125,raw_customers!A:A,raw_customers!B:B)</f>
        <v>Xəyalə Hüseynov</v>
      </c>
      <c r="D125" t="str">
        <f>_xlfn.XLOOKUP(C125,raw_customers!B:B,raw_customers!C:C)</f>
        <v>F</v>
      </c>
      <c r="E125" t="str">
        <f>_xlfn.XLOOKUP(C125,raw_customers!B:B,raw_customers!G:G)</f>
        <v>Retail</v>
      </c>
      <c r="F125" t="str">
        <f>_xlfn.XLOOKUP(_xlfn.XLOOKUP(B125,raw_customers!A:A,raw_customers!F:F),raw_branches!A:A,raw_branches!B:B)</f>
        <v>Ganja Branch</v>
      </c>
      <c r="G125" s="7">
        <v>112985.79</v>
      </c>
      <c r="H125" s="6">
        <v>8.1</v>
      </c>
      <c r="I125" t="s">
        <v>2383</v>
      </c>
      <c r="J125" t="str">
        <f t="shared" si="1"/>
        <v>Aşağı Risk</v>
      </c>
    </row>
    <row r="126" spans="1:10">
      <c r="A126">
        <v>627</v>
      </c>
      <c r="B126">
        <v>55</v>
      </c>
      <c r="C126" t="str">
        <f>_xlfn.XLOOKUP(B126,raw_customers!A:A,raw_customers!B:B)</f>
        <v>Aysel Nəbiyev</v>
      </c>
      <c r="D126" t="str">
        <f>_xlfn.XLOOKUP(C126,raw_customers!B:B,raw_customers!C:C)</f>
        <v>F</v>
      </c>
      <c r="E126" t="str">
        <f>_xlfn.XLOOKUP(C126,raw_customers!B:B,raw_customers!G:G)</f>
        <v>SME</v>
      </c>
      <c r="F126" t="str">
        <f>_xlfn.XLOOKUP(_xlfn.XLOOKUP(B126,raw_customers!A:A,raw_customers!F:F),raw_branches!A:A,raw_branches!B:B)</f>
        <v>Baku Central</v>
      </c>
      <c r="G126" s="7">
        <v>84930.96</v>
      </c>
      <c r="H126" s="6">
        <v>10.28</v>
      </c>
      <c r="I126" t="s">
        <v>2377</v>
      </c>
      <c r="J126" t="str">
        <f t="shared" si="1"/>
        <v>Aşağı Risk</v>
      </c>
    </row>
    <row r="127" spans="1:10">
      <c r="A127">
        <v>1</v>
      </c>
      <c r="B127">
        <v>819</v>
      </c>
      <c r="C127" t="str">
        <f>_xlfn.XLOOKUP(B127,raw_customers!A:A,raw_customers!B:B)</f>
        <v>Nigar İsmayılov</v>
      </c>
      <c r="D127" t="str">
        <f>_xlfn.XLOOKUP(C127,raw_customers!B:B,raw_customers!C:C)</f>
        <v>F</v>
      </c>
      <c r="E127" t="str">
        <f>_xlfn.XLOOKUP(C127,raw_customers!B:B,raw_customers!G:G)</f>
        <v>Retail</v>
      </c>
      <c r="F127" t="str">
        <f>_xlfn.XLOOKUP(_xlfn.XLOOKUP(B127,raw_customers!A:A,raw_customers!F:F),raw_branches!A:A,raw_branches!B:B)</f>
        <v>Baku Yasamal</v>
      </c>
      <c r="G127" s="7">
        <v>81166.55</v>
      </c>
      <c r="H127" s="6">
        <v>14.11</v>
      </c>
      <c r="I127" t="s">
        <v>2377</v>
      </c>
      <c r="J127" t="str">
        <f t="shared" si="1"/>
        <v>Orta Risk</v>
      </c>
    </row>
    <row r="128" spans="1:10">
      <c r="A128">
        <v>2</v>
      </c>
      <c r="B128">
        <v>498</v>
      </c>
      <c r="C128" t="str">
        <f>_xlfn.XLOOKUP(B128,raw_customers!A:A,raw_customers!B:B)</f>
        <v>Lalə Vəliyev</v>
      </c>
      <c r="D128" t="str">
        <f>_xlfn.XLOOKUP(C128,raw_customers!B:B,raw_customers!C:C)</f>
        <v>F</v>
      </c>
      <c r="E128" t="str">
        <f>_xlfn.XLOOKUP(C128,raw_customers!B:B,raw_customers!G:G)</f>
        <v>Premium</v>
      </c>
      <c r="F128" t="str">
        <f>_xlfn.XLOOKUP(_xlfn.XLOOKUP(B128,raw_customers!A:A,raw_customers!F:F),raw_branches!A:A,raw_branches!B:B)</f>
        <v>Baku Yasamal</v>
      </c>
      <c r="G128" s="7">
        <v>32467.9</v>
      </c>
      <c r="H128" s="6">
        <v>9.23</v>
      </c>
      <c r="I128" t="s">
        <v>2377</v>
      </c>
      <c r="J128" t="str">
        <f t="shared" si="1"/>
        <v>Aşağı Risk</v>
      </c>
    </row>
    <row r="129" spans="1:10">
      <c r="A129">
        <v>3</v>
      </c>
      <c r="B129">
        <v>697</v>
      </c>
      <c r="C129" t="str">
        <f>_xlfn.XLOOKUP(B129,raw_customers!A:A,raw_customers!B:B)</f>
        <v>Sevinc Quliyev</v>
      </c>
      <c r="D129" t="str">
        <f>_xlfn.XLOOKUP(C129,raw_customers!B:B,raw_customers!C:C)</f>
        <v>F</v>
      </c>
      <c r="E129" t="str">
        <f>_xlfn.XLOOKUP(C129,raw_customers!B:B,raw_customers!G:G)</f>
        <v>SME</v>
      </c>
      <c r="F129" t="str">
        <f>_xlfn.XLOOKUP(_xlfn.XLOOKUP(B129,raw_customers!A:A,raw_customers!F:F),raw_branches!A:A,raw_branches!B:B)</f>
        <v>Mingachevir Branch</v>
      </c>
      <c r="G129" s="7">
        <v>27642.84</v>
      </c>
      <c r="H129" s="6">
        <v>21.98</v>
      </c>
      <c r="I129" t="s">
        <v>2377</v>
      </c>
      <c r="J129" t="str">
        <f t="shared" si="1"/>
        <v>Yüksək Risk</v>
      </c>
    </row>
    <row r="130" spans="1:10">
      <c r="A130">
        <v>4</v>
      </c>
      <c r="B130">
        <v>954</v>
      </c>
      <c r="C130" t="str">
        <f>_xlfn.XLOOKUP(B130,raw_customers!A:A,raw_customers!B:B)</f>
        <v>Tural Kərimov</v>
      </c>
      <c r="D130" t="str">
        <f>_xlfn.XLOOKUP(C130,raw_customers!B:B,raw_customers!C:C)</f>
        <v>M</v>
      </c>
      <c r="E130" t="str">
        <f>_xlfn.XLOOKUP(C130,raw_customers!B:B,raw_customers!G:G)</f>
        <v>Retail</v>
      </c>
      <c r="F130" t="str">
        <f>_xlfn.XLOOKUP(_xlfn.XLOOKUP(B130,raw_customers!A:A,raw_customers!F:F),raw_branches!A:A,raw_branches!B:B)</f>
        <v>Mingachevir Branch</v>
      </c>
      <c r="G130" s="7">
        <v>10902.81</v>
      </c>
      <c r="H130" s="6">
        <v>6.09</v>
      </c>
      <c r="I130" t="s">
        <v>2377</v>
      </c>
      <c r="J130" t="str">
        <f t="shared" si="1"/>
        <v>Aşağı Risk</v>
      </c>
    </row>
    <row r="131" spans="1:10">
      <c r="A131">
        <v>5</v>
      </c>
      <c r="B131">
        <v>78</v>
      </c>
      <c r="C131" t="str">
        <f>_xlfn.XLOOKUP(B131,raw_customers!A:A,raw_customers!B:B)</f>
        <v>Xəyalə Rəhimov</v>
      </c>
      <c r="D131" t="str">
        <f>_xlfn.XLOOKUP(C131,raw_customers!B:B,raw_customers!C:C)</f>
        <v>F</v>
      </c>
      <c r="E131" t="str">
        <f>_xlfn.XLOOKUP(C131,raw_customers!B:B,raw_customers!G:G)</f>
        <v>SME</v>
      </c>
      <c r="F131" t="str">
        <f>_xlfn.XLOOKUP(_xlfn.XLOOKUP(B131,raw_customers!A:A,raw_customers!F:F),raw_branches!A:A,raw_branches!B:B)</f>
        <v>Sumgait Branch</v>
      </c>
      <c r="G131" s="7">
        <v>4203.21</v>
      </c>
      <c r="H131" s="6">
        <v>11.07</v>
      </c>
      <c r="I131" t="s">
        <v>2393</v>
      </c>
      <c r="J131" t="str">
        <f t="shared" ref="J131:J194" si="2">IF(I131="Default","Default (Batıq)",IF(H131&gt;=18,"Yüksək Risk",IF(H131&gt;=12,"Orta Risk","Aşağı Risk")))</f>
        <v>Default (Batıq)</v>
      </c>
    </row>
    <row r="132" spans="1:10">
      <c r="A132">
        <v>6</v>
      </c>
      <c r="B132">
        <v>95</v>
      </c>
      <c r="C132" t="str">
        <f>_xlfn.XLOOKUP(B132,raw_customers!A:A,raw_customers!B:B)</f>
        <v>Vüqar Cəfərov</v>
      </c>
      <c r="D132" t="str">
        <f>_xlfn.XLOOKUP(C132,raw_customers!B:B,raw_customers!C:C)</f>
        <v>M</v>
      </c>
      <c r="E132" t="str">
        <f>_xlfn.XLOOKUP(C132,raw_customers!B:B,raw_customers!G:G)</f>
        <v>SME</v>
      </c>
      <c r="F132" t="str">
        <f>_xlfn.XLOOKUP(_xlfn.XLOOKUP(B132,raw_customers!A:A,raw_customers!F:F),raw_branches!A:A,raw_branches!B:B)</f>
        <v>Ganja Branch</v>
      </c>
      <c r="G132" s="7">
        <v>5555.26</v>
      </c>
      <c r="H132" s="6">
        <v>14.02</v>
      </c>
      <c r="I132" t="s">
        <v>2383</v>
      </c>
      <c r="J132" t="str">
        <f t="shared" si="2"/>
        <v>Orta Risk</v>
      </c>
    </row>
    <row r="133" spans="1:10">
      <c r="A133">
        <v>7</v>
      </c>
      <c r="B133">
        <v>346</v>
      </c>
      <c r="C133" t="str">
        <f>_xlfn.XLOOKUP(B133,raw_customers!A:A,raw_customers!B:B)</f>
        <v>Elşən Novruzov</v>
      </c>
      <c r="D133" t="str">
        <f>_xlfn.XLOOKUP(C133,raw_customers!B:B,raw_customers!C:C)</f>
        <v>M</v>
      </c>
      <c r="E133" t="str">
        <f>_xlfn.XLOOKUP(C133,raw_customers!B:B,raw_customers!G:G)</f>
        <v>Retail</v>
      </c>
      <c r="F133" t="str">
        <f>_xlfn.XLOOKUP(_xlfn.XLOOKUP(B133,raw_customers!A:A,raw_customers!F:F),raw_branches!A:A,raw_branches!B:B)</f>
        <v>Baku Central</v>
      </c>
      <c r="G133" s="7">
        <v>148924.06</v>
      </c>
      <c r="H133" s="6">
        <v>17.25</v>
      </c>
      <c r="I133" t="s">
        <v>2383</v>
      </c>
      <c r="J133" t="str">
        <f t="shared" si="2"/>
        <v>Orta Risk</v>
      </c>
    </row>
    <row r="134" spans="1:10">
      <c r="A134">
        <v>8</v>
      </c>
      <c r="B134">
        <v>995</v>
      </c>
      <c r="C134" t="str">
        <f>_xlfn.XLOOKUP(B134,raw_customers!A:A,raw_customers!B:B)</f>
        <v>Elvin Abbasov</v>
      </c>
      <c r="D134" t="str">
        <f>_xlfn.XLOOKUP(C134,raw_customers!B:B,raw_customers!C:C)</f>
        <v>M</v>
      </c>
      <c r="E134" t="str">
        <f>_xlfn.XLOOKUP(C134,raw_customers!B:B,raw_customers!G:G)</f>
        <v>Retail</v>
      </c>
      <c r="F134" t="str">
        <f>_xlfn.XLOOKUP(_xlfn.XLOOKUP(B134,raw_customers!A:A,raw_customers!F:F),raw_branches!A:A,raw_branches!B:B)</f>
        <v>Sumgait Branch</v>
      </c>
      <c r="G134" s="7">
        <v>61112.79</v>
      </c>
      <c r="H134" s="6">
        <v>5.97</v>
      </c>
      <c r="I134" t="s">
        <v>2377</v>
      </c>
      <c r="J134" t="str">
        <f t="shared" si="2"/>
        <v>Aşağı Risk</v>
      </c>
    </row>
    <row r="135" spans="1:10">
      <c r="A135">
        <v>9</v>
      </c>
      <c r="B135">
        <v>235</v>
      </c>
      <c r="C135" t="str">
        <f>_xlfn.XLOOKUP(B135,raw_customers!A:A,raw_customers!B:B)</f>
        <v>Səbinə Rəhimov</v>
      </c>
      <c r="D135" t="str">
        <f>_xlfn.XLOOKUP(C135,raw_customers!B:B,raw_customers!C:C)</f>
        <v>F</v>
      </c>
      <c r="E135" t="str">
        <f>_xlfn.XLOOKUP(C135,raw_customers!B:B,raw_customers!G:G)</f>
        <v>Premium</v>
      </c>
      <c r="F135" t="str">
        <f>_xlfn.XLOOKUP(_xlfn.XLOOKUP(B135,raw_customers!A:A,raw_customers!F:F),raw_branches!A:A,raw_branches!B:B)</f>
        <v>Baku Yasamal</v>
      </c>
      <c r="G135" s="7">
        <v>13785.27</v>
      </c>
      <c r="H135" s="6">
        <v>21.96</v>
      </c>
      <c r="I135" t="s">
        <v>2377</v>
      </c>
      <c r="J135" t="str">
        <f t="shared" si="2"/>
        <v>Yüksək Risk</v>
      </c>
    </row>
    <row r="136" spans="1:10">
      <c r="A136">
        <v>10</v>
      </c>
      <c r="B136">
        <v>792</v>
      </c>
      <c r="C136" t="str">
        <f>_xlfn.XLOOKUP(B136,raw_customers!A:A,raw_customers!B:B)</f>
        <v>Tural Hüseynov</v>
      </c>
      <c r="D136" t="str">
        <f>_xlfn.XLOOKUP(C136,raw_customers!B:B,raw_customers!C:C)</f>
        <v>M</v>
      </c>
      <c r="E136" t="str">
        <f>_xlfn.XLOOKUP(C136,raw_customers!B:B,raw_customers!G:G)</f>
        <v>Retail</v>
      </c>
      <c r="F136" t="str">
        <f>_xlfn.XLOOKUP(_xlfn.XLOOKUP(B136,raw_customers!A:A,raw_customers!F:F),raw_branches!A:A,raw_branches!B:B)</f>
        <v>Mingachevir Branch</v>
      </c>
      <c r="G136" s="7">
        <v>12671.08</v>
      </c>
      <c r="H136" s="6">
        <v>14</v>
      </c>
      <c r="I136" t="s">
        <v>2383</v>
      </c>
      <c r="J136" t="str">
        <f t="shared" si="2"/>
        <v>Orta Risk</v>
      </c>
    </row>
    <row r="137" spans="1:10">
      <c r="A137">
        <v>11</v>
      </c>
      <c r="B137">
        <v>113</v>
      </c>
      <c r="C137" t="str">
        <f>_xlfn.XLOOKUP(B137,raw_customers!A:A,raw_customers!B:B)</f>
        <v>Elşən Əzizov</v>
      </c>
      <c r="D137" t="str">
        <f>_xlfn.XLOOKUP(C137,raw_customers!B:B,raw_customers!C:C)</f>
        <v>M</v>
      </c>
      <c r="E137" t="str">
        <f>_xlfn.XLOOKUP(C137,raw_customers!B:B,raw_customers!G:G)</f>
        <v>Retail</v>
      </c>
      <c r="F137" t="str">
        <f>_xlfn.XLOOKUP(_xlfn.XLOOKUP(B137,raw_customers!A:A,raw_customers!F:F),raw_branches!A:A,raw_branches!B:B)</f>
        <v>Ganja Branch</v>
      </c>
      <c r="G137" s="7">
        <v>3833.53</v>
      </c>
      <c r="H137" s="6">
        <v>9.7</v>
      </c>
      <c r="I137" t="s">
        <v>2377</v>
      </c>
      <c r="J137" t="str">
        <f t="shared" si="2"/>
        <v>Aşağı Risk</v>
      </c>
    </row>
    <row r="138" spans="1:10">
      <c r="A138">
        <v>12</v>
      </c>
      <c r="B138">
        <v>394</v>
      </c>
      <c r="C138" t="str">
        <f>_xlfn.XLOOKUP(B138,raw_customers!A:A,raw_customers!B:B)</f>
        <v>Orxan İsmayılov</v>
      </c>
      <c r="D138" t="str">
        <f>_xlfn.XLOOKUP(C138,raw_customers!B:B,raw_customers!C:C)</f>
        <v>M</v>
      </c>
      <c r="E138" t="str">
        <f>_xlfn.XLOOKUP(C138,raw_customers!B:B,raw_customers!G:G)</f>
        <v>Premium</v>
      </c>
      <c r="F138" t="str">
        <f>_xlfn.XLOOKUP(_xlfn.XLOOKUP(B138,raw_customers!A:A,raw_customers!F:F),raw_branches!A:A,raw_branches!B:B)</f>
        <v>Ganja Branch</v>
      </c>
      <c r="G138" s="7">
        <v>3215.77</v>
      </c>
      <c r="H138" s="6">
        <v>13.79</v>
      </c>
      <c r="I138" t="s">
        <v>2377</v>
      </c>
      <c r="J138" t="str">
        <f t="shared" si="2"/>
        <v>Orta Risk</v>
      </c>
    </row>
    <row r="139" spans="1:10">
      <c r="A139">
        <v>13</v>
      </c>
      <c r="B139">
        <v>8</v>
      </c>
      <c r="C139" t="str">
        <f>_xlfn.XLOOKUP(B139,raw_customers!A:A,raw_customers!B:B)</f>
        <v>Lalə Əzizov</v>
      </c>
      <c r="D139" t="str">
        <f>_xlfn.XLOOKUP(C139,raw_customers!B:B,raw_customers!C:C)</f>
        <v>F</v>
      </c>
      <c r="E139" t="str">
        <f>_xlfn.XLOOKUP(C139,raw_customers!B:B,raw_customers!G:G)</f>
        <v>Retail</v>
      </c>
      <c r="F139" t="str">
        <f>_xlfn.XLOOKUP(_xlfn.XLOOKUP(B139,raw_customers!A:A,raw_customers!F:F),raw_branches!A:A,raw_branches!B:B)</f>
        <v>Ganja Branch</v>
      </c>
      <c r="G139" s="7">
        <v>5534.7</v>
      </c>
      <c r="H139" s="6">
        <v>14.42</v>
      </c>
      <c r="I139" t="s">
        <v>2377</v>
      </c>
      <c r="J139" t="str">
        <f t="shared" si="2"/>
        <v>Orta Risk</v>
      </c>
    </row>
    <row r="140" spans="1:10">
      <c r="A140">
        <v>14</v>
      </c>
      <c r="B140">
        <v>138</v>
      </c>
      <c r="C140" t="str">
        <f>_xlfn.XLOOKUP(B140,raw_customers!A:A,raw_customers!B:B)</f>
        <v>Anar Əzizov</v>
      </c>
      <c r="D140" t="str">
        <f>_xlfn.XLOOKUP(C140,raw_customers!B:B,raw_customers!C:C)</f>
        <v>M</v>
      </c>
      <c r="E140" t="str">
        <f>_xlfn.XLOOKUP(C140,raw_customers!B:B,raw_customers!G:G)</f>
        <v>Premium</v>
      </c>
      <c r="F140" t="str">
        <f>_xlfn.XLOOKUP(_xlfn.XLOOKUP(B140,raw_customers!A:A,raw_customers!F:F),raw_branches!A:A,raw_branches!B:B)</f>
        <v>Baku Yasamal</v>
      </c>
      <c r="G140" s="7">
        <v>87582.7</v>
      </c>
      <c r="H140" s="6">
        <v>14.19</v>
      </c>
      <c r="I140" t="s">
        <v>2377</v>
      </c>
      <c r="J140" t="str">
        <f t="shared" si="2"/>
        <v>Orta Risk</v>
      </c>
    </row>
    <row r="141" spans="1:10">
      <c r="A141">
        <v>15</v>
      </c>
      <c r="B141">
        <v>127</v>
      </c>
      <c r="C141" t="str">
        <f>_xlfn.XLOOKUP(B141,raw_customers!A:A,raw_customers!B:B)</f>
        <v>Elvin Əzizov</v>
      </c>
      <c r="D141" t="str">
        <f>_xlfn.XLOOKUP(C141,raw_customers!B:B,raw_customers!C:C)</f>
        <v>M</v>
      </c>
      <c r="E141" t="str">
        <f>_xlfn.XLOOKUP(C141,raw_customers!B:B,raw_customers!G:G)</f>
        <v>Retail</v>
      </c>
      <c r="F141" t="str">
        <f>_xlfn.XLOOKUP(_xlfn.XLOOKUP(B141,raw_customers!A:A,raw_customers!F:F),raw_branches!A:A,raw_branches!B:B)</f>
        <v>Baku Yasamal</v>
      </c>
      <c r="G141" s="7">
        <v>36343.64</v>
      </c>
      <c r="H141" s="6">
        <v>13.59</v>
      </c>
      <c r="I141" t="s">
        <v>2393</v>
      </c>
      <c r="J141" t="str">
        <f t="shared" si="2"/>
        <v>Default (Batıq)</v>
      </c>
    </row>
    <row r="142" spans="1:10">
      <c r="A142">
        <v>16</v>
      </c>
      <c r="B142">
        <v>280</v>
      </c>
      <c r="C142" t="str">
        <f>_xlfn.XLOOKUP(B142,raw_customers!A:A,raw_customers!B:B)</f>
        <v>Şəbnəm Cəfərov</v>
      </c>
      <c r="D142" t="str">
        <f>_xlfn.XLOOKUP(C142,raw_customers!B:B,raw_customers!C:C)</f>
        <v>F</v>
      </c>
      <c r="E142" t="str">
        <f>_xlfn.XLOOKUP(C142,raw_customers!B:B,raw_customers!G:G)</f>
        <v>Retail</v>
      </c>
      <c r="F142" t="str">
        <f>_xlfn.XLOOKUP(_xlfn.XLOOKUP(B142,raw_customers!A:A,raw_customers!F:F),raw_branches!A:A,raw_branches!B:B)</f>
        <v>Sheki Branch</v>
      </c>
      <c r="G142" s="7">
        <v>36013.33</v>
      </c>
      <c r="H142" s="6">
        <v>8.08</v>
      </c>
      <c r="I142" t="s">
        <v>2383</v>
      </c>
      <c r="J142" t="str">
        <f t="shared" si="2"/>
        <v>Aşağı Risk</v>
      </c>
    </row>
    <row r="143" spans="1:10">
      <c r="A143">
        <v>17</v>
      </c>
      <c r="B143">
        <v>196</v>
      </c>
      <c r="C143" t="str">
        <f>_xlfn.XLOOKUP(B143,raw_customers!A:A,raw_customers!B:B)</f>
        <v>Kənan Vəliyev</v>
      </c>
      <c r="D143" t="str">
        <f>_xlfn.XLOOKUP(C143,raw_customers!B:B,raw_customers!C:C)</f>
        <v>M</v>
      </c>
      <c r="E143" t="str">
        <f>_xlfn.XLOOKUP(C143,raw_customers!B:B,raw_customers!G:G)</f>
        <v>Premium</v>
      </c>
      <c r="F143" t="str">
        <f>_xlfn.XLOOKUP(_xlfn.XLOOKUP(B143,raw_customers!A:A,raw_customers!F:F),raw_branches!A:A,raw_branches!B:B)</f>
        <v>Baku Central</v>
      </c>
      <c r="G143" s="7">
        <v>13902.99</v>
      </c>
      <c r="H143" s="6">
        <v>16.34</v>
      </c>
      <c r="I143" t="s">
        <v>2377</v>
      </c>
      <c r="J143" t="str">
        <f t="shared" si="2"/>
        <v>Orta Risk</v>
      </c>
    </row>
    <row r="144" spans="1:10">
      <c r="A144">
        <v>18</v>
      </c>
      <c r="B144">
        <v>341</v>
      </c>
      <c r="C144" t="str">
        <f>_xlfn.XLOOKUP(B144,raw_customers!A:A,raw_customers!B:B)</f>
        <v>Kamran Abbasov</v>
      </c>
      <c r="D144" t="str">
        <f>_xlfn.XLOOKUP(C144,raw_customers!B:B,raw_customers!C:C)</f>
        <v>M</v>
      </c>
      <c r="E144" t="str">
        <f>_xlfn.XLOOKUP(C144,raw_customers!B:B,raw_customers!G:G)</f>
        <v>Retail</v>
      </c>
      <c r="F144" t="str">
        <f>_xlfn.XLOOKUP(_xlfn.XLOOKUP(B144,raw_customers!A:A,raw_customers!F:F),raw_branches!A:A,raw_branches!B:B)</f>
        <v>Baku Yasamal</v>
      </c>
      <c r="G144" s="7">
        <v>129031.63</v>
      </c>
      <c r="H144" s="6">
        <v>18.88</v>
      </c>
      <c r="I144" t="s">
        <v>2377</v>
      </c>
      <c r="J144" t="str">
        <f t="shared" si="2"/>
        <v>Yüksək Risk</v>
      </c>
    </row>
    <row r="145" spans="1:10">
      <c r="A145">
        <v>19</v>
      </c>
      <c r="B145">
        <v>19</v>
      </c>
      <c r="C145" t="str">
        <f>_xlfn.XLOOKUP(B145,raw_customers!A:A,raw_customers!B:B)</f>
        <v>Aynur Nəbiyev</v>
      </c>
      <c r="D145" t="str">
        <f>_xlfn.XLOOKUP(C145,raw_customers!B:B,raw_customers!C:C)</f>
        <v>F</v>
      </c>
      <c r="E145" t="str">
        <f>_xlfn.XLOOKUP(C145,raw_customers!B:B,raw_customers!G:G)</f>
        <v>Premium</v>
      </c>
      <c r="F145" t="str">
        <f>_xlfn.XLOOKUP(_xlfn.XLOOKUP(B145,raw_customers!A:A,raw_customers!F:F),raw_branches!A:A,raw_branches!B:B)</f>
        <v>Baku Yasamal</v>
      </c>
      <c r="G145" s="7">
        <v>9553.11</v>
      </c>
      <c r="H145" s="6">
        <v>11.9</v>
      </c>
      <c r="I145" t="s">
        <v>2377</v>
      </c>
      <c r="J145" t="str">
        <f t="shared" si="2"/>
        <v>Aşağı Risk</v>
      </c>
    </row>
    <row r="146" spans="1:10">
      <c r="A146">
        <v>20</v>
      </c>
      <c r="B146">
        <v>271</v>
      </c>
      <c r="C146" t="str">
        <f>_xlfn.XLOOKUP(B146,raw_customers!A:A,raw_customers!B:B)</f>
        <v>Şəbnəm Kərimov</v>
      </c>
      <c r="D146" t="str">
        <f>_xlfn.XLOOKUP(C146,raw_customers!B:B,raw_customers!C:C)</f>
        <v>F</v>
      </c>
      <c r="E146" t="str">
        <f>_xlfn.XLOOKUP(C146,raw_customers!B:B,raw_customers!G:G)</f>
        <v>Retail</v>
      </c>
      <c r="F146" t="str">
        <f>_xlfn.XLOOKUP(_xlfn.XLOOKUP(B146,raw_customers!A:A,raw_customers!F:F),raw_branches!A:A,raw_branches!B:B)</f>
        <v>Ganja Branch</v>
      </c>
      <c r="G146" s="7">
        <v>26718.5</v>
      </c>
      <c r="H146" s="6">
        <v>16.44</v>
      </c>
      <c r="I146" t="s">
        <v>2393</v>
      </c>
      <c r="J146" t="str">
        <f t="shared" si="2"/>
        <v>Default (Batıq)</v>
      </c>
    </row>
    <row r="147" spans="1:10">
      <c r="A147">
        <v>21</v>
      </c>
      <c r="B147">
        <v>814</v>
      </c>
      <c r="C147" t="str">
        <f>_xlfn.XLOOKUP(B147,raw_customers!A:A,raw_customers!B:B)</f>
        <v>Röya Novruzov</v>
      </c>
      <c r="D147" t="str">
        <f>_xlfn.XLOOKUP(C147,raw_customers!B:B,raw_customers!C:C)</f>
        <v>F</v>
      </c>
      <c r="E147" t="str">
        <f>_xlfn.XLOOKUP(C147,raw_customers!B:B,raw_customers!G:G)</f>
        <v>SME</v>
      </c>
      <c r="F147" t="str">
        <f>_xlfn.XLOOKUP(_xlfn.XLOOKUP(B147,raw_customers!A:A,raw_customers!F:F),raw_branches!A:A,raw_branches!B:B)</f>
        <v>Lankaran Branch</v>
      </c>
      <c r="G147" s="7">
        <v>100172.69</v>
      </c>
      <c r="H147" s="6">
        <v>19.2</v>
      </c>
      <c r="I147" t="s">
        <v>2377</v>
      </c>
      <c r="J147" t="str">
        <f t="shared" si="2"/>
        <v>Yüksək Risk</v>
      </c>
    </row>
    <row r="148" spans="1:10">
      <c r="A148">
        <v>22</v>
      </c>
      <c r="B148">
        <v>152</v>
      </c>
      <c r="C148" t="str">
        <f>_xlfn.XLOOKUP(B148,raw_customers!A:A,raw_customers!B:B)</f>
        <v>Kamran Əliyev</v>
      </c>
      <c r="D148" t="str">
        <f>_xlfn.XLOOKUP(C148,raw_customers!B:B,raw_customers!C:C)</f>
        <v>M</v>
      </c>
      <c r="E148" t="str">
        <f>_xlfn.XLOOKUP(C148,raw_customers!B:B,raw_customers!G:G)</f>
        <v>SME</v>
      </c>
      <c r="F148" t="str">
        <f>_xlfn.XLOOKUP(_xlfn.XLOOKUP(B148,raw_customers!A:A,raw_customers!F:F),raw_branches!A:A,raw_branches!B:B)</f>
        <v>Sumgait Branch</v>
      </c>
      <c r="G148" s="7">
        <v>5894.65</v>
      </c>
      <c r="H148" s="6">
        <v>17.62</v>
      </c>
      <c r="I148" t="s">
        <v>2383</v>
      </c>
      <c r="J148" t="str">
        <f t="shared" si="2"/>
        <v>Orta Risk</v>
      </c>
    </row>
    <row r="149" spans="1:10">
      <c r="A149">
        <v>23</v>
      </c>
      <c r="B149">
        <v>825</v>
      </c>
      <c r="C149" t="str">
        <f>_xlfn.XLOOKUP(B149,raw_customers!A:A,raw_customers!B:B)</f>
        <v>Şəbnəm Quliyev</v>
      </c>
      <c r="D149" t="str">
        <f>_xlfn.XLOOKUP(C149,raw_customers!B:B,raw_customers!C:C)</f>
        <v>F</v>
      </c>
      <c r="E149" t="str">
        <f>_xlfn.XLOOKUP(C149,raw_customers!B:B,raw_customers!G:G)</f>
        <v>Retail</v>
      </c>
      <c r="F149" t="str">
        <f>_xlfn.XLOOKUP(_xlfn.XLOOKUP(B149,raw_customers!A:A,raw_customers!F:F),raw_branches!A:A,raw_branches!B:B)</f>
        <v>Ganja Branch</v>
      </c>
      <c r="G149" s="7">
        <v>3672.71</v>
      </c>
      <c r="H149" s="6">
        <v>10.61</v>
      </c>
      <c r="I149" t="s">
        <v>2377</v>
      </c>
      <c r="J149" t="str">
        <f t="shared" si="2"/>
        <v>Aşağı Risk</v>
      </c>
    </row>
    <row r="150" spans="1:10">
      <c r="A150">
        <v>24</v>
      </c>
      <c r="B150">
        <v>466</v>
      </c>
      <c r="C150" t="str">
        <f>_xlfn.XLOOKUP(B150,raw_customers!A:A,raw_customers!B:B)</f>
        <v>Rüfət Orucov</v>
      </c>
      <c r="D150" t="str">
        <f>_xlfn.XLOOKUP(C150,raw_customers!B:B,raw_customers!C:C)</f>
        <v>M</v>
      </c>
      <c r="E150" t="str">
        <f>_xlfn.XLOOKUP(C150,raw_customers!B:B,raw_customers!G:G)</f>
        <v>SME</v>
      </c>
      <c r="F150" t="str">
        <f>_xlfn.XLOOKUP(_xlfn.XLOOKUP(B150,raw_customers!A:A,raw_customers!F:F),raw_branches!A:A,raw_branches!B:B)</f>
        <v>Baku Yasamal</v>
      </c>
      <c r="G150" s="7">
        <v>5312.65</v>
      </c>
      <c r="H150" s="6">
        <v>10.78</v>
      </c>
      <c r="I150" t="s">
        <v>2377</v>
      </c>
      <c r="J150" t="str">
        <f t="shared" si="2"/>
        <v>Aşağı Risk</v>
      </c>
    </row>
    <row r="151" spans="1:10">
      <c r="A151">
        <v>25</v>
      </c>
      <c r="B151">
        <v>154</v>
      </c>
      <c r="C151" t="str">
        <f>_xlfn.XLOOKUP(B151,raw_customers!A:A,raw_customers!B:B)</f>
        <v>Nərgiz Musayev</v>
      </c>
      <c r="D151" t="str">
        <f>_xlfn.XLOOKUP(C151,raw_customers!B:B,raw_customers!C:C)</f>
        <v>F</v>
      </c>
      <c r="E151" t="str">
        <f>_xlfn.XLOOKUP(C151,raw_customers!B:B,raw_customers!G:G)</f>
        <v>Retail</v>
      </c>
      <c r="F151" t="str">
        <f>_xlfn.XLOOKUP(_xlfn.XLOOKUP(B151,raw_customers!A:A,raw_customers!F:F),raw_branches!A:A,raw_branches!B:B)</f>
        <v>Baku Central</v>
      </c>
      <c r="G151" s="7">
        <v>179204.32</v>
      </c>
      <c r="H151" s="6">
        <v>16.08</v>
      </c>
      <c r="I151" t="s">
        <v>2377</v>
      </c>
      <c r="J151" t="str">
        <f t="shared" si="2"/>
        <v>Orta Risk</v>
      </c>
    </row>
    <row r="152" spans="1:10">
      <c r="A152">
        <v>26</v>
      </c>
      <c r="B152">
        <v>170</v>
      </c>
      <c r="C152" t="str">
        <f>_xlfn.XLOOKUP(B152,raw_customers!A:A,raw_customers!B:B)</f>
        <v>Nigar Abbasov</v>
      </c>
      <c r="D152" t="str">
        <f>_xlfn.XLOOKUP(C152,raw_customers!B:B,raw_customers!C:C)</f>
        <v>F</v>
      </c>
      <c r="E152" t="str">
        <f>_xlfn.XLOOKUP(C152,raw_customers!B:B,raw_customers!G:G)</f>
        <v>SME</v>
      </c>
      <c r="F152" t="str">
        <f>_xlfn.XLOOKUP(_xlfn.XLOOKUP(B152,raw_customers!A:A,raw_customers!F:F),raw_branches!A:A,raw_branches!B:B)</f>
        <v>Sumgait Branch</v>
      </c>
      <c r="G152" s="7">
        <v>3503.12</v>
      </c>
      <c r="H152" s="6">
        <v>7.53</v>
      </c>
      <c r="I152" t="s">
        <v>2377</v>
      </c>
      <c r="J152" t="str">
        <f t="shared" si="2"/>
        <v>Aşağı Risk</v>
      </c>
    </row>
    <row r="153" spans="1:10">
      <c r="A153">
        <v>27</v>
      </c>
      <c r="B153">
        <v>170</v>
      </c>
      <c r="C153" t="str">
        <f>_xlfn.XLOOKUP(B153,raw_customers!A:A,raw_customers!B:B)</f>
        <v>Nigar Abbasov</v>
      </c>
      <c r="D153" t="str">
        <f>_xlfn.XLOOKUP(C153,raw_customers!B:B,raw_customers!C:C)</f>
        <v>F</v>
      </c>
      <c r="E153" t="str">
        <f>_xlfn.XLOOKUP(C153,raw_customers!B:B,raw_customers!G:G)</f>
        <v>SME</v>
      </c>
      <c r="F153" t="str">
        <f>_xlfn.XLOOKUP(_xlfn.XLOOKUP(B153,raw_customers!A:A,raw_customers!F:F),raw_branches!A:A,raw_branches!B:B)</f>
        <v>Sumgait Branch</v>
      </c>
      <c r="G153" s="7">
        <v>10270.21</v>
      </c>
      <c r="H153" s="6">
        <v>11.28</v>
      </c>
      <c r="I153" t="s">
        <v>2377</v>
      </c>
      <c r="J153" t="str">
        <f t="shared" si="2"/>
        <v>Aşağı Risk</v>
      </c>
    </row>
    <row r="154" spans="1:10">
      <c r="A154">
        <v>28</v>
      </c>
      <c r="B154">
        <v>743</v>
      </c>
      <c r="C154" t="str">
        <f>_xlfn.XLOOKUP(B154,raw_customers!A:A,raw_customers!B:B)</f>
        <v>Lalə Rəhimov</v>
      </c>
      <c r="D154" t="str">
        <f>_xlfn.XLOOKUP(C154,raw_customers!B:B,raw_customers!C:C)</f>
        <v>F</v>
      </c>
      <c r="E154" t="str">
        <f>_xlfn.XLOOKUP(C154,raw_customers!B:B,raw_customers!G:G)</f>
        <v>Retail</v>
      </c>
      <c r="F154" t="str">
        <f>_xlfn.XLOOKUP(_xlfn.XLOOKUP(B154,raw_customers!A:A,raw_customers!F:F),raw_branches!A:A,raw_branches!B:B)</f>
        <v>Baku Central</v>
      </c>
      <c r="G154" s="7">
        <v>13555.59</v>
      </c>
      <c r="H154" s="6">
        <v>14.75</v>
      </c>
      <c r="I154" t="s">
        <v>2383</v>
      </c>
      <c r="J154" t="str">
        <f t="shared" si="2"/>
        <v>Orta Risk</v>
      </c>
    </row>
    <row r="155" spans="1:10">
      <c r="A155">
        <v>29</v>
      </c>
      <c r="B155">
        <v>13</v>
      </c>
      <c r="C155" t="str">
        <f>_xlfn.XLOOKUP(B155,raw_customers!A:A,raw_customers!B:B)</f>
        <v>Elşən Bağırov</v>
      </c>
      <c r="D155" t="str">
        <f>_xlfn.XLOOKUP(C155,raw_customers!B:B,raw_customers!C:C)</f>
        <v>M</v>
      </c>
      <c r="E155" t="str">
        <f>_xlfn.XLOOKUP(C155,raw_customers!B:B,raw_customers!G:G)</f>
        <v>SME</v>
      </c>
      <c r="F155" t="str">
        <f>_xlfn.XLOOKUP(_xlfn.XLOOKUP(B155,raw_customers!A:A,raw_customers!F:F),raw_branches!A:A,raw_branches!B:B)</f>
        <v>Ganja Branch</v>
      </c>
      <c r="G155" s="7">
        <v>31092.32</v>
      </c>
      <c r="H155" s="6">
        <v>20.39</v>
      </c>
      <c r="I155" t="s">
        <v>2377</v>
      </c>
      <c r="J155" t="str">
        <f t="shared" si="2"/>
        <v>Yüksək Risk</v>
      </c>
    </row>
    <row r="156" spans="1:10">
      <c r="A156">
        <v>30</v>
      </c>
      <c r="B156">
        <v>994</v>
      </c>
      <c r="C156" t="str">
        <f>_xlfn.XLOOKUP(B156,raw_customers!A:A,raw_customers!B:B)</f>
        <v>Vüqar Novruzov</v>
      </c>
      <c r="D156" t="str">
        <f>_xlfn.XLOOKUP(C156,raw_customers!B:B,raw_customers!C:C)</f>
        <v>M</v>
      </c>
      <c r="E156" t="str">
        <f>_xlfn.XLOOKUP(C156,raw_customers!B:B,raw_customers!G:G)</f>
        <v>Retail</v>
      </c>
      <c r="F156" t="str">
        <f>_xlfn.XLOOKUP(_xlfn.XLOOKUP(B156,raw_customers!A:A,raw_customers!F:F),raw_branches!A:A,raw_branches!B:B)</f>
        <v>Ganja Branch</v>
      </c>
      <c r="G156" s="7">
        <v>24408.44</v>
      </c>
      <c r="H156" s="6">
        <v>13.14</v>
      </c>
      <c r="I156" t="s">
        <v>2377</v>
      </c>
      <c r="J156" t="str">
        <f t="shared" si="2"/>
        <v>Orta Risk</v>
      </c>
    </row>
    <row r="157" spans="1:10">
      <c r="A157">
        <v>31</v>
      </c>
      <c r="B157">
        <v>635</v>
      </c>
      <c r="C157" t="str">
        <f>_xlfn.XLOOKUP(B157,raw_customers!A:A,raw_customers!B:B)</f>
        <v>Emin Rzayev</v>
      </c>
      <c r="D157" t="str">
        <f>_xlfn.XLOOKUP(C157,raw_customers!B:B,raw_customers!C:C)</f>
        <v>M</v>
      </c>
      <c r="E157" t="str">
        <f>_xlfn.XLOOKUP(C157,raw_customers!B:B,raw_customers!G:G)</f>
        <v>Retail</v>
      </c>
      <c r="F157" t="str">
        <f>_xlfn.XLOOKUP(_xlfn.XLOOKUP(B157,raw_customers!A:A,raw_customers!F:F),raw_branches!A:A,raw_branches!B:B)</f>
        <v>Mingachevir Branch</v>
      </c>
      <c r="G157" s="7">
        <v>3362.54</v>
      </c>
      <c r="H157" s="6">
        <v>17.05</v>
      </c>
      <c r="I157" t="s">
        <v>2383</v>
      </c>
      <c r="J157" t="str">
        <f t="shared" si="2"/>
        <v>Orta Risk</v>
      </c>
    </row>
    <row r="158" spans="1:10">
      <c r="A158">
        <v>32</v>
      </c>
      <c r="B158">
        <v>271</v>
      </c>
      <c r="C158" t="str">
        <f>_xlfn.XLOOKUP(B158,raw_customers!A:A,raw_customers!B:B)</f>
        <v>Şəbnəm Kərimov</v>
      </c>
      <c r="D158" t="str">
        <f>_xlfn.XLOOKUP(C158,raw_customers!B:B,raw_customers!C:C)</f>
        <v>F</v>
      </c>
      <c r="E158" t="str">
        <f>_xlfn.XLOOKUP(C158,raw_customers!B:B,raw_customers!G:G)</f>
        <v>Retail</v>
      </c>
      <c r="F158" t="str">
        <f>_xlfn.XLOOKUP(_xlfn.XLOOKUP(B158,raw_customers!A:A,raw_customers!F:F),raw_branches!A:A,raw_branches!B:B)</f>
        <v>Ganja Branch</v>
      </c>
      <c r="G158" s="7">
        <v>7801.22</v>
      </c>
      <c r="H158" s="6">
        <v>7.52</v>
      </c>
      <c r="I158" t="s">
        <v>2377</v>
      </c>
      <c r="J158" t="str">
        <f t="shared" si="2"/>
        <v>Aşağı Risk</v>
      </c>
    </row>
    <row r="159" spans="1:10">
      <c r="A159">
        <v>33</v>
      </c>
      <c r="B159">
        <v>784</v>
      </c>
      <c r="C159" t="str">
        <f>_xlfn.XLOOKUP(B159,raw_customers!A:A,raw_customers!B:B)</f>
        <v>Zaur Novruzov</v>
      </c>
      <c r="D159" t="str">
        <f>_xlfn.XLOOKUP(C159,raw_customers!B:B,raw_customers!C:C)</f>
        <v>M</v>
      </c>
      <c r="E159" t="str">
        <f>_xlfn.XLOOKUP(C159,raw_customers!B:B,raw_customers!G:G)</f>
        <v>Retail</v>
      </c>
      <c r="F159" t="str">
        <f>_xlfn.XLOOKUP(_xlfn.XLOOKUP(B159,raw_customers!A:A,raw_customers!F:F),raw_branches!A:A,raw_branches!B:B)</f>
        <v>Ganja Branch</v>
      </c>
      <c r="G159" s="7">
        <v>3816.43</v>
      </c>
      <c r="H159" s="6">
        <v>6.91</v>
      </c>
      <c r="I159" t="s">
        <v>2393</v>
      </c>
      <c r="J159" t="str">
        <f t="shared" si="2"/>
        <v>Default (Batıq)</v>
      </c>
    </row>
    <row r="160" spans="1:10">
      <c r="A160">
        <v>34</v>
      </c>
      <c r="B160">
        <v>632</v>
      </c>
      <c r="C160" t="str">
        <f>_xlfn.XLOOKUP(B160,raw_customers!A:A,raw_customers!B:B)</f>
        <v>Lalə Novruzov</v>
      </c>
      <c r="D160" t="str">
        <f>_xlfn.XLOOKUP(C160,raw_customers!B:B,raw_customers!C:C)</f>
        <v>F</v>
      </c>
      <c r="E160" t="str">
        <f>_xlfn.XLOOKUP(C160,raw_customers!B:B,raw_customers!G:G)</f>
        <v>Retail</v>
      </c>
      <c r="F160" t="str">
        <f>_xlfn.XLOOKUP(_xlfn.XLOOKUP(B160,raw_customers!A:A,raw_customers!F:F),raw_branches!A:A,raw_branches!B:B)</f>
        <v>Ganja Branch</v>
      </c>
      <c r="G160" s="7">
        <v>2396.29</v>
      </c>
      <c r="H160" s="6">
        <v>9.89</v>
      </c>
      <c r="I160" t="s">
        <v>2377</v>
      </c>
      <c r="J160" t="str">
        <f t="shared" si="2"/>
        <v>Aşağı Risk</v>
      </c>
    </row>
    <row r="161" spans="1:10">
      <c r="A161">
        <v>35</v>
      </c>
      <c r="B161">
        <v>212</v>
      </c>
      <c r="C161" t="str">
        <f>_xlfn.XLOOKUP(B161,raw_customers!A:A,raw_customers!B:B)</f>
        <v>Zaur Hüseynov</v>
      </c>
      <c r="D161" t="str">
        <f>_xlfn.XLOOKUP(C161,raw_customers!B:B,raw_customers!C:C)</f>
        <v>M</v>
      </c>
      <c r="E161" t="str">
        <f>_xlfn.XLOOKUP(C161,raw_customers!B:B,raw_customers!G:G)</f>
        <v>SME</v>
      </c>
      <c r="F161" t="str">
        <f>_xlfn.XLOOKUP(_xlfn.XLOOKUP(B161,raw_customers!A:A,raw_customers!F:F),raw_branches!A:A,raw_branches!B:B)</f>
        <v>Baku Yasamal</v>
      </c>
      <c r="G161" s="7">
        <v>33406.3</v>
      </c>
      <c r="H161" s="6">
        <v>6.9</v>
      </c>
      <c r="I161" t="s">
        <v>2377</v>
      </c>
      <c r="J161" t="str">
        <f t="shared" si="2"/>
        <v>Aşağı Risk</v>
      </c>
    </row>
    <row r="162" spans="1:10">
      <c r="A162">
        <v>36</v>
      </c>
      <c r="B162">
        <v>909</v>
      </c>
      <c r="C162" t="str">
        <f>_xlfn.XLOOKUP(B162,raw_customers!A:A,raw_customers!B:B)</f>
        <v>Elvin Əzizov</v>
      </c>
      <c r="D162" t="str">
        <f>_xlfn.XLOOKUP(C162,raw_customers!B:B,raw_customers!C:C)</f>
        <v>M</v>
      </c>
      <c r="E162" t="str">
        <f>_xlfn.XLOOKUP(C162,raw_customers!B:B,raw_customers!G:G)</f>
        <v>Retail</v>
      </c>
      <c r="F162" t="str">
        <f>_xlfn.XLOOKUP(_xlfn.XLOOKUP(B162,raw_customers!A:A,raw_customers!F:F),raw_branches!A:A,raw_branches!B:B)</f>
        <v>Mingachevir Branch</v>
      </c>
      <c r="G162" s="7">
        <v>121973.78</v>
      </c>
      <c r="H162" s="6">
        <v>7.22</v>
      </c>
      <c r="I162" t="s">
        <v>2383</v>
      </c>
      <c r="J162" t="str">
        <f t="shared" si="2"/>
        <v>Aşağı Risk</v>
      </c>
    </row>
    <row r="163" spans="1:10">
      <c r="A163">
        <v>37</v>
      </c>
      <c r="B163">
        <v>435</v>
      </c>
      <c r="C163" t="str">
        <f>_xlfn.XLOOKUP(B163,raw_customers!A:A,raw_customers!B:B)</f>
        <v>Sevinc Cəfərov</v>
      </c>
      <c r="D163" t="str">
        <f>_xlfn.XLOOKUP(C163,raw_customers!B:B,raw_customers!C:C)</f>
        <v>F</v>
      </c>
      <c r="E163" t="str">
        <f>_xlfn.XLOOKUP(C163,raw_customers!B:B,raw_customers!G:G)</f>
        <v>Retail</v>
      </c>
      <c r="F163" t="str">
        <f>_xlfn.XLOOKUP(_xlfn.XLOOKUP(B163,raw_customers!A:A,raw_customers!F:F),raw_branches!A:A,raw_branches!B:B)</f>
        <v>Mingachevir Branch</v>
      </c>
      <c r="G163" s="7">
        <v>9109.79</v>
      </c>
      <c r="H163" s="6">
        <v>11.75</v>
      </c>
      <c r="I163" t="s">
        <v>2377</v>
      </c>
      <c r="J163" t="str">
        <f t="shared" si="2"/>
        <v>Aşağı Risk</v>
      </c>
    </row>
    <row r="164" spans="1:10">
      <c r="A164">
        <v>38</v>
      </c>
      <c r="B164">
        <v>882</v>
      </c>
      <c r="C164" t="str">
        <f>_xlfn.XLOOKUP(B164,raw_customers!A:A,raw_customers!B:B)</f>
        <v>Tural Hüseynov</v>
      </c>
      <c r="D164" t="str">
        <f>_xlfn.XLOOKUP(C164,raw_customers!B:B,raw_customers!C:C)</f>
        <v>M</v>
      </c>
      <c r="E164" t="str">
        <f>_xlfn.XLOOKUP(C164,raw_customers!B:B,raw_customers!G:G)</f>
        <v>Retail</v>
      </c>
      <c r="F164" t="str">
        <f>_xlfn.XLOOKUP(_xlfn.XLOOKUP(B164,raw_customers!A:A,raw_customers!F:F),raw_branches!A:A,raw_branches!B:B)</f>
        <v>Sheki Branch</v>
      </c>
      <c r="G164" s="7">
        <v>142347.25</v>
      </c>
      <c r="H164" s="6">
        <v>16.2</v>
      </c>
      <c r="I164" t="s">
        <v>2377</v>
      </c>
      <c r="J164" t="str">
        <f t="shared" si="2"/>
        <v>Orta Risk</v>
      </c>
    </row>
    <row r="165" spans="1:10">
      <c r="A165">
        <v>39</v>
      </c>
      <c r="B165">
        <v>482</v>
      </c>
      <c r="C165" t="str">
        <f>_xlfn.XLOOKUP(B165,raw_customers!A:A,raw_customers!B:B)</f>
        <v>Leyla Məmmədov</v>
      </c>
      <c r="D165" t="str">
        <f>_xlfn.XLOOKUP(C165,raw_customers!B:B,raw_customers!C:C)</f>
        <v>F</v>
      </c>
      <c r="E165" t="str">
        <f>_xlfn.XLOOKUP(C165,raw_customers!B:B,raw_customers!G:G)</f>
        <v>Retail</v>
      </c>
      <c r="F165" t="str">
        <f>_xlfn.XLOOKUP(_xlfn.XLOOKUP(B165,raw_customers!A:A,raw_customers!F:F),raw_branches!A:A,raw_branches!B:B)</f>
        <v>Sheki Branch</v>
      </c>
      <c r="G165" s="7">
        <v>134374.47</v>
      </c>
      <c r="H165" s="6">
        <v>9.43</v>
      </c>
      <c r="I165" t="s">
        <v>2377</v>
      </c>
      <c r="J165" t="str">
        <f t="shared" si="2"/>
        <v>Aşağı Risk</v>
      </c>
    </row>
    <row r="166" spans="1:10">
      <c r="A166">
        <v>40</v>
      </c>
      <c r="B166">
        <v>693</v>
      </c>
      <c r="C166" t="str">
        <f>_xlfn.XLOOKUP(B166,raw_customers!A:A,raw_customers!B:B)</f>
        <v>Murad Həsənov</v>
      </c>
      <c r="D166" t="str">
        <f>_xlfn.XLOOKUP(C166,raw_customers!B:B,raw_customers!C:C)</f>
        <v>M</v>
      </c>
      <c r="E166" t="str">
        <f>_xlfn.XLOOKUP(C166,raw_customers!B:B,raw_customers!G:G)</f>
        <v>Retail</v>
      </c>
      <c r="F166" t="str">
        <f>_xlfn.XLOOKUP(_xlfn.XLOOKUP(B166,raw_customers!A:A,raw_customers!F:F),raw_branches!A:A,raw_branches!B:B)</f>
        <v>Lankaran Branch</v>
      </c>
      <c r="G166" s="7">
        <v>10533.98</v>
      </c>
      <c r="H166" s="6">
        <v>9.13</v>
      </c>
      <c r="I166" t="s">
        <v>2383</v>
      </c>
      <c r="J166" t="str">
        <f t="shared" si="2"/>
        <v>Aşağı Risk</v>
      </c>
    </row>
    <row r="167" spans="1:10">
      <c r="A167">
        <v>41</v>
      </c>
      <c r="B167">
        <v>234</v>
      </c>
      <c r="C167" t="str">
        <f>_xlfn.XLOOKUP(B167,raw_customers!A:A,raw_customers!B:B)</f>
        <v>Səbinə Əzizov</v>
      </c>
      <c r="D167" t="str">
        <f>_xlfn.XLOOKUP(C167,raw_customers!B:B,raw_customers!C:C)</f>
        <v>F</v>
      </c>
      <c r="E167" t="str">
        <f>_xlfn.XLOOKUP(C167,raw_customers!B:B,raw_customers!G:G)</f>
        <v>Retail</v>
      </c>
      <c r="F167" t="str">
        <f>_xlfn.XLOOKUP(_xlfn.XLOOKUP(B167,raw_customers!A:A,raw_customers!F:F),raw_branches!A:A,raw_branches!B:B)</f>
        <v>Mingachevir Branch</v>
      </c>
      <c r="G167" s="7">
        <v>68969.22</v>
      </c>
      <c r="H167" s="6">
        <v>10.84</v>
      </c>
      <c r="I167" t="s">
        <v>2377</v>
      </c>
      <c r="J167" t="str">
        <f t="shared" si="2"/>
        <v>Aşağı Risk</v>
      </c>
    </row>
    <row r="168" spans="1:10">
      <c r="A168">
        <v>42</v>
      </c>
      <c r="B168">
        <v>680</v>
      </c>
      <c r="C168" t="str">
        <f>_xlfn.XLOOKUP(B168,raw_customers!A:A,raw_customers!B:B)</f>
        <v>Rüfət Rəhimov</v>
      </c>
      <c r="D168" t="str">
        <f>_xlfn.XLOOKUP(C168,raw_customers!B:B,raw_customers!C:C)</f>
        <v>M</v>
      </c>
      <c r="E168" t="str">
        <f>_xlfn.XLOOKUP(C168,raw_customers!B:B,raw_customers!G:G)</f>
        <v>Retail</v>
      </c>
      <c r="F168" t="str">
        <f>_xlfn.XLOOKUP(_xlfn.XLOOKUP(B168,raw_customers!A:A,raw_customers!F:F),raw_branches!A:A,raw_branches!B:B)</f>
        <v>Baku Central</v>
      </c>
      <c r="G168" s="7">
        <v>35972.39</v>
      </c>
      <c r="H168" s="6">
        <v>20.75</v>
      </c>
      <c r="I168" t="s">
        <v>2377</v>
      </c>
      <c r="J168" t="str">
        <f t="shared" si="2"/>
        <v>Yüksək Risk</v>
      </c>
    </row>
    <row r="169" spans="1:10">
      <c r="A169">
        <v>43</v>
      </c>
      <c r="B169">
        <v>466</v>
      </c>
      <c r="C169" t="str">
        <f>_xlfn.XLOOKUP(B169,raw_customers!A:A,raw_customers!B:B)</f>
        <v>Rüfət Orucov</v>
      </c>
      <c r="D169" t="str">
        <f>_xlfn.XLOOKUP(C169,raw_customers!B:B,raw_customers!C:C)</f>
        <v>M</v>
      </c>
      <c r="E169" t="str">
        <f>_xlfn.XLOOKUP(C169,raw_customers!B:B,raw_customers!G:G)</f>
        <v>SME</v>
      </c>
      <c r="F169" t="str">
        <f>_xlfn.XLOOKUP(_xlfn.XLOOKUP(B169,raw_customers!A:A,raw_customers!F:F),raw_branches!A:A,raw_branches!B:B)</f>
        <v>Baku Yasamal</v>
      </c>
      <c r="G169" s="7">
        <v>143817.41</v>
      </c>
      <c r="H169" s="6">
        <v>17.27</v>
      </c>
      <c r="I169" t="s">
        <v>2383</v>
      </c>
      <c r="J169" t="str">
        <f t="shared" si="2"/>
        <v>Orta Risk</v>
      </c>
    </row>
    <row r="170" spans="1:10">
      <c r="A170">
        <v>44</v>
      </c>
      <c r="B170">
        <v>84</v>
      </c>
      <c r="C170" t="str">
        <f>_xlfn.XLOOKUP(B170,raw_customers!A:A,raw_customers!B:B)</f>
        <v>Toğrul Məmmədov</v>
      </c>
      <c r="D170" t="str">
        <f>_xlfn.XLOOKUP(C170,raw_customers!B:B,raw_customers!C:C)</f>
        <v>M</v>
      </c>
      <c r="E170" t="str">
        <f>_xlfn.XLOOKUP(C170,raw_customers!B:B,raw_customers!G:G)</f>
        <v>Retail</v>
      </c>
      <c r="F170" t="str">
        <f>_xlfn.XLOOKUP(_xlfn.XLOOKUP(B170,raw_customers!A:A,raw_customers!F:F),raw_branches!A:A,raw_branches!B:B)</f>
        <v>Ganja Branch</v>
      </c>
      <c r="G170" s="7">
        <v>197762.12</v>
      </c>
      <c r="H170" s="6">
        <v>21.29</v>
      </c>
      <c r="I170" t="s">
        <v>2393</v>
      </c>
      <c r="J170" t="str">
        <f t="shared" si="2"/>
        <v>Default (Batıq)</v>
      </c>
    </row>
    <row r="171" spans="1:10">
      <c r="A171">
        <v>45</v>
      </c>
      <c r="B171">
        <v>414</v>
      </c>
      <c r="C171" t="str">
        <f>_xlfn.XLOOKUP(B171,raw_customers!A:A,raw_customers!B:B)</f>
        <v>Şəbnəm Məmmədov</v>
      </c>
      <c r="D171" t="str">
        <f>_xlfn.XLOOKUP(C171,raw_customers!B:B,raw_customers!C:C)</f>
        <v>F</v>
      </c>
      <c r="E171" t="str">
        <f>_xlfn.XLOOKUP(C171,raw_customers!B:B,raw_customers!G:G)</f>
        <v>SME</v>
      </c>
      <c r="F171" t="str">
        <f>_xlfn.XLOOKUP(_xlfn.XLOOKUP(B171,raw_customers!A:A,raw_customers!F:F),raw_branches!A:A,raw_branches!B:B)</f>
        <v>Mingachevir Branch</v>
      </c>
      <c r="G171" s="7">
        <v>3428.82</v>
      </c>
      <c r="H171" s="6">
        <v>12.81</v>
      </c>
      <c r="I171" t="s">
        <v>2383</v>
      </c>
      <c r="J171" t="str">
        <f t="shared" si="2"/>
        <v>Orta Risk</v>
      </c>
    </row>
    <row r="172" spans="1:10">
      <c r="A172">
        <v>46</v>
      </c>
      <c r="B172">
        <v>720</v>
      </c>
      <c r="C172" t="str">
        <f>_xlfn.XLOOKUP(B172,raw_customers!A:A,raw_customers!B:B)</f>
        <v>Xəyalə Əzizov</v>
      </c>
      <c r="D172" t="str">
        <f>_xlfn.XLOOKUP(C172,raw_customers!B:B,raw_customers!C:C)</f>
        <v>F</v>
      </c>
      <c r="E172" t="str">
        <f>_xlfn.XLOOKUP(C172,raw_customers!B:B,raw_customers!G:G)</f>
        <v>Retail</v>
      </c>
      <c r="F172" t="str">
        <f>_xlfn.XLOOKUP(_xlfn.XLOOKUP(B172,raw_customers!A:A,raw_customers!F:F),raw_branches!A:A,raw_branches!B:B)</f>
        <v>Baku Central</v>
      </c>
      <c r="G172" s="7">
        <v>36010.77</v>
      </c>
      <c r="H172" s="6">
        <v>13.02</v>
      </c>
      <c r="I172" t="s">
        <v>2377</v>
      </c>
      <c r="J172" t="str">
        <f t="shared" si="2"/>
        <v>Orta Risk</v>
      </c>
    </row>
    <row r="173" spans="1:10">
      <c r="A173">
        <v>47</v>
      </c>
      <c r="B173">
        <v>227</v>
      </c>
      <c r="C173" t="str">
        <f>_xlfn.XLOOKUP(B173,raw_customers!A:A,raw_customers!B:B)</f>
        <v>Orxan Abbasov</v>
      </c>
      <c r="D173" t="str">
        <f>_xlfn.XLOOKUP(C173,raw_customers!B:B,raw_customers!C:C)</f>
        <v>M</v>
      </c>
      <c r="E173" t="str">
        <f>_xlfn.XLOOKUP(C173,raw_customers!B:B,raw_customers!G:G)</f>
        <v>Premium</v>
      </c>
      <c r="F173" t="str">
        <f>_xlfn.XLOOKUP(_xlfn.XLOOKUP(B173,raw_customers!A:A,raw_customers!F:F),raw_branches!A:A,raw_branches!B:B)</f>
        <v>Ganja Branch</v>
      </c>
      <c r="G173" s="7">
        <v>118224.88</v>
      </c>
      <c r="H173" s="6">
        <v>8.18</v>
      </c>
      <c r="I173" t="s">
        <v>2377</v>
      </c>
      <c r="J173" t="str">
        <f t="shared" si="2"/>
        <v>Aşağı Risk</v>
      </c>
    </row>
    <row r="174" spans="1:10">
      <c r="A174">
        <v>48</v>
      </c>
      <c r="B174">
        <v>836</v>
      </c>
      <c r="C174" t="str">
        <f>_xlfn.XLOOKUP(B174,raw_customers!A:A,raw_customers!B:B)</f>
        <v>Günel Musayev</v>
      </c>
      <c r="D174" t="str">
        <f>_xlfn.XLOOKUP(C174,raw_customers!B:B,raw_customers!C:C)</f>
        <v>F</v>
      </c>
      <c r="E174" t="str">
        <f>_xlfn.XLOOKUP(C174,raw_customers!B:B,raw_customers!G:G)</f>
        <v>SME</v>
      </c>
      <c r="F174" t="str">
        <f>_xlfn.XLOOKUP(_xlfn.XLOOKUP(B174,raw_customers!A:A,raw_customers!F:F),raw_branches!A:A,raw_branches!B:B)</f>
        <v>Ganja Branch</v>
      </c>
      <c r="G174" s="7">
        <v>10388.88</v>
      </c>
      <c r="H174" s="6">
        <v>6.06</v>
      </c>
      <c r="I174" t="s">
        <v>2377</v>
      </c>
      <c r="J174" t="str">
        <f t="shared" si="2"/>
        <v>Aşağı Risk</v>
      </c>
    </row>
    <row r="175" spans="1:10">
      <c r="A175">
        <v>49</v>
      </c>
      <c r="B175">
        <v>655</v>
      </c>
      <c r="C175" t="str">
        <f>_xlfn.XLOOKUP(B175,raw_customers!A:A,raw_customers!B:B)</f>
        <v>Leyla Abbasov</v>
      </c>
      <c r="D175" t="str">
        <f>_xlfn.XLOOKUP(C175,raw_customers!B:B,raw_customers!C:C)</f>
        <v>F</v>
      </c>
      <c r="E175" t="str">
        <f>_xlfn.XLOOKUP(C175,raw_customers!B:B,raw_customers!G:G)</f>
        <v>Retail</v>
      </c>
      <c r="F175" t="str">
        <f>_xlfn.XLOOKUP(_xlfn.XLOOKUP(B175,raw_customers!A:A,raw_customers!F:F),raw_branches!A:A,raw_branches!B:B)</f>
        <v>Ganja Branch</v>
      </c>
      <c r="G175" s="7">
        <v>10823.36</v>
      </c>
      <c r="H175" s="6">
        <v>11.27</v>
      </c>
      <c r="I175" t="s">
        <v>2377</v>
      </c>
      <c r="J175" t="str">
        <f t="shared" si="2"/>
        <v>Aşağı Risk</v>
      </c>
    </row>
    <row r="176" spans="1:10">
      <c r="A176">
        <v>50</v>
      </c>
      <c r="B176">
        <v>24</v>
      </c>
      <c r="C176" t="str">
        <f>_xlfn.XLOOKUP(B176,raw_customers!A:A,raw_customers!B:B)</f>
        <v>Vüqar Sadıqov</v>
      </c>
      <c r="D176" t="str">
        <f>_xlfn.XLOOKUP(C176,raw_customers!B:B,raw_customers!C:C)</f>
        <v>M</v>
      </c>
      <c r="E176" t="str">
        <f>_xlfn.XLOOKUP(C176,raw_customers!B:B,raw_customers!G:G)</f>
        <v>Retail</v>
      </c>
      <c r="F176" t="str">
        <f>_xlfn.XLOOKUP(_xlfn.XLOOKUP(B176,raw_customers!A:A,raw_customers!F:F),raw_branches!A:A,raw_branches!B:B)</f>
        <v>Ganja Branch</v>
      </c>
      <c r="G176" s="7">
        <v>10959.33</v>
      </c>
      <c r="H176" s="6">
        <v>12.79</v>
      </c>
      <c r="I176" t="s">
        <v>2377</v>
      </c>
      <c r="J176" t="str">
        <f t="shared" si="2"/>
        <v>Orta Risk</v>
      </c>
    </row>
    <row r="177" spans="1:10">
      <c r="A177">
        <v>51</v>
      </c>
      <c r="B177">
        <v>883</v>
      </c>
      <c r="C177" t="str">
        <f>_xlfn.XLOOKUP(B177,raw_customers!A:A,raw_customers!B:B)</f>
        <v>Anar Əliyev</v>
      </c>
      <c r="D177" t="str">
        <f>_xlfn.XLOOKUP(C177,raw_customers!B:B,raw_customers!C:C)</f>
        <v>M</v>
      </c>
      <c r="E177" t="str">
        <f>_xlfn.XLOOKUP(C177,raw_customers!B:B,raw_customers!G:G)</f>
        <v>Retail</v>
      </c>
      <c r="F177" t="str">
        <f>_xlfn.XLOOKUP(_xlfn.XLOOKUP(B177,raw_customers!A:A,raw_customers!F:F),raw_branches!A:A,raw_branches!B:B)</f>
        <v>Baku Yasamal</v>
      </c>
      <c r="G177" s="7">
        <v>117072.83</v>
      </c>
      <c r="H177" s="6">
        <v>8.91</v>
      </c>
      <c r="I177" t="s">
        <v>2377</v>
      </c>
      <c r="J177" t="str">
        <f t="shared" si="2"/>
        <v>Aşağı Risk</v>
      </c>
    </row>
    <row r="178" spans="1:10">
      <c r="A178">
        <v>52</v>
      </c>
      <c r="B178">
        <v>46</v>
      </c>
      <c r="C178" t="str">
        <f>_xlfn.XLOOKUP(B178,raw_customers!A:A,raw_customers!B:B)</f>
        <v>Aysel Rzayev</v>
      </c>
      <c r="D178" t="str">
        <f>_xlfn.XLOOKUP(C178,raw_customers!B:B,raw_customers!C:C)</f>
        <v>F</v>
      </c>
      <c r="E178" t="str">
        <f>_xlfn.XLOOKUP(C178,raw_customers!B:B,raw_customers!G:G)</f>
        <v>SME</v>
      </c>
      <c r="F178" t="str">
        <f>_xlfn.XLOOKUP(_xlfn.XLOOKUP(B178,raw_customers!A:A,raw_customers!F:F),raw_branches!A:A,raw_branches!B:B)</f>
        <v>Mingachevir Branch</v>
      </c>
      <c r="G178" s="7">
        <v>11956.17</v>
      </c>
      <c r="H178" s="6">
        <v>6.53</v>
      </c>
      <c r="I178" t="s">
        <v>2377</v>
      </c>
      <c r="J178" t="str">
        <f t="shared" si="2"/>
        <v>Aşağı Risk</v>
      </c>
    </row>
    <row r="179" spans="1:10">
      <c r="A179">
        <v>53</v>
      </c>
      <c r="B179">
        <v>578</v>
      </c>
      <c r="C179" t="str">
        <f>_xlfn.XLOOKUP(B179,raw_customers!A:A,raw_customers!B:B)</f>
        <v>Fərid Tağıyev</v>
      </c>
      <c r="D179" t="str">
        <f>_xlfn.XLOOKUP(C179,raw_customers!B:B,raw_customers!C:C)</f>
        <v>M</v>
      </c>
      <c r="E179" t="str">
        <f>_xlfn.XLOOKUP(C179,raw_customers!B:B,raw_customers!G:G)</f>
        <v>Retail</v>
      </c>
      <c r="F179" t="str">
        <f>_xlfn.XLOOKUP(_xlfn.XLOOKUP(B179,raw_customers!A:A,raw_customers!F:F),raw_branches!A:A,raw_branches!B:B)</f>
        <v>Sumgait Branch</v>
      </c>
      <c r="G179" s="7">
        <v>12767.17</v>
      </c>
      <c r="H179" s="6">
        <v>17.18</v>
      </c>
      <c r="I179" t="s">
        <v>2377</v>
      </c>
      <c r="J179" t="str">
        <f t="shared" si="2"/>
        <v>Orta Risk</v>
      </c>
    </row>
    <row r="180" spans="1:10">
      <c r="A180">
        <v>54</v>
      </c>
      <c r="B180">
        <v>250</v>
      </c>
      <c r="C180" t="str">
        <f>_xlfn.XLOOKUP(B180,raw_customers!A:A,raw_customers!B:B)</f>
        <v>Xəyalə Sadıqov</v>
      </c>
      <c r="D180" t="str">
        <f>_xlfn.XLOOKUP(C180,raw_customers!B:B,raw_customers!C:C)</f>
        <v>F</v>
      </c>
      <c r="E180" t="str">
        <f>_xlfn.XLOOKUP(C180,raw_customers!B:B,raw_customers!G:G)</f>
        <v>SME</v>
      </c>
      <c r="F180" t="str">
        <f>_xlfn.XLOOKUP(_xlfn.XLOOKUP(B180,raw_customers!A:A,raw_customers!F:F),raw_branches!A:A,raw_branches!B:B)</f>
        <v>Baku Yasamal</v>
      </c>
      <c r="G180" s="7">
        <v>14770.82</v>
      </c>
      <c r="H180" s="6">
        <v>21.52</v>
      </c>
      <c r="I180" t="s">
        <v>2377</v>
      </c>
      <c r="J180" t="str">
        <f t="shared" si="2"/>
        <v>Yüksək Risk</v>
      </c>
    </row>
    <row r="181" spans="1:10">
      <c r="A181">
        <v>55</v>
      </c>
      <c r="B181">
        <v>834</v>
      </c>
      <c r="C181" t="str">
        <f>_xlfn.XLOOKUP(B181,raw_customers!A:A,raw_customers!B:B)</f>
        <v>Ülviyyə İsmayılov</v>
      </c>
      <c r="D181" t="str">
        <f>_xlfn.XLOOKUP(C181,raw_customers!B:B,raw_customers!C:C)</f>
        <v>F</v>
      </c>
      <c r="E181" t="str">
        <f>_xlfn.XLOOKUP(C181,raw_customers!B:B,raw_customers!G:G)</f>
        <v>SME</v>
      </c>
      <c r="F181" t="str">
        <f>_xlfn.XLOOKUP(_xlfn.XLOOKUP(B181,raw_customers!A:A,raw_customers!F:F),raw_branches!A:A,raw_branches!B:B)</f>
        <v>Baku Yasamal</v>
      </c>
      <c r="G181" s="7">
        <v>3988.56</v>
      </c>
      <c r="H181" s="6">
        <v>6.62</v>
      </c>
      <c r="I181" t="s">
        <v>2377</v>
      </c>
      <c r="J181" t="str">
        <f t="shared" si="2"/>
        <v>Aşağı Risk</v>
      </c>
    </row>
    <row r="182" spans="1:10">
      <c r="A182">
        <v>56</v>
      </c>
      <c r="B182">
        <v>377</v>
      </c>
      <c r="C182" t="str">
        <f>_xlfn.XLOOKUP(B182,raw_customers!A:A,raw_customers!B:B)</f>
        <v>Nərgiz Tağıyev</v>
      </c>
      <c r="D182" t="str">
        <f>_xlfn.XLOOKUP(C182,raw_customers!B:B,raw_customers!C:C)</f>
        <v>F</v>
      </c>
      <c r="E182" t="str">
        <f>_xlfn.XLOOKUP(C182,raw_customers!B:B,raw_customers!G:G)</f>
        <v>SME</v>
      </c>
      <c r="F182" t="str">
        <f>_xlfn.XLOOKUP(_xlfn.XLOOKUP(B182,raw_customers!A:A,raw_customers!F:F),raw_branches!A:A,raw_branches!B:B)</f>
        <v>Sumgait Branch</v>
      </c>
      <c r="G182" s="7">
        <v>140575.17</v>
      </c>
      <c r="H182" s="6">
        <v>14.56</v>
      </c>
      <c r="I182" t="s">
        <v>2393</v>
      </c>
      <c r="J182" t="str">
        <f t="shared" si="2"/>
        <v>Default (Batıq)</v>
      </c>
    </row>
    <row r="183" spans="1:10">
      <c r="A183">
        <v>57</v>
      </c>
      <c r="B183">
        <v>938</v>
      </c>
      <c r="C183" t="str">
        <f>_xlfn.XLOOKUP(B183,raw_customers!A:A,raw_customers!B:B)</f>
        <v>Rəşad Cəfərov</v>
      </c>
      <c r="D183" t="str">
        <f>_xlfn.XLOOKUP(C183,raw_customers!B:B,raw_customers!C:C)</f>
        <v>M</v>
      </c>
      <c r="E183" t="str">
        <f>_xlfn.XLOOKUP(C183,raw_customers!B:B,raw_customers!G:G)</f>
        <v>Retail</v>
      </c>
      <c r="F183" t="str">
        <f>_xlfn.XLOOKUP(_xlfn.XLOOKUP(B183,raw_customers!A:A,raw_customers!F:F),raw_branches!A:A,raw_branches!B:B)</f>
        <v>Lankaran Branch</v>
      </c>
      <c r="G183" s="7">
        <v>8791.01</v>
      </c>
      <c r="H183" s="6">
        <v>11.26</v>
      </c>
      <c r="I183" t="s">
        <v>2383</v>
      </c>
      <c r="J183" t="str">
        <f t="shared" si="2"/>
        <v>Aşağı Risk</v>
      </c>
    </row>
    <row r="184" spans="1:10">
      <c r="A184">
        <v>58</v>
      </c>
      <c r="B184">
        <v>388</v>
      </c>
      <c r="C184" t="str">
        <f>_xlfn.XLOOKUP(B184,raw_customers!A:A,raw_customers!B:B)</f>
        <v>Sevinc Rəhimov</v>
      </c>
      <c r="D184" t="str">
        <f>_xlfn.XLOOKUP(C184,raw_customers!B:B,raw_customers!C:C)</f>
        <v>F</v>
      </c>
      <c r="E184" t="str">
        <f>_xlfn.XLOOKUP(C184,raw_customers!B:B,raw_customers!G:G)</f>
        <v>Retail</v>
      </c>
      <c r="F184" t="str">
        <f>_xlfn.XLOOKUP(_xlfn.XLOOKUP(B184,raw_customers!A:A,raw_customers!F:F),raw_branches!A:A,raw_branches!B:B)</f>
        <v>Baku Yasamal</v>
      </c>
      <c r="G184" s="7">
        <v>142529.34</v>
      </c>
      <c r="H184" s="6">
        <v>17.77</v>
      </c>
      <c r="I184" t="s">
        <v>2377</v>
      </c>
      <c r="J184" t="str">
        <f t="shared" si="2"/>
        <v>Orta Risk</v>
      </c>
    </row>
    <row r="185" spans="1:10">
      <c r="A185">
        <v>59</v>
      </c>
      <c r="B185">
        <v>529</v>
      </c>
      <c r="C185" t="str">
        <f>_xlfn.XLOOKUP(B185,raw_customers!A:A,raw_customers!B:B)</f>
        <v>Emin Hüseynov</v>
      </c>
      <c r="D185" t="str">
        <f>_xlfn.XLOOKUP(C185,raw_customers!B:B,raw_customers!C:C)</f>
        <v>M</v>
      </c>
      <c r="E185" t="str">
        <f>_xlfn.XLOOKUP(C185,raw_customers!B:B,raw_customers!G:G)</f>
        <v>SME</v>
      </c>
      <c r="F185" t="str">
        <f>_xlfn.XLOOKUP(_xlfn.XLOOKUP(B185,raw_customers!A:A,raw_customers!F:F),raw_branches!A:A,raw_branches!B:B)</f>
        <v>Mingachevir Branch</v>
      </c>
      <c r="G185" s="7">
        <v>10185.67</v>
      </c>
      <c r="H185" s="6">
        <v>10.49</v>
      </c>
      <c r="I185" t="s">
        <v>2377</v>
      </c>
      <c r="J185" t="str">
        <f t="shared" si="2"/>
        <v>Aşağı Risk</v>
      </c>
    </row>
    <row r="186" spans="1:10">
      <c r="A186">
        <v>60</v>
      </c>
      <c r="B186">
        <v>1000</v>
      </c>
      <c r="C186" t="str">
        <f>_xlfn.XLOOKUP(B186,raw_customers!A:A,raw_customers!B:B)</f>
        <v>Zeynəb Vəliyev</v>
      </c>
      <c r="D186" t="str">
        <f>_xlfn.XLOOKUP(C186,raw_customers!B:B,raw_customers!C:C)</f>
        <v>F</v>
      </c>
      <c r="E186" t="str">
        <f>_xlfn.XLOOKUP(C186,raw_customers!B:B,raw_customers!G:G)</f>
        <v>Premium</v>
      </c>
      <c r="F186" t="str">
        <f>_xlfn.XLOOKUP(_xlfn.XLOOKUP(B186,raw_customers!A:A,raw_customers!F:F),raw_branches!A:A,raw_branches!B:B)</f>
        <v>Sumgait Branch</v>
      </c>
      <c r="G186" s="7">
        <v>11048.12</v>
      </c>
      <c r="H186" s="6">
        <v>12.42</v>
      </c>
      <c r="I186" t="s">
        <v>2377</v>
      </c>
      <c r="J186" t="str">
        <f t="shared" si="2"/>
        <v>Orta Risk</v>
      </c>
    </row>
    <row r="187" spans="1:10">
      <c r="A187">
        <v>61</v>
      </c>
      <c r="B187">
        <v>188</v>
      </c>
      <c r="C187" t="str">
        <f>_xlfn.XLOOKUP(B187,raw_customers!A:A,raw_customers!B:B)</f>
        <v>Elvin Bağırov</v>
      </c>
      <c r="D187" t="str">
        <f>_xlfn.XLOOKUP(C187,raw_customers!B:B,raw_customers!C:C)</f>
        <v>M</v>
      </c>
      <c r="E187" t="str">
        <f>_xlfn.XLOOKUP(C187,raw_customers!B:B,raw_customers!G:G)</f>
        <v>SME</v>
      </c>
      <c r="F187" t="str">
        <f>_xlfn.XLOOKUP(_xlfn.XLOOKUP(B187,raw_customers!A:A,raw_customers!F:F),raw_branches!A:A,raw_branches!B:B)</f>
        <v>Sumgait Branch</v>
      </c>
      <c r="G187" s="7">
        <v>579.32</v>
      </c>
      <c r="H187" s="6">
        <v>10.78</v>
      </c>
      <c r="I187" t="s">
        <v>2393</v>
      </c>
      <c r="J187" t="str">
        <f t="shared" si="2"/>
        <v>Default (Batıq)</v>
      </c>
    </row>
    <row r="188" spans="1:10">
      <c r="A188">
        <v>62</v>
      </c>
      <c r="B188">
        <v>927</v>
      </c>
      <c r="C188" t="str">
        <f>_xlfn.XLOOKUP(B188,raw_customers!A:A,raw_customers!B:B)</f>
        <v>Kənan İsmayılov</v>
      </c>
      <c r="D188" t="str">
        <f>_xlfn.XLOOKUP(C188,raw_customers!B:B,raw_customers!C:C)</f>
        <v>M</v>
      </c>
      <c r="E188" t="str">
        <f>_xlfn.XLOOKUP(C188,raw_customers!B:B,raw_customers!G:G)</f>
        <v>Retail</v>
      </c>
      <c r="F188" t="str">
        <f>_xlfn.XLOOKUP(_xlfn.XLOOKUP(B188,raw_customers!A:A,raw_customers!F:F),raw_branches!A:A,raw_branches!B:B)</f>
        <v>Sheki Branch</v>
      </c>
      <c r="G188" s="7">
        <v>10142.32</v>
      </c>
      <c r="H188" s="6">
        <v>12.33</v>
      </c>
      <c r="I188" t="s">
        <v>2393</v>
      </c>
      <c r="J188" t="str">
        <f t="shared" si="2"/>
        <v>Default (Batıq)</v>
      </c>
    </row>
    <row r="189" spans="1:10">
      <c r="A189">
        <v>63</v>
      </c>
      <c r="B189">
        <v>856</v>
      </c>
      <c r="C189" t="str">
        <f>_xlfn.XLOOKUP(B189,raw_customers!A:A,raw_customers!B:B)</f>
        <v>Nicat Əliyev</v>
      </c>
      <c r="D189" t="str">
        <f>_xlfn.XLOOKUP(C189,raw_customers!B:B,raw_customers!C:C)</f>
        <v>M</v>
      </c>
      <c r="E189" t="str">
        <f>_xlfn.XLOOKUP(C189,raw_customers!B:B,raw_customers!G:G)</f>
        <v>SME</v>
      </c>
      <c r="F189" t="str">
        <f>_xlfn.XLOOKUP(_xlfn.XLOOKUP(B189,raw_customers!A:A,raw_customers!F:F),raw_branches!A:A,raw_branches!B:B)</f>
        <v>Baku Yasamal</v>
      </c>
      <c r="G189" s="7">
        <v>14659.3</v>
      </c>
      <c r="H189" s="6">
        <v>11.19</v>
      </c>
      <c r="I189" t="s">
        <v>2383</v>
      </c>
      <c r="J189" t="str">
        <f t="shared" si="2"/>
        <v>Aşağı Risk</v>
      </c>
    </row>
    <row r="190" spans="1:10">
      <c r="A190">
        <v>64</v>
      </c>
      <c r="B190">
        <v>716</v>
      </c>
      <c r="C190" t="str">
        <f>_xlfn.XLOOKUP(B190,raw_customers!A:A,raw_customers!B:B)</f>
        <v>Aynur Novruzov</v>
      </c>
      <c r="D190" t="str">
        <f>_xlfn.XLOOKUP(C190,raw_customers!B:B,raw_customers!C:C)</f>
        <v>F</v>
      </c>
      <c r="E190" t="str">
        <f>_xlfn.XLOOKUP(C190,raw_customers!B:B,raw_customers!G:G)</f>
        <v>Retail</v>
      </c>
      <c r="F190" t="str">
        <f>_xlfn.XLOOKUP(_xlfn.XLOOKUP(B190,raw_customers!A:A,raw_customers!F:F),raw_branches!A:A,raw_branches!B:B)</f>
        <v>Baku Yasamal</v>
      </c>
      <c r="G190" s="7">
        <v>14529.83</v>
      </c>
      <c r="H190" s="6">
        <v>10.85</v>
      </c>
      <c r="I190" t="s">
        <v>2393</v>
      </c>
      <c r="J190" t="str">
        <f t="shared" si="2"/>
        <v>Default (Batıq)</v>
      </c>
    </row>
    <row r="191" spans="1:10">
      <c r="A191">
        <v>65</v>
      </c>
      <c r="B191">
        <v>576</v>
      </c>
      <c r="C191" t="str">
        <f>_xlfn.XLOOKUP(B191,raw_customers!A:A,raw_customers!B:B)</f>
        <v>Könül Məmmədov</v>
      </c>
      <c r="D191" t="str">
        <f>_xlfn.XLOOKUP(C191,raw_customers!B:B,raw_customers!C:C)</f>
        <v>F</v>
      </c>
      <c r="E191" t="str">
        <f>_xlfn.XLOOKUP(C191,raw_customers!B:B,raw_customers!G:G)</f>
        <v>SME</v>
      </c>
      <c r="F191" t="str">
        <f>_xlfn.XLOOKUP(_xlfn.XLOOKUP(B191,raw_customers!A:A,raw_customers!F:F),raw_branches!A:A,raw_branches!B:B)</f>
        <v>Mingachevir Branch</v>
      </c>
      <c r="G191" s="7">
        <v>6439.51</v>
      </c>
      <c r="H191" s="6">
        <v>6.55</v>
      </c>
      <c r="I191" t="s">
        <v>2393</v>
      </c>
      <c r="J191" t="str">
        <f t="shared" si="2"/>
        <v>Default (Batıq)</v>
      </c>
    </row>
    <row r="192" spans="1:10">
      <c r="A192">
        <v>66</v>
      </c>
      <c r="B192">
        <v>456</v>
      </c>
      <c r="C192" t="str">
        <f>_xlfn.XLOOKUP(B192,raw_customers!A:A,raw_customers!B:B)</f>
        <v>Tural Hüseynov</v>
      </c>
      <c r="D192" t="str">
        <f>_xlfn.XLOOKUP(C192,raw_customers!B:B,raw_customers!C:C)</f>
        <v>M</v>
      </c>
      <c r="E192" t="str">
        <f>_xlfn.XLOOKUP(C192,raw_customers!B:B,raw_customers!G:G)</f>
        <v>Retail</v>
      </c>
      <c r="F192" t="str">
        <f>_xlfn.XLOOKUP(_xlfn.XLOOKUP(B192,raw_customers!A:A,raw_customers!F:F),raw_branches!A:A,raw_branches!B:B)</f>
        <v>Ganja Branch</v>
      </c>
      <c r="G192" s="7">
        <v>113998.69</v>
      </c>
      <c r="H192" s="6">
        <v>17.82</v>
      </c>
      <c r="I192" t="s">
        <v>2377</v>
      </c>
      <c r="J192" t="str">
        <f t="shared" si="2"/>
        <v>Orta Risk</v>
      </c>
    </row>
    <row r="193" spans="1:10">
      <c r="A193">
        <v>67</v>
      </c>
      <c r="B193">
        <v>856</v>
      </c>
      <c r="C193" t="str">
        <f>_xlfn.XLOOKUP(B193,raw_customers!A:A,raw_customers!B:B)</f>
        <v>Nicat Əliyev</v>
      </c>
      <c r="D193" t="str">
        <f>_xlfn.XLOOKUP(C193,raw_customers!B:B,raw_customers!C:C)</f>
        <v>M</v>
      </c>
      <c r="E193" t="str">
        <f>_xlfn.XLOOKUP(C193,raw_customers!B:B,raw_customers!G:G)</f>
        <v>SME</v>
      </c>
      <c r="F193" t="str">
        <f>_xlfn.XLOOKUP(_xlfn.XLOOKUP(B193,raw_customers!A:A,raw_customers!F:F),raw_branches!A:A,raw_branches!B:B)</f>
        <v>Baku Yasamal</v>
      </c>
      <c r="G193" s="7">
        <v>154008.08</v>
      </c>
      <c r="H193" s="6">
        <v>18.62</v>
      </c>
      <c r="I193" t="s">
        <v>2383</v>
      </c>
      <c r="J193" t="str">
        <f t="shared" si="2"/>
        <v>Yüksək Risk</v>
      </c>
    </row>
    <row r="194" spans="1:10">
      <c r="A194">
        <v>68</v>
      </c>
      <c r="B194">
        <v>280</v>
      </c>
      <c r="C194" t="str">
        <f>_xlfn.XLOOKUP(B194,raw_customers!A:A,raw_customers!B:B)</f>
        <v>Şəbnəm Cəfərov</v>
      </c>
      <c r="D194" t="str">
        <f>_xlfn.XLOOKUP(C194,raw_customers!B:B,raw_customers!C:C)</f>
        <v>F</v>
      </c>
      <c r="E194" t="str">
        <f>_xlfn.XLOOKUP(C194,raw_customers!B:B,raw_customers!G:G)</f>
        <v>Retail</v>
      </c>
      <c r="F194" t="str">
        <f>_xlfn.XLOOKUP(_xlfn.XLOOKUP(B194,raw_customers!A:A,raw_customers!F:F),raw_branches!A:A,raw_branches!B:B)</f>
        <v>Sheki Branch</v>
      </c>
      <c r="G194" s="7">
        <v>131860.43</v>
      </c>
      <c r="H194" s="6">
        <v>19.88</v>
      </c>
      <c r="I194" t="s">
        <v>2377</v>
      </c>
      <c r="J194" t="str">
        <f t="shared" si="2"/>
        <v>Yüksək Risk</v>
      </c>
    </row>
    <row r="195" spans="1:10">
      <c r="A195">
        <v>69</v>
      </c>
      <c r="B195">
        <v>175</v>
      </c>
      <c r="C195" t="str">
        <f>_xlfn.XLOOKUP(B195,raw_customers!A:A,raw_customers!B:B)</f>
        <v>Ceyhun Həsənov</v>
      </c>
      <c r="D195" t="str">
        <f>_xlfn.XLOOKUP(C195,raw_customers!B:B,raw_customers!C:C)</f>
        <v>M</v>
      </c>
      <c r="E195" t="str">
        <f>_xlfn.XLOOKUP(C195,raw_customers!B:B,raw_customers!G:G)</f>
        <v>Retail</v>
      </c>
      <c r="F195" t="str">
        <f>_xlfn.XLOOKUP(_xlfn.XLOOKUP(B195,raw_customers!A:A,raw_customers!F:F),raw_branches!A:A,raw_branches!B:B)</f>
        <v>Baku Yasamal</v>
      </c>
      <c r="G195" s="7">
        <v>9409.18</v>
      </c>
      <c r="H195" s="6">
        <v>18.61</v>
      </c>
      <c r="I195" t="s">
        <v>2377</v>
      </c>
      <c r="J195" t="str">
        <f t="shared" ref="J195:J258" si="3">IF(I195="Default","Default (Batıq)",IF(H195&gt;=18,"Yüksək Risk",IF(H195&gt;=12,"Orta Risk","Aşağı Risk")))</f>
        <v>Yüksək Risk</v>
      </c>
    </row>
    <row r="196" spans="1:10">
      <c r="A196">
        <v>70</v>
      </c>
      <c r="B196">
        <v>381</v>
      </c>
      <c r="C196" t="str">
        <f>_xlfn.XLOOKUP(B196,raw_customers!A:A,raw_customers!B:B)</f>
        <v>Günel Orucov</v>
      </c>
      <c r="D196" t="str">
        <f>_xlfn.XLOOKUP(C196,raw_customers!B:B,raw_customers!C:C)</f>
        <v>F</v>
      </c>
      <c r="E196" t="str">
        <f>_xlfn.XLOOKUP(C196,raw_customers!B:B,raw_customers!G:G)</f>
        <v>SME</v>
      </c>
      <c r="F196" t="str">
        <f>_xlfn.XLOOKUP(_xlfn.XLOOKUP(B196,raw_customers!A:A,raw_customers!F:F),raw_branches!A:A,raw_branches!B:B)</f>
        <v>Mingachevir Branch</v>
      </c>
      <c r="G196" s="7">
        <v>3665.93</v>
      </c>
      <c r="H196" s="6">
        <v>12.38</v>
      </c>
      <c r="I196" t="s">
        <v>2393</v>
      </c>
      <c r="J196" t="str">
        <f t="shared" si="3"/>
        <v>Default (Batıq)</v>
      </c>
    </row>
    <row r="197" spans="1:10">
      <c r="A197">
        <v>71</v>
      </c>
      <c r="B197">
        <v>571</v>
      </c>
      <c r="C197" t="str">
        <f>_xlfn.XLOOKUP(B197,raw_customers!A:A,raw_customers!B:B)</f>
        <v>Emin Vəliyev</v>
      </c>
      <c r="D197" t="str">
        <f>_xlfn.XLOOKUP(C197,raw_customers!B:B,raw_customers!C:C)</f>
        <v>M</v>
      </c>
      <c r="E197" t="str">
        <f>_xlfn.XLOOKUP(C197,raw_customers!B:B,raw_customers!G:G)</f>
        <v>Retail</v>
      </c>
      <c r="F197" t="str">
        <f>_xlfn.XLOOKUP(_xlfn.XLOOKUP(B197,raw_customers!A:A,raw_customers!F:F),raw_branches!A:A,raw_branches!B:B)</f>
        <v>Baku Yasamal</v>
      </c>
      <c r="G197" s="7">
        <v>105774.5</v>
      </c>
      <c r="H197" s="6">
        <v>7.47</v>
      </c>
      <c r="I197" t="s">
        <v>2383</v>
      </c>
      <c r="J197" t="str">
        <f t="shared" si="3"/>
        <v>Aşağı Risk</v>
      </c>
    </row>
    <row r="198" spans="1:10">
      <c r="A198">
        <v>72</v>
      </c>
      <c r="B198">
        <v>574</v>
      </c>
      <c r="C198" t="str">
        <f>_xlfn.XLOOKUP(B198,raw_customers!A:A,raw_customers!B:B)</f>
        <v>Şəbnəm Əzizov</v>
      </c>
      <c r="D198" t="str">
        <f>_xlfn.XLOOKUP(C198,raw_customers!B:B,raw_customers!C:C)</f>
        <v>F</v>
      </c>
      <c r="E198" t="str">
        <f>_xlfn.XLOOKUP(C198,raw_customers!B:B,raw_customers!G:G)</f>
        <v>Retail</v>
      </c>
      <c r="F198" t="str">
        <f>_xlfn.XLOOKUP(_xlfn.XLOOKUP(B198,raw_customers!A:A,raw_customers!F:F),raw_branches!A:A,raw_branches!B:B)</f>
        <v>Lankaran Branch</v>
      </c>
      <c r="G198" s="7">
        <v>35104.63</v>
      </c>
      <c r="H198" s="6">
        <v>9.42</v>
      </c>
      <c r="I198" t="s">
        <v>2377</v>
      </c>
      <c r="J198" t="str">
        <f t="shared" si="3"/>
        <v>Aşağı Risk</v>
      </c>
    </row>
    <row r="199" spans="1:10">
      <c r="A199">
        <v>73</v>
      </c>
      <c r="B199">
        <v>33</v>
      </c>
      <c r="C199" t="str">
        <f>_xlfn.XLOOKUP(B199,raw_customers!A:A,raw_customers!B:B)</f>
        <v>Türkan Tağıyev</v>
      </c>
      <c r="D199" t="str">
        <f>_xlfn.XLOOKUP(C199,raw_customers!B:B,raw_customers!C:C)</f>
        <v>F</v>
      </c>
      <c r="E199" t="str">
        <f>_xlfn.XLOOKUP(C199,raw_customers!B:B,raw_customers!G:G)</f>
        <v>Retail</v>
      </c>
      <c r="F199" t="str">
        <f>_xlfn.XLOOKUP(_xlfn.XLOOKUP(B199,raw_customers!A:A,raw_customers!F:F),raw_branches!A:A,raw_branches!B:B)</f>
        <v>Sumgait Branch</v>
      </c>
      <c r="G199" s="7">
        <v>31319.17</v>
      </c>
      <c r="H199" s="6">
        <v>14.49</v>
      </c>
      <c r="I199" t="s">
        <v>2377</v>
      </c>
      <c r="J199" t="str">
        <f t="shared" si="3"/>
        <v>Orta Risk</v>
      </c>
    </row>
    <row r="200" spans="1:10">
      <c r="A200">
        <v>74</v>
      </c>
      <c r="B200">
        <v>281</v>
      </c>
      <c r="C200" t="str">
        <f>_xlfn.XLOOKUP(B200,raw_customers!A:A,raw_customers!B:B)</f>
        <v>Kənan Rzayev</v>
      </c>
      <c r="D200" t="str">
        <f>_xlfn.XLOOKUP(C200,raw_customers!B:B,raw_customers!C:C)</f>
        <v>M</v>
      </c>
      <c r="E200" t="str">
        <f>_xlfn.XLOOKUP(C200,raw_customers!B:B,raw_customers!G:G)</f>
        <v>SME</v>
      </c>
      <c r="F200" t="str">
        <f>_xlfn.XLOOKUP(_xlfn.XLOOKUP(B200,raw_customers!A:A,raw_customers!F:F),raw_branches!A:A,raw_branches!B:B)</f>
        <v>Lankaran Branch</v>
      </c>
      <c r="G200" s="7">
        <v>5333.42</v>
      </c>
      <c r="H200" s="6">
        <v>8.2</v>
      </c>
      <c r="I200" t="s">
        <v>2377</v>
      </c>
      <c r="J200" t="str">
        <f t="shared" si="3"/>
        <v>Aşağı Risk</v>
      </c>
    </row>
    <row r="201" spans="1:10">
      <c r="A201">
        <v>75</v>
      </c>
      <c r="B201">
        <v>850</v>
      </c>
      <c r="C201" t="str">
        <f>_xlfn.XLOOKUP(B201,raw_customers!A:A,raw_customers!B:B)</f>
        <v>Elvin Novruzov</v>
      </c>
      <c r="D201" t="str">
        <f>_xlfn.XLOOKUP(C201,raw_customers!B:B,raw_customers!C:C)</f>
        <v>M</v>
      </c>
      <c r="E201" t="str">
        <f>_xlfn.XLOOKUP(C201,raw_customers!B:B,raw_customers!G:G)</f>
        <v>Retail</v>
      </c>
      <c r="F201" t="str">
        <f>_xlfn.XLOOKUP(_xlfn.XLOOKUP(B201,raw_customers!A:A,raw_customers!F:F),raw_branches!A:A,raw_branches!B:B)</f>
        <v>Ganja Branch</v>
      </c>
      <c r="G201" s="7">
        <v>8283.76</v>
      </c>
      <c r="H201" s="6">
        <v>5.35</v>
      </c>
      <c r="I201" t="s">
        <v>2377</v>
      </c>
      <c r="J201" t="str">
        <f t="shared" si="3"/>
        <v>Aşağı Risk</v>
      </c>
    </row>
    <row r="202" spans="1:10">
      <c r="A202">
        <v>76</v>
      </c>
      <c r="B202">
        <v>528</v>
      </c>
      <c r="C202" t="str">
        <f>_xlfn.XLOOKUP(B202,raw_customers!A:A,raw_customers!B:B)</f>
        <v>Şəbnəm Quliyev</v>
      </c>
      <c r="D202" t="str">
        <f>_xlfn.XLOOKUP(C202,raw_customers!B:B,raw_customers!C:C)</f>
        <v>F</v>
      </c>
      <c r="E202" t="str">
        <f>_xlfn.XLOOKUP(C202,raw_customers!B:B,raw_customers!G:G)</f>
        <v>Retail</v>
      </c>
      <c r="F202" t="str">
        <f>_xlfn.XLOOKUP(_xlfn.XLOOKUP(B202,raw_customers!A:A,raw_customers!F:F),raw_branches!A:A,raw_branches!B:B)</f>
        <v>Sumgait Branch</v>
      </c>
      <c r="G202" s="7">
        <v>107039.9</v>
      </c>
      <c r="H202" s="6">
        <v>17.52</v>
      </c>
      <c r="I202" t="s">
        <v>2377</v>
      </c>
      <c r="J202" t="str">
        <f t="shared" si="3"/>
        <v>Orta Risk</v>
      </c>
    </row>
    <row r="203" spans="1:10">
      <c r="A203">
        <v>77</v>
      </c>
      <c r="B203">
        <v>750</v>
      </c>
      <c r="C203" t="str">
        <f>_xlfn.XLOOKUP(B203,raw_customers!A:A,raw_customers!B:B)</f>
        <v>Ülviyyə Orucov</v>
      </c>
      <c r="D203" t="str">
        <f>_xlfn.XLOOKUP(C203,raw_customers!B:B,raw_customers!C:C)</f>
        <v>F</v>
      </c>
      <c r="E203" t="str">
        <f>_xlfn.XLOOKUP(C203,raw_customers!B:B,raw_customers!G:G)</f>
        <v>Retail</v>
      </c>
      <c r="F203" t="str">
        <f>_xlfn.XLOOKUP(_xlfn.XLOOKUP(B203,raw_customers!A:A,raw_customers!F:F),raw_branches!A:A,raw_branches!B:B)</f>
        <v>Baku Yasamal</v>
      </c>
      <c r="G203" s="7">
        <v>19684.69</v>
      </c>
      <c r="H203" s="6">
        <v>14.11</v>
      </c>
      <c r="I203" t="s">
        <v>2377</v>
      </c>
      <c r="J203" t="str">
        <f t="shared" si="3"/>
        <v>Orta Risk</v>
      </c>
    </row>
    <row r="204" spans="1:10">
      <c r="A204">
        <v>78</v>
      </c>
      <c r="B204">
        <v>19</v>
      </c>
      <c r="C204" t="str">
        <f>_xlfn.XLOOKUP(B204,raw_customers!A:A,raw_customers!B:B)</f>
        <v>Aynur Nəbiyev</v>
      </c>
      <c r="D204" t="str">
        <f>_xlfn.XLOOKUP(C204,raw_customers!B:B,raw_customers!C:C)</f>
        <v>F</v>
      </c>
      <c r="E204" t="str">
        <f>_xlfn.XLOOKUP(C204,raw_customers!B:B,raw_customers!G:G)</f>
        <v>Premium</v>
      </c>
      <c r="F204" t="str">
        <f>_xlfn.XLOOKUP(_xlfn.XLOOKUP(B204,raw_customers!A:A,raw_customers!F:F),raw_branches!A:A,raw_branches!B:B)</f>
        <v>Baku Yasamal</v>
      </c>
      <c r="G204" s="7">
        <v>55970.53</v>
      </c>
      <c r="H204" s="6">
        <v>15.85</v>
      </c>
      <c r="I204" t="s">
        <v>2377</v>
      </c>
      <c r="J204" t="str">
        <f t="shared" si="3"/>
        <v>Orta Risk</v>
      </c>
    </row>
    <row r="205" spans="1:10">
      <c r="A205">
        <v>79</v>
      </c>
      <c r="B205">
        <v>368</v>
      </c>
      <c r="C205" t="str">
        <f>_xlfn.XLOOKUP(B205,raw_customers!A:A,raw_customers!B:B)</f>
        <v>Könül İsmayılov</v>
      </c>
      <c r="D205" t="str">
        <f>_xlfn.XLOOKUP(C205,raw_customers!B:B,raw_customers!C:C)</f>
        <v>F</v>
      </c>
      <c r="E205" t="str">
        <f>_xlfn.XLOOKUP(C205,raw_customers!B:B,raw_customers!G:G)</f>
        <v>Retail</v>
      </c>
      <c r="F205" t="str">
        <f>_xlfn.XLOOKUP(_xlfn.XLOOKUP(B205,raw_customers!A:A,raw_customers!F:F),raw_branches!A:A,raw_branches!B:B)</f>
        <v>Baku Central</v>
      </c>
      <c r="G205" s="7">
        <v>4932.31</v>
      </c>
      <c r="H205" s="6">
        <v>17.43</v>
      </c>
      <c r="I205" t="s">
        <v>2377</v>
      </c>
      <c r="J205" t="str">
        <f t="shared" si="3"/>
        <v>Orta Risk</v>
      </c>
    </row>
    <row r="206" spans="1:10">
      <c r="A206">
        <v>80</v>
      </c>
      <c r="B206">
        <v>887</v>
      </c>
      <c r="C206" t="str">
        <f>_xlfn.XLOOKUP(B206,raw_customers!A:A,raw_customers!B:B)</f>
        <v>Aysel Həsənov</v>
      </c>
      <c r="D206" t="str">
        <f>_xlfn.XLOOKUP(C206,raw_customers!B:B,raw_customers!C:C)</f>
        <v>F</v>
      </c>
      <c r="E206" t="str">
        <f>_xlfn.XLOOKUP(C206,raw_customers!B:B,raw_customers!G:G)</f>
        <v>Retail</v>
      </c>
      <c r="F206" t="str">
        <f>_xlfn.XLOOKUP(_xlfn.XLOOKUP(B206,raw_customers!A:A,raw_customers!F:F),raw_branches!A:A,raw_branches!B:B)</f>
        <v>Lankaran Branch</v>
      </c>
      <c r="G206" s="7">
        <v>35675.43</v>
      </c>
      <c r="H206" s="6">
        <v>7.95</v>
      </c>
      <c r="I206" t="s">
        <v>2383</v>
      </c>
      <c r="J206" t="str">
        <f t="shared" si="3"/>
        <v>Aşağı Risk</v>
      </c>
    </row>
    <row r="207" spans="1:10">
      <c r="A207">
        <v>81</v>
      </c>
      <c r="B207">
        <v>675</v>
      </c>
      <c r="C207" t="str">
        <f>_xlfn.XLOOKUP(B207,raw_customers!A:A,raw_customers!B:B)</f>
        <v>Rüfət Orucov</v>
      </c>
      <c r="D207" t="str">
        <f>_xlfn.XLOOKUP(C207,raw_customers!B:B,raw_customers!C:C)</f>
        <v>M</v>
      </c>
      <c r="E207" t="str">
        <f>_xlfn.XLOOKUP(C207,raw_customers!B:B,raw_customers!G:G)</f>
        <v>SME</v>
      </c>
      <c r="F207" t="str">
        <f>_xlfn.XLOOKUP(_xlfn.XLOOKUP(B207,raw_customers!A:A,raw_customers!F:F),raw_branches!A:A,raw_branches!B:B)</f>
        <v>Mingachevir Branch</v>
      </c>
      <c r="G207" s="7">
        <v>114097.28</v>
      </c>
      <c r="H207" s="6">
        <v>19.29</v>
      </c>
      <c r="I207" t="s">
        <v>2393</v>
      </c>
      <c r="J207" t="str">
        <f t="shared" si="3"/>
        <v>Default (Batıq)</v>
      </c>
    </row>
    <row r="208" spans="1:10">
      <c r="A208">
        <v>82</v>
      </c>
      <c r="B208">
        <v>607</v>
      </c>
      <c r="C208" t="str">
        <f>_xlfn.XLOOKUP(B208,raw_customers!A:A,raw_customers!B:B)</f>
        <v>Fidan Hüseynov</v>
      </c>
      <c r="D208" t="str">
        <f>_xlfn.XLOOKUP(C208,raw_customers!B:B,raw_customers!C:C)</f>
        <v>F</v>
      </c>
      <c r="E208" t="str">
        <f>_xlfn.XLOOKUP(C208,raw_customers!B:B,raw_customers!G:G)</f>
        <v>Retail</v>
      </c>
      <c r="F208" t="str">
        <f>_xlfn.XLOOKUP(_xlfn.XLOOKUP(B208,raw_customers!A:A,raw_customers!F:F),raw_branches!A:A,raw_branches!B:B)</f>
        <v>Mingachevir Branch</v>
      </c>
      <c r="G208" s="7">
        <v>5981.93</v>
      </c>
      <c r="H208" s="6">
        <v>18.89</v>
      </c>
      <c r="I208" t="s">
        <v>2377</v>
      </c>
      <c r="J208" t="str">
        <f t="shared" si="3"/>
        <v>Yüksək Risk</v>
      </c>
    </row>
    <row r="209" spans="1:10">
      <c r="A209">
        <v>83</v>
      </c>
      <c r="B209">
        <v>993</v>
      </c>
      <c r="C209" t="str">
        <f>_xlfn.XLOOKUP(B209,raw_customers!A:A,raw_customers!B:B)</f>
        <v>Elşən Sadıqov</v>
      </c>
      <c r="D209" t="str">
        <f>_xlfn.XLOOKUP(C209,raw_customers!B:B,raw_customers!C:C)</f>
        <v>M</v>
      </c>
      <c r="E209" t="str">
        <f>_xlfn.XLOOKUP(C209,raw_customers!B:B,raw_customers!G:G)</f>
        <v>Premium</v>
      </c>
      <c r="F209" t="str">
        <f>_xlfn.XLOOKUP(_xlfn.XLOOKUP(B209,raw_customers!A:A,raw_customers!F:F),raw_branches!A:A,raw_branches!B:B)</f>
        <v>Sheki Branch</v>
      </c>
      <c r="G209" s="7">
        <v>7926.31</v>
      </c>
      <c r="H209" s="6">
        <v>11.89</v>
      </c>
      <c r="I209" t="s">
        <v>2383</v>
      </c>
      <c r="J209" t="str">
        <f t="shared" si="3"/>
        <v>Aşağı Risk</v>
      </c>
    </row>
    <row r="210" spans="1:10">
      <c r="A210">
        <v>84</v>
      </c>
      <c r="B210">
        <v>252</v>
      </c>
      <c r="C210" t="str">
        <f>_xlfn.XLOOKUP(B210,raw_customers!A:A,raw_customers!B:B)</f>
        <v>Nicat Həsənov</v>
      </c>
      <c r="D210" t="str">
        <f>_xlfn.XLOOKUP(C210,raw_customers!B:B,raw_customers!C:C)</f>
        <v>M</v>
      </c>
      <c r="E210" t="str">
        <f>_xlfn.XLOOKUP(C210,raw_customers!B:B,raw_customers!G:G)</f>
        <v>Retail</v>
      </c>
      <c r="F210" t="str">
        <f>_xlfn.XLOOKUP(_xlfn.XLOOKUP(B210,raw_customers!A:A,raw_customers!F:F),raw_branches!A:A,raw_branches!B:B)</f>
        <v>Mingachevir Branch</v>
      </c>
      <c r="G210" s="7">
        <v>6609.61</v>
      </c>
      <c r="H210" s="6">
        <v>12.92</v>
      </c>
      <c r="I210" t="s">
        <v>2393</v>
      </c>
      <c r="J210" t="str">
        <f t="shared" si="3"/>
        <v>Default (Batıq)</v>
      </c>
    </row>
    <row r="211" spans="1:10">
      <c r="A211">
        <v>85</v>
      </c>
      <c r="B211">
        <v>805</v>
      </c>
      <c r="C211" t="str">
        <f>_xlfn.XLOOKUP(B211,raw_customers!A:A,raw_customers!B:B)</f>
        <v>Vüqar Quliyev</v>
      </c>
      <c r="D211" t="str">
        <f>_xlfn.XLOOKUP(C211,raw_customers!B:B,raw_customers!C:C)</f>
        <v>M</v>
      </c>
      <c r="E211" t="str">
        <f>_xlfn.XLOOKUP(C211,raw_customers!B:B,raw_customers!G:G)</f>
        <v>SME</v>
      </c>
      <c r="F211" t="str">
        <f>_xlfn.XLOOKUP(_xlfn.XLOOKUP(B211,raw_customers!A:A,raw_customers!F:F),raw_branches!A:A,raw_branches!B:B)</f>
        <v>Mingachevir Branch</v>
      </c>
      <c r="G211" s="7">
        <v>53157.89</v>
      </c>
      <c r="H211" s="6">
        <v>9.41</v>
      </c>
      <c r="I211" t="s">
        <v>2377</v>
      </c>
      <c r="J211" t="str">
        <f t="shared" si="3"/>
        <v>Aşağı Risk</v>
      </c>
    </row>
    <row r="212" spans="1:10">
      <c r="A212">
        <v>86</v>
      </c>
      <c r="B212">
        <v>689</v>
      </c>
      <c r="C212" t="str">
        <f>_xlfn.XLOOKUP(B212,raw_customers!A:A,raw_customers!B:B)</f>
        <v>Günel Məmmədov</v>
      </c>
      <c r="D212" t="str">
        <f>_xlfn.XLOOKUP(C212,raw_customers!B:B,raw_customers!C:C)</f>
        <v>F</v>
      </c>
      <c r="E212" t="str">
        <f>_xlfn.XLOOKUP(C212,raw_customers!B:B,raw_customers!G:G)</f>
        <v>Retail</v>
      </c>
      <c r="F212" t="str">
        <f>_xlfn.XLOOKUP(_xlfn.XLOOKUP(B212,raw_customers!A:A,raw_customers!F:F),raw_branches!A:A,raw_branches!B:B)</f>
        <v>Sumgait Branch</v>
      </c>
      <c r="G212" s="7">
        <v>4722.03</v>
      </c>
      <c r="H212" s="6">
        <v>11.03</v>
      </c>
      <c r="I212" t="s">
        <v>2377</v>
      </c>
      <c r="J212" t="str">
        <f t="shared" si="3"/>
        <v>Aşağı Risk</v>
      </c>
    </row>
    <row r="213" spans="1:10">
      <c r="A213">
        <v>87</v>
      </c>
      <c r="B213">
        <v>880</v>
      </c>
      <c r="C213" t="str">
        <f>_xlfn.XLOOKUP(B213,raw_customers!A:A,raw_customers!B:B)</f>
        <v>Nigar Tağıyev</v>
      </c>
      <c r="D213" t="str">
        <f>_xlfn.XLOOKUP(C213,raw_customers!B:B,raw_customers!C:C)</f>
        <v>F</v>
      </c>
      <c r="E213" t="str">
        <f>_xlfn.XLOOKUP(C213,raw_customers!B:B,raw_customers!G:G)</f>
        <v>SME</v>
      </c>
      <c r="F213" t="str">
        <f>_xlfn.XLOOKUP(_xlfn.XLOOKUP(B213,raw_customers!A:A,raw_customers!F:F),raw_branches!A:A,raw_branches!B:B)</f>
        <v>Ganja Branch</v>
      </c>
      <c r="G213" s="7">
        <v>3916.14</v>
      </c>
      <c r="H213" s="6">
        <v>14.85</v>
      </c>
      <c r="I213" t="s">
        <v>2377</v>
      </c>
      <c r="J213" t="str">
        <f t="shared" si="3"/>
        <v>Orta Risk</v>
      </c>
    </row>
    <row r="214" spans="1:10">
      <c r="A214">
        <v>88</v>
      </c>
      <c r="B214">
        <v>304</v>
      </c>
      <c r="C214" t="str">
        <f>_xlfn.XLOOKUP(B214,raw_customers!A:A,raw_customers!B:B)</f>
        <v>Emin Musayev</v>
      </c>
      <c r="D214" t="str">
        <f>_xlfn.XLOOKUP(C214,raw_customers!B:B,raw_customers!C:C)</f>
        <v>M</v>
      </c>
      <c r="E214" t="str">
        <f>_xlfn.XLOOKUP(C214,raw_customers!B:B,raw_customers!G:G)</f>
        <v>Premium</v>
      </c>
      <c r="F214" t="str">
        <f>_xlfn.XLOOKUP(_xlfn.XLOOKUP(B214,raw_customers!A:A,raw_customers!F:F),raw_branches!A:A,raw_branches!B:B)</f>
        <v>Baku Central</v>
      </c>
      <c r="G214" s="7">
        <v>102199.06</v>
      </c>
      <c r="H214" s="6">
        <v>19.59</v>
      </c>
      <c r="I214" t="s">
        <v>2377</v>
      </c>
      <c r="J214" t="str">
        <f t="shared" si="3"/>
        <v>Yüksək Risk</v>
      </c>
    </row>
    <row r="215" spans="1:10">
      <c r="A215">
        <v>89</v>
      </c>
      <c r="B215">
        <v>762</v>
      </c>
      <c r="C215" t="str">
        <f>_xlfn.XLOOKUP(B215,raw_customers!A:A,raw_customers!B:B)</f>
        <v>Tural Rzayev</v>
      </c>
      <c r="D215" t="str">
        <f>_xlfn.XLOOKUP(C215,raw_customers!B:B,raw_customers!C:C)</f>
        <v>M</v>
      </c>
      <c r="E215" t="str">
        <f>_xlfn.XLOOKUP(C215,raw_customers!B:B,raw_customers!G:G)</f>
        <v>Retail</v>
      </c>
      <c r="F215" t="str">
        <f>_xlfn.XLOOKUP(_xlfn.XLOOKUP(B215,raw_customers!A:A,raw_customers!F:F),raw_branches!A:A,raw_branches!B:B)</f>
        <v>Mingachevir Branch</v>
      </c>
      <c r="G215" s="7">
        <v>26787.07</v>
      </c>
      <c r="H215" s="6">
        <v>15.31</v>
      </c>
      <c r="I215" t="s">
        <v>2377</v>
      </c>
      <c r="J215" t="str">
        <f t="shared" si="3"/>
        <v>Orta Risk</v>
      </c>
    </row>
    <row r="216" spans="1:10">
      <c r="A216">
        <v>90</v>
      </c>
      <c r="B216">
        <v>52</v>
      </c>
      <c r="C216" t="str">
        <f>_xlfn.XLOOKUP(B216,raw_customers!A:A,raw_customers!B:B)</f>
        <v>Nigar İsmayılov</v>
      </c>
      <c r="D216" t="str">
        <f>_xlfn.XLOOKUP(C216,raw_customers!B:B,raw_customers!C:C)</f>
        <v>F</v>
      </c>
      <c r="E216" t="str">
        <f>_xlfn.XLOOKUP(C216,raw_customers!B:B,raw_customers!G:G)</f>
        <v>Retail</v>
      </c>
      <c r="F216" t="str">
        <f>_xlfn.XLOOKUP(_xlfn.XLOOKUP(B216,raw_customers!A:A,raw_customers!F:F),raw_branches!A:A,raw_branches!B:B)</f>
        <v>Sumgait Branch</v>
      </c>
      <c r="G216" s="7">
        <v>69733.69</v>
      </c>
      <c r="H216" s="6">
        <v>7.26</v>
      </c>
      <c r="I216" t="s">
        <v>2377</v>
      </c>
      <c r="J216" t="str">
        <f t="shared" si="3"/>
        <v>Aşağı Risk</v>
      </c>
    </row>
    <row r="217" spans="1:10">
      <c r="A217">
        <v>91</v>
      </c>
      <c r="B217">
        <v>761</v>
      </c>
      <c r="C217" t="str">
        <f>_xlfn.XLOOKUP(B217,raw_customers!A:A,raw_customers!B:B)</f>
        <v>Röya Bağırov</v>
      </c>
      <c r="D217" t="str">
        <f>_xlfn.XLOOKUP(C217,raw_customers!B:B,raw_customers!C:C)</f>
        <v>F</v>
      </c>
      <c r="E217" t="str">
        <f>_xlfn.XLOOKUP(C217,raw_customers!B:B,raw_customers!G:G)</f>
        <v>Retail</v>
      </c>
      <c r="F217" t="str">
        <f>_xlfn.XLOOKUP(_xlfn.XLOOKUP(B217,raw_customers!A:A,raw_customers!F:F),raw_branches!A:A,raw_branches!B:B)</f>
        <v>Mingachevir Branch</v>
      </c>
      <c r="G217" s="7">
        <v>25875.72</v>
      </c>
      <c r="H217" s="6">
        <v>15.14</v>
      </c>
      <c r="I217" t="s">
        <v>2377</v>
      </c>
      <c r="J217" t="str">
        <f t="shared" si="3"/>
        <v>Orta Risk</v>
      </c>
    </row>
    <row r="218" spans="1:10">
      <c r="A218">
        <v>92</v>
      </c>
      <c r="B218">
        <v>604</v>
      </c>
      <c r="C218" t="str">
        <f>_xlfn.XLOOKUP(B218,raw_customers!A:A,raw_customers!B:B)</f>
        <v>Nərmin Kərimov</v>
      </c>
      <c r="D218" t="str">
        <f>_xlfn.XLOOKUP(C218,raw_customers!B:B,raw_customers!C:C)</f>
        <v>F</v>
      </c>
      <c r="E218" t="str">
        <f>_xlfn.XLOOKUP(C218,raw_customers!B:B,raw_customers!G:G)</f>
        <v>Retail</v>
      </c>
      <c r="F218" t="str">
        <f>_xlfn.XLOOKUP(_xlfn.XLOOKUP(B218,raw_customers!A:A,raw_customers!F:F),raw_branches!A:A,raw_branches!B:B)</f>
        <v>Ganja Branch</v>
      </c>
      <c r="G218" s="7">
        <v>35314.08</v>
      </c>
      <c r="H218" s="6">
        <v>14.19</v>
      </c>
      <c r="I218" t="s">
        <v>2377</v>
      </c>
      <c r="J218" t="str">
        <f t="shared" si="3"/>
        <v>Orta Risk</v>
      </c>
    </row>
    <row r="219" spans="1:10">
      <c r="A219">
        <v>93</v>
      </c>
      <c r="B219">
        <v>497</v>
      </c>
      <c r="C219" t="str">
        <f>_xlfn.XLOOKUP(B219,raw_customers!A:A,raw_customers!B:B)</f>
        <v>Fuad Tağıyev</v>
      </c>
      <c r="D219" t="str">
        <f>_xlfn.XLOOKUP(C219,raw_customers!B:B,raw_customers!C:C)</f>
        <v>M</v>
      </c>
      <c r="E219" t="str">
        <f>_xlfn.XLOOKUP(C219,raw_customers!B:B,raw_customers!G:G)</f>
        <v>Retail</v>
      </c>
      <c r="F219" t="str">
        <f>_xlfn.XLOOKUP(_xlfn.XLOOKUP(B219,raw_customers!A:A,raw_customers!F:F),raw_branches!A:A,raw_branches!B:B)</f>
        <v>Sheki Branch</v>
      </c>
      <c r="G219" s="7">
        <v>14455.59</v>
      </c>
      <c r="H219" s="6">
        <v>11.06</v>
      </c>
      <c r="I219" t="s">
        <v>2383</v>
      </c>
      <c r="J219" t="str">
        <f t="shared" si="3"/>
        <v>Aşağı Risk</v>
      </c>
    </row>
    <row r="220" spans="1:10">
      <c r="A220">
        <v>94</v>
      </c>
      <c r="B220">
        <v>954</v>
      </c>
      <c r="C220" t="str">
        <f>_xlfn.XLOOKUP(B220,raw_customers!A:A,raw_customers!B:B)</f>
        <v>Tural Kərimov</v>
      </c>
      <c r="D220" t="str">
        <f>_xlfn.XLOOKUP(C220,raw_customers!B:B,raw_customers!C:C)</f>
        <v>M</v>
      </c>
      <c r="E220" t="str">
        <f>_xlfn.XLOOKUP(C220,raw_customers!B:B,raw_customers!G:G)</f>
        <v>Retail</v>
      </c>
      <c r="F220" t="str">
        <f>_xlfn.XLOOKUP(_xlfn.XLOOKUP(B220,raw_customers!A:A,raw_customers!F:F),raw_branches!A:A,raw_branches!B:B)</f>
        <v>Mingachevir Branch</v>
      </c>
      <c r="G220" s="7">
        <v>16655.1</v>
      </c>
      <c r="H220" s="6">
        <v>5.67</v>
      </c>
      <c r="I220" t="s">
        <v>2377</v>
      </c>
      <c r="J220" t="str">
        <f t="shared" si="3"/>
        <v>Aşağı Risk</v>
      </c>
    </row>
    <row r="221" spans="1:10">
      <c r="A221">
        <v>95</v>
      </c>
      <c r="B221">
        <v>885</v>
      </c>
      <c r="C221" t="str">
        <f>_xlfn.XLOOKUP(B221,raw_customers!A:A,raw_customers!B:B)</f>
        <v>Zaur Əzizov</v>
      </c>
      <c r="D221" t="str">
        <f>_xlfn.XLOOKUP(C221,raw_customers!B:B,raw_customers!C:C)</f>
        <v>M</v>
      </c>
      <c r="E221" t="str">
        <f>_xlfn.XLOOKUP(C221,raw_customers!B:B,raw_customers!G:G)</f>
        <v>Retail</v>
      </c>
      <c r="F221" t="str">
        <f>_xlfn.XLOOKUP(_xlfn.XLOOKUP(B221,raw_customers!A:A,raw_customers!F:F),raw_branches!A:A,raw_branches!B:B)</f>
        <v>Ganja Branch</v>
      </c>
      <c r="G221" s="7">
        <v>102733.64</v>
      </c>
      <c r="H221" s="6">
        <v>12.92</v>
      </c>
      <c r="I221" t="s">
        <v>2377</v>
      </c>
      <c r="J221" t="str">
        <f t="shared" si="3"/>
        <v>Orta Risk</v>
      </c>
    </row>
    <row r="222" spans="1:10">
      <c r="A222">
        <v>96</v>
      </c>
      <c r="B222">
        <v>436</v>
      </c>
      <c r="C222" t="str">
        <f>_xlfn.XLOOKUP(B222,raw_customers!A:A,raw_customers!B:B)</f>
        <v>Fidan Rzayev</v>
      </c>
      <c r="D222" t="str">
        <f>_xlfn.XLOOKUP(C222,raw_customers!B:B,raw_customers!C:C)</f>
        <v>F</v>
      </c>
      <c r="E222" t="str">
        <f>_xlfn.XLOOKUP(C222,raw_customers!B:B,raw_customers!G:G)</f>
        <v>Retail</v>
      </c>
      <c r="F222" t="str">
        <f>_xlfn.XLOOKUP(_xlfn.XLOOKUP(B222,raw_customers!A:A,raw_customers!F:F),raw_branches!A:A,raw_branches!B:B)</f>
        <v>Baku Yasamal</v>
      </c>
      <c r="G222" s="7">
        <v>45299.68</v>
      </c>
      <c r="H222" s="6">
        <v>9.25</v>
      </c>
      <c r="I222" t="s">
        <v>2377</v>
      </c>
      <c r="J222" t="str">
        <f t="shared" si="3"/>
        <v>Aşağı Risk</v>
      </c>
    </row>
    <row r="223" spans="1:10">
      <c r="A223">
        <v>97</v>
      </c>
      <c r="B223">
        <v>549</v>
      </c>
      <c r="C223" t="str">
        <f>_xlfn.XLOOKUP(B223,raw_customers!A:A,raw_customers!B:B)</f>
        <v>Sevinc Sadıqov</v>
      </c>
      <c r="D223" t="str">
        <f>_xlfn.XLOOKUP(C223,raw_customers!B:B,raw_customers!C:C)</f>
        <v>F</v>
      </c>
      <c r="E223" t="str">
        <f>_xlfn.XLOOKUP(C223,raw_customers!B:B,raw_customers!G:G)</f>
        <v>Premium</v>
      </c>
      <c r="F223" t="str">
        <f>_xlfn.XLOOKUP(_xlfn.XLOOKUP(B223,raw_customers!A:A,raw_customers!F:F),raw_branches!A:A,raw_branches!B:B)</f>
        <v>Sumgait Branch</v>
      </c>
      <c r="G223" s="7">
        <v>2297.4</v>
      </c>
      <c r="H223" s="6">
        <v>13.32</v>
      </c>
      <c r="I223" t="s">
        <v>2383</v>
      </c>
      <c r="J223" t="str">
        <f t="shared" si="3"/>
        <v>Orta Risk</v>
      </c>
    </row>
    <row r="224" spans="1:10">
      <c r="A224">
        <v>98</v>
      </c>
      <c r="B224">
        <v>442</v>
      </c>
      <c r="C224" t="str">
        <f>_xlfn.XLOOKUP(B224,raw_customers!A:A,raw_customers!B:B)</f>
        <v>Nicat Məmmədov</v>
      </c>
      <c r="D224" t="str">
        <f>_xlfn.XLOOKUP(C224,raw_customers!B:B,raw_customers!C:C)</f>
        <v>M</v>
      </c>
      <c r="E224" t="str">
        <f>_xlfn.XLOOKUP(C224,raw_customers!B:B,raw_customers!G:G)</f>
        <v>Retail</v>
      </c>
      <c r="F224" t="str">
        <f>_xlfn.XLOOKUP(_xlfn.XLOOKUP(B224,raw_customers!A:A,raw_customers!F:F),raw_branches!A:A,raw_branches!B:B)</f>
        <v>Ganja Branch</v>
      </c>
      <c r="G224" s="7">
        <v>58804.08</v>
      </c>
      <c r="H224" s="6">
        <v>5.8</v>
      </c>
      <c r="I224" t="s">
        <v>2377</v>
      </c>
      <c r="J224" t="str">
        <f t="shared" si="3"/>
        <v>Aşağı Risk</v>
      </c>
    </row>
    <row r="225" spans="1:10">
      <c r="A225">
        <v>99</v>
      </c>
      <c r="B225">
        <v>773</v>
      </c>
      <c r="C225" t="str">
        <f>_xlfn.XLOOKUP(B225,raw_customers!A:A,raw_customers!B:B)</f>
        <v>Ceyhun Rəhimov</v>
      </c>
      <c r="D225" t="str">
        <f>_xlfn.XLOOKUP(C225,raw_customers!B:B,raw_customers!C:C)</f>
        <v>M</v>
      </c>
      <c r="E225" t="str">
        <f>_xlfn.XLOOKUP(C225,raw_customers!B:B,raw_customers!G:G)</f>
        <v>Retail</v>
      </c>
      <c r="F225" t="str">
        <f>_xlfn.XLOOKUP(_xlfn.XLOOKUP(B225,raw_customers!A:A,raw_customers!F:F),raw_branches!A:A,raw_branches!B:B)</f>
        <v>Lankaran Branch</v>
      </c>
      <c r="G225" s="7">
        <v>37777.63</v>
      </c>
      <c r="H225" s="6">
        <v>16.55</v>
      </c>
      <c r="I225" t="s">
        <v>2393</v>
      </c>
      <c r="J225" t="str">
        <f t="shared" si="3"/>
        <v>Default (Batıq)</v>
      </c>
    </row>
    <row r="226" spans="1:10">
      <c r="A226">
        <v>100</v>
      </c>
      <c r="B226">
        <v>126</v>
      </c>
      <c r="C226" t="str">
        <f>_xlfn.XLOOKUP(B226,raw_customers!A:A,raw_customers!B:B)</f>
        <v>Səbinə Vəliyev</v>
      </c>
      <c r="D226" t="str">
        <f>_xlfn.XLOOKUP(C226,raw_customers!B:B,raw_customers!C:C)</f>
        <v>F</v>
      </c>
      <c r="E226" t="str">
        <f>_xlfn.XLOOKUP(C226,raw_customers!B:B,raw_customers!G:G)</f>
        <v>Retail</v>
      </c>
      <c r="F226" t="str">
        <f>_xlfn.XLOOKUP(_xlfn.XLOOKUP(B226,raw_customers!A:A,raw_customers!F:F),raw_branches!A:A,raw_branches!B:B)</f>
        <v>Sheki Branch</v>
      </c>
      <c r="G226" s="7">
        <v>34239.05</v>
      </c>
      <c r="H226" s="6">
        <v>20.06</v>
      </c>
      <c r="I226" t="s">
        <v>2377</v>
      </c>
      <c r="J226" t="str">
        <f t="shared" si="3"/>
        <v>Yüksək Risk</v>
      </c>
    </row>
    <row r="227" spans="1:10">
      <c r="A227">
        <v>101</v>
      </c>
      <c r="B227">
        <v>503</v>
      </c>
      <c r="C227" t="str">
        <f>_xlfn.XLOOKUP(B227,raw_customers!A:A,raw_customers!B:B)</f>
        <v>Elvin Kərimov</v>
      </c>
      <c r="D227" t="str">
        <f>_xlfn.XLOOKUP(C227,raw_customers!B:B,raw_customers!C:C)</f>
        <v>M</v>
      </c>
      <c r="E227" t="str">
        <f>_xlfn.XLOOKUP(C227,raw_customers!B:B,raw_customers!G:G)</f>
        <v>Premium</v>
      </c>
      <c r="F227" t="str">
        <f>_xlfn.XLOOKUP(_xlfn.XLOOKUP(B227,raw_customers!A:A,raw_customers!F:F),raw_branches!A:A,raw_branches!B:B)</f>
        <v>Mingachevir Branch</v>
      </c>
      <c r="G227" s="7">
        <v>104471.53</v>
      </c>
      <c r="H227" s="6">
        <v>13.99</v>
      </c>
      <c r="I227" t="s">
        <v>2393</v>
      </c>
      <c r="J227" t="str">
        <f t="shared" si="3"/>
        <v>Default (Batıq)</v>
      </c>
    </row>
    <row r="228" spans="1:10">
      <c r="A228">
        <v>102</v>
      </c>
      <c r="B228">
        <v>48</v>
      </c>
      <c r="C228" t="str">
        <f>_xlfn.XLOOKUP(B228,raw_customers!A:A,raw_customers!B:B)</f>
        <v>Kamran Orucov</v>
      </c>
      <c r="D228" t="str">
        <f>_xlfn.XLOOKUP(C228,raw_customers!B:B,raw_customers!C:C)</f>
        <v>M</v>
      </c>
      <c r="E228" t="str">
        <f>_xlfn.XLOOKUP(C228,raw_customers!B:B,raw_customers!G:G)</f>
        <v>Retail</v>
      </c>
      <c r="F228" t="str">
        <f>_xlfn.XLOOKUP(_xlfn.XLOOKUP(B228,raw_customers!A:A,raw_customers!F:F),raw_branches!A:A,raw_branches!B:B)</f>
        <v>Mingachevir Branch</v>
      </c>
      <c r="G228" s="7">
        <v>96205.98</v>
      </c>
      <c r="H228" s="6">
        <v>9.11</v>
      </c>
      <c r="I228" t="s">
        <v>2377</v>
      </c>
      <c r="J228" t="str">
        <f t="shared" si="3"/>
        <v>Aşağı Risk</v>
      </c>
    </row>
    <row r="229" spans="1:10">
      <c r="A229">
        <v>103</v>
      </c>
      <c r="B229">
        <v>175</v>
      </c>
      <c r="C229" t="str">
        <f>_xlfn.XLOOKUP(B229,raw_customers!A:A,raw_customers!B:B)</f>
        <v>Ceyhun Həsənov</v>
      </c>
      <c r="D229" t="str">
        <f>_xlfn.XLOOKUP(C229,raw_customers!B:B,raw_customers!C:C)</f>
        <v>M</v>
      </c>
      <c r="E229" t="str">
        <f>_xlfn.XLOOKUP(C229,raw_customers!B:B,raw_customers!G:G)</f>
        <v>Retail</v>
      </c>
      <c r="F229" t="str">
        <f>_xlfn.XLOOKUP(_xlfn.XLOOKUP(B229,raw_customers!A:A,raw_customers!F:F),raw_branches!A:A,raw_branches!B:B)</f>
        <v>Baku Yasamal</v>
      </c>
      <c r="G229" s="7">
        <v>2189.23</v>
      </c>
      <c r="H229" s="6">
        <v>15.32</v>
      </c>
      <c r="I229" t="s">
        <v>2377</v>
      </c>
      <c r="J229" t="str">
        <f t="shared" si="3"/>
        <v>Orta Risk</v>
      </c>
    </row>
    <row r="230" spans="1:10">
      <c r="A230">
        <v>104</v>
      </c>
      <c r="B230">
        <v>883</v>
      </c>
      <c r="C230" t="str">
        <f>_xlfn.XLOOKUP(B230,raw_customers!A:A,raw_customers!B:B)</f>
        <v>Anar Əliyev</v>
      </c>
      <c r="D230" t="str">
        <f>_xlfn.XLOOKUP(C230,raw_customers!B:B,raw_customers!C:C)</f>
        <v>M</v>
      </c>
      <c r="E230" t="str">
        <f>_xlfn.XLOOKUP(C230,raw_customers!B:B,raw_customers!G:G)</f>
        <v>Retail</v>
      </c>
      <c r="F230" t="str">
        <f>_xlfn.XLOOKUP(_xlfn.XLOOKUP(B230,raw_customers!A:A,raw_customers!F:F),raw_branches!A:A,raw_branches!B:B)</f>
        <v>Baku Yasamal</v>
      </c>
      <c r="G230" s="7">
        <v>13239.84</v>
      </c>
      <c r="H230" s="6">
        <v>10.65</v>
      </c>
      <c r="I230" t="s">
        <v>2377</v>
      </c>
      <c r="J230" t="str">
        <f t="shared" si="3"/>
        <v>Aşağı Risk</v>
      </c>
    </row>
    <row r="231" spans="1:10">
      <c r="A231">
        <v>105</v>
      </c>
      <c r="B231">
        <v>235</v>
      </c>
      <c r="C231" t="str">
        <f>_xlfn.XLOOKUP(B231,raw_customers!A:A,raw_customers!B:B)</f>
        <v>Səbinə Rəhimov</v>
      </c>
      <c r="D231" t="str">
        <f>_xlfn.XLOOKUP(C231,raw_customers!B:B,raw_customers!C:C)</f>
        <v>F</v>
      </c>
      <c r="E231" t="str">
        <f>_xlfn.XLOOKUP(C231,raw_customers!B:B,raw_customers!G:G)</f>
        <v>Premium</v>
      </c>
      <c r="F231" t="str">
        <f>_xlfn.XLOOKUP(_xlfn.XLOOKUP(B231,raw_customers!A:A,raw_customers!F:F),raw_branches!A:A,raw_branches!B:B)</f>
        <v>Baku Yasamal</v>
      </c>
      <c r="G231" s="7">
        <v>34742.13</v>
      </c>
      <c r="H231" s="6">
        <v>9.97</v>
      </c>
      <c r="I231" t="s">
        <v>2377</v>
      </c>
      <c r="J231" t="str">
        <f t="shared" si="3"/>
        <v>Aşağı Risk</v>
      </c>
    </row>
    <row r="232" spans="1:10">
      <c r="A232">
        <v>106</v>
      </c>
      <c r="B232">
        <v>935</v>
      </c>
      <c r="C232" t="str">
        <f>_xlfn.XLOOKUP(B232,raw_customers!A:A,raw_customers!B:B)</f>
        <v>Rüfət Sadıqov</v>
      </c>
      <c r="D232" t="str">
        <f>_xlfn.XLOOKUP(C232,raw_customers!B:B,raw_customers!C:C)</f>
        <v>M</v>
      </c>
      <c r="E232" t="str">
        <f>_xlfn.XLOOKUP(C232,raw_customers!B:B,raw_customers!G:G)</f>
        <v>SME</v>
      </c>
      <c r="F232" t="str">
        <f>_xlfn.XLOOKUP(_xlfn.XLOOKUP(B232,raw_customers!A:A,raw_customers!F:F),raw_branches!A:A,raw_branches!B:B)</f>
        <v>Baku Central</v>
      </c>
      <c r="G232" s="7">
        <v>36652.31</v>
      </c>
      <c r="H232" s="6">
        <v>19.46</v>
      </c>
      <c r="I232" t="s">
        <v>2377</v>
      </c>
      <c r="J232" t="str">
        <f t="shared" si="3"/>
        <v>Yüksək Risk</v>
      </c>
    </row>
    <row r="233" spans="1:10">
      <c r="A233">
        <v>107</v>
      </c>
      <c r="B233">
        <v>309</v>
      </c>
      <c r="C233" t="str">
        <f>_xlfn.XLOOKUP(B233,raw_customers!A:A,raw_customers!B:B)</f>
        <v>Orxan Məmmədov</v>
      </c>
      <c r="D233" t="str">
        <f>_xlfn.XLOOKUP(C233,raw_customers!B:B,raw_customers!C:C)</f>
        <v>M</v>
      </c>
      <c r="E233" t="str">
        <f>_xlfn.XLOOKUP(C233,raw_customers!B:B,raw_customers!G:G)</f>
        <v>Retail</v>
      </c>
      <c r="F233" t="str">
        <f>_xlfn.XLOOKUP(_xlfn.XLOOKUP(B233,raw_customers!A:A,raw_customers!F:F),raw_branches!A:A,raw_branches!B:B)</f>
        <v>Ganja Branch</v>
      </c>
      <c r="G233" s="7">
        <v>3175.68</v>
      </c>
      <c r="H233" s="6">
        <v>8.97</v>
      </c>
      <c r="I233" t="s">
        <v>2393</v>
      </c>
      <c r="J233" t="str">
        <f t="shared" si="3"/>
        <v>Default (Batıq)</v>
      </c>
    </row>
    <row r="234" spans="1:10">
      <c r="A234">
        <v>108</v>
      </c>
      <c r="B234">
        <v>561</v>
      </c>
      <c r="C234" t="str">
        <f>_xlfn.XLOOKUP(B234,raw_customers!A:A,raw_customers!B:B)</f>
        <v>Sevinc Həsənov</v>
      </c>
      <c r="D234" t="str">
        <f>_xlfn.XLOOKUP(C234,raw_customers!B:B,raw_customers!C:C)</f>
        <v>F</v>
      </c>
      <c r="E234" t="str">
        <f>_xlfn.XLOOKUP(C234,raw_customers!B:B,raw_customers!G:G)</f>
        <v>SME</v>
      </c>
      <c r="F234" t="str">
        <f>_xlfn.XLOOKUP(_xlfn.XLOOKUP(B234,raw_customers!A:A,raw_customers!F:F),raw_branches!A:A,raw_branches!B:B)</f>
        <v>Baku Central</v>
      </c>
      <c r="G234" s="7">
        <v>31459.97</v>
      </c>
      <c r="H234" s="6">
        <v>7.65</v>
      </c>
      <c r="I234" t="s">
        <v>2377</v>
      </c>
      <c r="J234" t="str">
        <f t="shared" si="3"/>
        <v>Aşağı Risk</v>
      </c>
    </row>
    <row r="235" spans="1:10">
      <c r="A235">
        <v>109</v>
      </c>
      <c r="B235">
        <v>617</v>
      </c>
      <c r="C235" t="str">
        <f>_xlfn.XLOOKUP(B235,raw_customers!A:A,raw_customers!B:B)</f>
        <v>Vəfa Orucov</v>
      </c>
      <c r="D235" t="str">
        <f>_xlfn.XLOOKUP(C235,raw_customers!B:B,raw_customers!C:C)</f>
        <v>F</v>
      </c>
      <c r="E235" t="str">
        <f>_xlfn.XLOOKUP(C235,raw_customers!B:B,raw_customers!G:G)</f>
        <v>SME</v>
      </c>
      <c r="F235" t="str">
        <f>_xlfn.XLOOKUP(_xlfn.XLOOKUP(B235,raw_customers!A:A,raw_customers!F:F),raw_branches!A:A,raw_branches!B:B)</f>
        <v>Sumgait Branch</v>
      </c>
      <c r="G235" s="7">
        <v>123212.38</v>
      </c>
      <c r="H235" s="6">
        <v>6.51</v>
      </c>
      <c r="I235" t="s">
        <v>2377</v>
      </c>
      <c r="J235" t="str">
        <f t="shared" si="3"/>
        <v>Aşağı Risk</v>
      </c>
    </row>
    <row r="236" spans="1:10">
      <c r="A236">
        <v>110</v>
      </c>
      <c r="B236">
        <v>74</v>
      </c>
      <c r="C236" t="str">
        <f>_xlfn.XLOOKUP(B236,raw_customers!A:A,raw_customers!B:B)</f>
        <v>Aysel Sadıqov</v>
      </c>
      <c r="D236" t="str">
        <f>_xlfn.XLOOKUP(C236,raw_customers!B:B,raw_customers!C:C)</f>
        <v>F</v>
      </c>
      <c r="E236" t="str">
        <f>_xlfn.XLOOKUP(C236,raw_customers!B:B,raw_customers!G:G)</f>
        <v>Retail</v>
      </c>
      <c r="F236" t="str">
        <f>_xlfn.XLOOKUP(_xlfn.XLOOKUP(B236,raw_customers!A:A,raw_customers!F:F),raw_branches!A:A,raw_branches!B:B)</f>
        <v>Sumgait Branch</v>
      </c>
      <c r="G236" s="7">
        <v>22661.6</v>
      </c>
      <c r="H236" s="6">
        <v>7.04</v>
      </c>
      <c r="I236" t="s">
        <v>2377</v>
      </c>
      <c r="J236" t="str">
        <f t="shared" si="3"/>
        <v>Aşağı Risk</v>
      </c>
    </row>
    <row r="237" spans="1:10">
      <c r="A237">
        <v>111</v>
      </c>
      <c r="B237">
        <v>156</v>
      </c>
      <c r="C237" t="str">
        <f>_xlfn.XLOOKUP(B237,raw_customers!A:A,raw_customers!B:B)</f>
        <v>Nərmin Məmmədov</v>
      </c>
      <c r="D237" t="str">
        <f>_xlfn.XLOOKUP(C237,raw_customers!B:B,raw_customers!C:C)</f>
        <v>F</v>
      </c>
      <c r="E237" t="str">
        <f>_xlfn.XLOOKUP(C237,raw_customers!B:B,raw_customers!G:G)</f>
        <v>Premium</v>
      </c>
      <c r="F237" t="str">
        <f>_xlfn.XLOOKUP(_xlfn.XLOOKUP(B237,raw_customers!A:A,raw_customers!F:F),raw_branches!A:A,raw_branches!B:B)</f>
        <v>Sheki Branch</v>
      </c>
      <c r="G237" s="7">
        <v>26116.38</v>
      </c>
      <c r="H237" s="6">
        <v>6.16</v>
      </c>
      <c r="I237" t="s">
        <v>2383</v>
      </c>
      <c r="J237" t="str">
        <f t="shared" si="3"/>
        <v>Aşağı Risk</v>
      </c>
    </row>
    <row r="238" spans="1:10">
      <c r="A238">
        <v>112</v>
      </c>
      <c r="B238">
        <v>660</v>
      </c>
      <c r="C238" t="str">
        <f>_xlfn.XLOOKUP(B238,raw_customers!A:A,raw_customers!B:B)</f>
        <v>Leyla Abbasov</v>
      </c>
      <c r="D238" t="str">
        <f>_xlfn.XLOOKUP(C238,raw_customers!B:B,raw_customers!C:C)</f>
        <v>F</v>
      </c>
      <c r="E238" t="str">
        <f>_xlfn.XLOOKUP(C238,raw_customers!B:B,raw_customers!G:G)</f>
        <v>Retail</v>
      </c>
      <c r="F238" t="str">
        <f>_xlfn.XLOOKUP(_xlfn.XLOOKUP(B238,raw_customers!A:A,raw_customers!F:F),raw_branches!A:A,raw_branches!B:B)</f>
        <v>Lankaran Branch</v>
      </c>
      <c r="G238" s="7">
        <v>7126.61</v>
      </c>
      <c r="H238" s="6">
        <v>15.98</v>
      </c>
      <c r="I238" t="s">
        <v>2377</v>
      </c>
      <c r="J238" t="str">
        <f t="shared" si="3"/>
        <v>Orta Risk</v>
      </c>
    </row>
    <row r="239" spans="1:10">
      <c r="A239">
        <v>113</v>
      </c>
      <c r="B239">
        <v>589</v>
      </c>
      <c r="C239" t="str">
        <f>_xlfn.XLOOKUP(B239,raw_customers!A:A,raw_customers!B:B)</f>
        <v>Fidan Vəliyev</v>
      </c>
      <c r="D239" t="str">
        <f>_xlfn.XLOOKUP(C239,raw_customers!B:B,raw_customers!C:C)</f>
        <v>F</v>
      </c>
      <c r="E239" t="str">
        <f>_xlfn.XLOOKUP(C239,raw_customers!B:B,raw_customers!G:G)</f>
        <v>SME</v>
      </c>
      <c r="F239" t="str">
        <f>_xlfn.XLOOKUP(_xlfn.XLOOKUP(B239,raw_customers!A:A,raw_customers!F:F),raw_branches!A:A,raw_branches!B:B)</f>
        <v>Baku Central</v>
      </c>
      <c r="G239" s="7">
        <v>22591.65</v>
      </c>
      <c r="H239" s="6">
        <v>19.85</v>
      </c>
      <c r="I239" t="s">
        <v>2377</v>
      </c>
      <c r="J239" t="str">
        <f t="shared" si="3"/>
        <v>Yüksək Risk</v>
      </c>
    </row>
    <row r="240" spans="1:10">
      <c r="A240">
        <v>114</v>
      </c>
      <c r="B240">
        <v>71</v>
      </c>
      <c r="C240" t="str">
        <f>_xlfn.XLOOKUP(B240,raw_customers!A:A,raw_customers!B:B)</f>
        <v>Emin Orucov</v>
      </c>
      <c r="D240" t="str">
        <f>_xlfn.XLOOKUP(C240,raw_customers!B:B,raw_customers!C:C)</f>
        <v>M</v>
      </c>
      <c r="E240" t="str">
        <f>_xlfn.XLOOKUP(C240,raw_customers!B:B,raw_customers!G:G)</f>
        <v>Premium</v>
      </c>
      <c r="F240" t="str">
        <f>_xlfn.XLOOKUP(_xlfn.XLOOKUP(B240,raw_customers!A:A,raw_customers!F:F),raw_branches!A:A,raw_branches!B:B)</f>
        <v>Ganja Branch</v>
      </c>
      <c r="G240" s="7">
        <v>143693.34</v>
      </c>
      <c r="H240" s="6">
        <v>5.36</v>
      </c>
      <c r="I240" t="s">
        <v>2377</v>
      </c>
      <c r="J240" t="str">
        <f t="shared" si="3"/>
        <v>Aşağı Risk</v>
      </c>
    </row>
    <row r="241" spans="1:10">
      <c r="A241">
        <v>115</v>
      </c>
      <c r="B241">
        <v>81</v>
      </c>
      <c r="C241" t="str">
        <f>_xlfn.XLOOKUP(B241,raw_customers!A:A,raw_customers!B:B)</f>
        <v>Zaur Əzizov</v>
      </c>
      <c r="D241" t="str">
        <f>_xlfn.XLOOKUP(C241,raw_customers!B:B,raw_customers!C:C)</f>
        <v>M</v>
      </c>
      <c r="E241" t="str">
        <f>_xlfn.XLOOKUP(C241,raw_customers!B:B,raw_customers!G:G)</f>
        <v>Retail</v>
      </c>
      <c r="F241" t="str">
        <f>_xlfn.XLOOKUP(_xlfn.XLOOKUP(B241,raw_customers!A:A,raw_customers!F:F),raw_branches!A:A,raw_branches!B:B)</f>
        <v>Sumgait Branch</v>
      </c>
      <c r="G241" s="7">
        <v>30299.47</v>
      </c>
      <c r="H241" s="6">
        <v>13.6</v>
      </c>
      <c r="I241" t="s">
        <v>2377</v>
      </c>
      <c r="J241" t="str">
        <f t="shared" si="3"/>
        <v>Orta Risk</v>
      </c>
    </row>
    <row r="242" spans="1:10">
      <c r="A242">
        <v>116</v>
      </c>
      <c r="B242">
        <v>926</v>
      </c>
      <c r="C242" t="str">
        <f>_xlfn.XLOOKUP(B242,raw_customers!A:A,raw_customers!B:B)</f>
        <v>Səbinə Nəbiyev</v>
      </c>
      <c r="D242" t="str">
        <f>_xlfn.XLOOKUP(C242,raw_customers!B:B,raw_customers!C:C)</f>
        <v>F</v>
      </c>
      <c r="E242" t="str">
        <f>_xlfn.XLOOKUP(C242,raw_customers!B:B,raw_customers!G:G)</f>
        <v>Retail</v>
      </c>
      <c r="F242" t="str">
        <f>_xlfn.XLOOKUP(_xlfn.XLOOKUP(B242,raw_customers!A:A,raw_customers!F:F),raw_branches!A:A,raw_branches!B:B)</f>
        <v>Baku Central</v>
      </c>
      <c r="G242" s="7">
        <v>7479.1</v>
      </c>
      <c r="H242" s="6">
        <v>10.9</v>
      </c>
      <c r="I242" t="s">
        <v>2377</v>
      </c>
      <c r="J242" t="str">
        <f t="shared" si="3"/>
        <v>Aşağı Risk</v>
      </c>
    </row>
    <row r="243" spans="1:10">
      <c r="A243">
        <v>117</v>
      </c>
      <c r="B243">
        <v>878</v>
      </c>
      <c r="C243" t="str">
        <f>_xlfn.XLOOKUP(B243,raw_customers!A:A,raw_customers!B:B)</f>
        <v>Anar Rəhimov</v>
      </c>
      <c r="D243" t="str">
        <f>_xlfn.XLOOKUP(C243,raw_customers!B:B,raw_customers!C:C)</f>
        <v>M</v>
      </c>
      <c r="E243" t="str">
        <f>_xlfn.XLOOKUP(C243,raw_customers!B:B,raw_customers!G:G)</f>
        <v>SME</v>
      </c>
      <c r="F243" t="str">
        <f>_xlfn.XLOOKUP(_xlfn.XLOOKUP(B243,raw_customers!A:A,raw_customers!F:F),raw_branches!A:A,raw_branches!B:B)</f>
        <v>Lankaran Branch</v>
      </c>
      <c r="G243" s="7">
        <v>26761.9</v>
      </c>
      <c r="H243" s="6">
        <v>11.35</v>
      </c>
      <c r="I243" t="s">
        <v>2377</v>
      </c>
      <c r="J243" t="str">
        <f t="shared" si="3"/>
        <v>Aşağı Risk</v>
      </c>
    </row>
    <row r="244" spans="1:10">
      <c r="A244">
        <v>118</v>
      </c>
      <c r="B244">
        <v>299</v>
      </c>
      <c r="C244" t="str">
        <f>_xlfn.XLOOKUP(B244,raw_customers!A:A,raw_customers!B:B)</f>
        <v>Ülviyyə Orucov</v>
      </c>
      <c r="D244" t="str">
        <f>_xlfn.XLOOKUP(C244,raw_customers!B:B,raw_customers!C:C)</f>
        <v>F</v>
      </c>
      <c r="E244" t="str">
        <f>_xlfn.XLOOKUP(C244,raw_customers!B:B,raw_customers!G:G)</f>
        <v>Retail</v>
      </c>
      <c r="F244" t="str">
        <f>_xlfn.XLOOKUP(_xlfn.XLOOKUP(B244,raw_customers!A:A,raw_customers!F:F),raw_branches!A:A,raw_branches!B:B)</f>
        <v>Lankaran Branch</v>
      </c>
      <c r="G244" s="7">
        <v>8866.13</v>
      </c>
      <c r="H244" s="6">
        <v>20.38</v>
      </c>
      <c r="I244" t="s">
        <v>2377</v>
      </c>
      <c r="J244" t="str">
        <f t="shared" si="3"/>
        <v>Yüksək Risk</v>
      </c>
    </row>
    <row r="245" spans="1:10">
      <c r="A245">
        <v>119</v>
      </c>
      <c r="B245">
        <v>866</v>
      </c>
      <c r="C245" t="str">
        <f>_xlfn.XLOOKUP(B245,raw_customers!A:A,raw_customers!B:B)</f>
        <v>Rüfət Sadıqov</v>
      </c>
      <c r="D245" t="str">
        <f>_xlfn.XLOOKUP(C245,raw_customers!B:B,raw_customers!C:C)</f>
        <v>M</v>
      </c>
      <c r="E245" t="str">
        <f>_xlfn.XLOOKUP(C245,raw_customers!B:B,raw_customers!G:G)</f>
        <v>SME</v>
      </c>
      <c r="F245" t="str">
        <f>_xlfn.XLOOKUP(_xlfn.XLOOKUP(B245,raw_customers!A:A,raw_customers!F:F),raw_branches!A:A,raw_branches!B:B)</f>
        <v>Mingachevir Branch</v>
      </c>
      <c r="G245" s="7">
        <v>164653.92</v>
      </c>
      <c r="H245" s="6">
        <v>8.08</v>
      </c>
      <c r="I245" t="s">
        <v>2377</v>
      </c>
      <c r="J245" t="str">
        <f t="shared" si="3"/>
        <v>Aşağı Risk</v>
      </c>
    </row>
    <row r="246" spans="1:10">
      <c r="A246">
        <v>120</v>
      </c>
      <c r="B246">
        <v>440</v>
      </c>
      <c r="C246" t="str">
        <f>_xlfn.XLOOKUP(B246,raw_customers!A:A,raw_customers!B:B)</f>
        <v>Samir Orucov</v>
      </c>
      <c r="D246" t="str">
        <f>_xlfn.XLOOKUP(C246,raw_customers!B:B,raw_customers!C:C)</f>
        <v>M</v>
      </c>
      <c r="E246" t="str">
        <f>_xlfn.XLOOKUP(C246,raw_customers!B:B,raw_customers!G:G)</f>
        <v>Retail</v>
      </c>
      <c r="F246" t="str">
        <f>_xlfn.XLOOKUP(_xlfn.XLOOKUP(B246,raw_customers!A:A,raw_customers!F:F),raw_branches!A:A,raw_branches!B:B)</f>
        <v>Sumgait Branch</v>
      </c>
      <c r="G246" s="7">
        <v>11265.89</v>
      </c>
      <c r="H246" s="6">
        <v>6.15</v>
      </c>
      <c r="I246" t="s">
        <v>2377</v>
      </c>
      <c r="J246" t="str">
        <f t="shared" si="3"/>
        <v>Aşağı Risk</v>
      </c>
    </row>
    <row r="247" spans="1:10">
      <c r="A247">
        <v>121</v>
      </c>
      <c r="B247">
        <v>350</v>
      </c>
      <c r="C247" t="str">
        <f>_xlfn.XLOOKUP(B247,raw_customers!A:A,raw_customers!B:B)</f>
        <v>Kənan Quliyev</v>
      </c>
      <c r="D247" t="str">
        <f>_xlfn.XLOOKUP(C247,raw_customers!B:B,raw_customers!C:C)</f>
        <v>M</v>
      </c>
      <c r="E247" t="str">
        <f>_xlfn.XLOOKUP(C247,raw_customers!B:B,raw_customers!G:G)</f>
        <v>Retail</v>
      </c>
      <c r="F247" t="str">
        <f>_xlfn.XLOOKUP(_xlfn.XLOOKUP(B247,raw_customers!A:A,raw_customers!F:F),raw_branches!A:A,raw_branches!B:B)</f>
        <v>Mingachevir Branch</v>
      </c>
      <c r="G247" s="7">
        <v>13708.09</v>
      </c>
      <c r="H247" s="6">
        <v>13.39</v>
      </c>
      <c r="I247" t="s">
        <v>2377</v>
      </c>
      <c r="J247" t="str">
        <f t="shared" si="3"/>
        <v>Orta Risk</v>
      </c>
    </row>
    <row r="248" spans="1:10">
      <c r="A248">
        <v>122</v>
      </c>
      <c r="B248">
        <v>941</v>
      </c>
      <c r="C248" t="str">
        <f>_xlfn.XLOOKUP(B248,raw_customers!A:A,raw_customers!B:B)</f>
        <v>Rüfət Orucov</v>
      </c>
      <c r="D248" t="str">
        <f>_xlfn.XLOOKUP(C248,raw_customers!B:B,raw_customers!C:C)</f>
        <v>M</v>
      </c>
      <c r="E248" t="str">
        <f>_xlfn.XLOOKUP(C248,raw_customers!B:B,raw_customers!G:G)</f>
        <v>SME</v>
      </c>
      <c r="F248" t="str">
        <f>_xlfn.XLOOKUP(_xlfn.XLOOKUP(B248,raw_customers!A:A,raw_customers!F:F),raw_branches!A:A,raw_branches!B:B)</f>
        <v>Lankaran Branch</v>
      </c>
      <c r="G248" s="7">
        <v>10852.24</v>
      </c>
      <c r="H248" s="6">
        <v>20.62</v>
      </c>
      <c r="I248" t="s">
        <v>2377</v>
      </c>
      <c r="J248" t="str">
        <f t="shared" si="3"/>
        <v>Yüksək Risk</v>
      </c>
    </row>
    <row r="249" spans="1:10">
      <c r="A249">
        <v>123</v>
      </c>
      <c r="B249">
        <v>129</v>
      </c>
      <c r="C249" t="str">
        <f>_xlfn.XLOOKUP(B249,raw_customers!A:A,raw_customers!B:B)</f>
        <v>Lalə Əliyev</v>
      </c>
      <c r="D249" t="str">
        <f>_xlfn.XLOOKUP(C249,raw_customers!B:B,raw_customers!C:C)</f>
        <v>F</v>
      </c>
      <c r="E249" t="str">
        <f>_xlfn.XLOOKUP(C249,raw_customers!B:B,raw_customers!G:G)</f>
        <v>SME</v>
      </c>
      <c r="F249" t="str">
        <f>_xlfn.XLOOKUP(_xlfn.XLOOKUP(B249,raw_customers!A:A,raw_customers!F:F),raw_branches!A:A,raw_branches!B:B)</f>
        <v>Sumgait Branch</v>
      </c>
      <c r="G249" s="7">
        <v>10456.29</v>
      </c>
      <c r="H249" s="6">
        <v>13.27</v>
      </c>
      <c r="I249" t="s">
        <v>2383</v>
      </c>
      <c r="J249" t="str">
        <f t="shared" si="3"/>
        <v>Orta Risk</v>
      </c>
    </row>
    <row r="250" spans="1:10">
      <c r="A250">
        <v>124</v>
      </c>
      <c r="B250">
        <v>317</v>
      </c>
      <c r="C250" t="str">
        <f>_xlfn.XLOOKUP(B250,raw_customers!A:A,raw_customers!B:B)</f>
        <v>Aysel Rzayev</v>
      </c>
      <c r="D250" t="str">
        <f>_xlfn.XLOOKUP(C250,raw_customers!B:B,raw_customers!C:C)</f>
        <v>F</v>
      </c>
      <c r="E250" t="str">
        <f>_xlfn.XLOOKUP(C250,raw_customers!B:B,raw_customers!G:G)</f>
        <v>SME</v>
      </c>
      <c r="F250" t="str">
        <f>_xlfn.XLOOKUP(_xlfn.XLOOKUP(B250,raw_customers!A:A,raw_customers!F:F),raw_branches!A:A,raw_branches!B:B)</f>
        <v>Baku Central</v>
      </c>
      <c r="G250" s="7">
        <v>97938.13</v>
      </c>
      <c r="H250" s="6">
        <v>12.51</v>
      </c>
      <c r="I250" t="s">
        <v>2377</v>
      </c>
      <c r="J250" t="str">
        <f t="shared" si="3"/>
        <v>Orta Risk</v>
      </c>
    </row>
    <row r="251" spans="1:10">
      <c r="A251">
        <v>125</v>
      </c>
      <c r="B251">
        <v>649</v>
      </c>
      <c r="C251" t="str">
        <f>_xlfn.XLOOKUP(B251,raw_customers!A:A,raw_customers!B:B)</f>
        <v>Fuad Hüseynov</v>
      </c>
      <c r="D251" t="str">
        <f>_xlfn.XLOOKUP(C251,raw_customers!B:B,raw_customers!C:C)</f>
        <v>M</v>
      </c>
      <c r="E251" t="str">
        <f>_xlfn.XLOOKUP(C251,raw_customers!B:B,raw_customers!G:G)</f>
        <v>Retail</v>
      </c>
      <c r="F251" t="str">
        <f>_xlfn.XLOOKUP(_xlfn.XLOOKUP(B251,raw_customers!A:A,raw_customers!F:F),raw_branches!A:A,raw_branches!B:B)</f>
        <v>Sheki Branch</v>
      </c>
      <c r="G251" s="7">
        <v>120438.05</v>
      </c>
      <c r="H251" s="6">
        <v>11.78</v>
      </c>
      <c r="I251" t="s">
        <v>2377</v>
      </c>
      <c r="J251" t="str">
        <f t="shared" si="3"/>
        <v>Aşağı Risk</v>
      </c>
    </row>
    <row r="252" spans="1:10">
      <c r="A252">
        <v>126</v>
      </c>
      <c r="B252">
        <v>405</v>
      </c>
      <c r="C252" t="str">
        <f>_xlfn.XLOOKUP(B252,raw_customers!A:A,raw_customers!B:B)</f>
        <v>Kamran Cəfərov</v>
      </c>
      <c r="D252" t="str">
        <f>_xlfn.XLOOKUP(C252,raw_customers!B:B,raw_customers!C:C)</f>
        <v>M</v>
      </c>
      <c r="E252" t="str">
        <f>_xlfn.XLOOKUP(C252,raw_customers!B:B,raw_customers!G:G)</f>
        <v>SME</v>
      </c>
      <c r="F252" t="str">
        <f>_xlfn.XLOOKUP(_xlfn.XLOOKUP(B252,raw_customers!A:A,raw_customers!F:F),raw_branches!A:A,raw_branches!B:B)</f>
        <v>Sumgait Branch</v>
      </c>
      <c r="G252" s="7">
        <v>2652.11</v>
      </c>
      <c r="H252" s="6">
        <v>7.64</v>
      </c>
      <c r="I252" t="s">
        <v>2377</v>
      </c>
      <c r="J252" t="str">
        <f t="shared" si="3"/>
        <v>Aşağı Risk</v>
      </c>
    </row>
    <row r="253" spans="1:10">
      <c r="A253">
        <v>127</v>
      </c>
      <c r="B253">
        <v>174</v>
      </c>
      <c r="C253" t="str">
        <f>_xlfn.XLOOKUP(B253,raw_customers!A:A,raw_customers!B:B)</f>
        <v>Murad Sadıqov</v>
      </c>
      <c r="D253" t="str">
        <f>_xlfn.XLOOKUP(C253,raw_customers!B:B,raw_customers!C:C)</f>
        <v>M</v>
      </c>
      <c r="E253" t="str">
        <f>_xlfn.XLOOKUP(C253,raw_customers!B:B,raw_customers!G:G)</f>
        <v>Premium</v>
      </c>
      <c r="F253" t="str">
        <f>_xlfn.XLOOKUP(_xlfn.XLOOKUP(B253,raw_customers!A:A,raw_customers!F:F),raw_branches!A:A,raw_branches!B:B)</f>
        <v>Mingachevir Branch</v>
      </c>
      <c r="G253" s="7">
        <v>28534.03</v>
      </c>
      <c r="H253" s="6">
        <v>5.73</v>
      </c>
      <c r="I253" t="s">
        <v>2383</v>
      </c>
      <c r="J253" t="str">
        <f t="shared" si="3"/>
        <v>Aşağı Risk</v>
      </c>
    </row>
    <row r="254" spans="1:10">
      <c r="A254">
        <v>128</v>
      </c>
      <c r="B254">
        <v>422</v>
      </c>
      <c r="C254" t="str">
        <f>_xlfn.XLOOKUP(B254,raw_customers!A:A,raw_customers!B:B)</f>
        <v>Ramin Musayev</v>
      </c>
      <c r="D254" t="str">
        <f>_xlfn.XLOOKUP(C254,raw_customers!B:B,raw_customers!C:C)</f>
        <v>M</v>
      </c>
      <c r="E254" t="str">
        <f>_xlfn.XLOOKUP(C254,raw_customers!B:B,raw_customers!G:G)</f>
        <v>SME</v>
      </c>
      <c r="F254" t="str">
        <f>_xlfn.XLOOKUP(_xlfn.XLOOKUP(B254,raw_customers!A:A,raw_customers!F:F),raw_branches!A:A,raw_branches!B:B)</f>
        <v>Baku Central</v>
      </c>
      <c r="G254" s="7">
        <v>9125.07</v>
      </c>
      <c r="H254" s="6">
        <v>7.49</v>
      </c>
      <c r="I254" t="s">
        <v>2377</v>
      </c>
      <c r="J254" t="str">
        <f t="shared" si="3"/>
        <v>Aşağı Risk</v>
      </c>
    </row>
    <row r="255" spans="1:10">
      <c r="A255">
        <v>129</v>
      </c>
      <c r="B255">
        <v>729</v>
      </c>
      <c r="C255" t="str">
        <f>_xlfn.XLOOKUP(B255,raw_customers!A:A,raw_customers!B:B)</f>
        <v>Röya Hüseynov</v>
      </c>
      <c r="D255" t="str">
        <f>_xlfn.XLOOKUP(C255,raw_customers!B:B,raw_customers!C:C)</f>
        <v>F</v>
      </c>
      <c r="E255" t="str">
        <f>_xlfn.XLOOKUP(C255,raw_customers!B:B,raw_customers!G:G)</f>
        <v>Retail</v>
      </c>
      <c r="F255" t="str">
        <f>_xlfn.XLOOKUP(_xlfn.XLOOKUP(B255,raw_customers!A:A,raw_customers!F:F),raw_branches!A:A,raw_branches!B:B)</f>
        <v>Baku Yasamal</v>
      </c>
      <c r="G255" s="7">
        <v>33914.13</v>
      </c>
      <c r="H255" s="6">
        <v>15.77</v>
      </c>
      <c r="I255" t="s">
        <v>2377</v>
      </c>
      <c r="J255" t="str">
        <f t="shared" si="3"/>
        <v>Orta Risk</v>
      </c>
    </row>
    <row r="256" spans="1:10">
      <c r="A256">
        <v>130</v>
      </c>
      <c r="B256">
        <v>353</v>
      </c>
      <c r="C256" t="str">
        <f>_xlfn.XLOOKUP(B256,raw_customers!A:A,raw_customers!B:B)</f>
        <v>Röya Tağıyev</v>
      </c>
      <c r="D256" t="str">
        <f>_xlfn.XLOOKUP(C256,raw_customers!B:B,raw_customers!C:C)</f>
        <v>F</v>
      </c>
      <c r="E256" t="str">
        <f>_xlfn.XLOOKUP(C256,raw_customers!B:B,raw_customers!G:G)</f>
        <v>Retail</v>
      </c>
      <c r="F256" t="str">
        <f>_xlfn.XLOOKUP(_xlfn.XLOOKUP(B256,raw_customers!A:A,raw_customers!F:F),raw_branches!A:A,raw_branches!B:B)</f>
        <v>Baku Yasamal</v>
      </c>
      <c r="G256" s="7">
        <v>6463.4</v>
      </c>
      <c r="H256" s="6">
        <v>21.51</v>
      </c>
      <c r="I256" t="s">
        <v>2383</v>
      </c>
      <c r="J256" t="str">
        <f t="shared" si="3"/>
        <v>Yüksək Risk</v>
      </c>
    </row>
    <row r="257" spans="1:10">
      <c r="A257">
        <v>131</v>
      </c>
      <c r="B257">
        <v>246</v>
      </c>
      <c r="C257" t="str">
        <f>_xlfn.XLOOKUP(B257,raw_customers!A:A,raw_customers!B:B)</f>
        <v>Kənan Rzayev</v>
      </c>
      <c r="D257" t="str">
        <f>_xlfn.XLOOKUP(C257,raw_customers!B:B,raw_customers!C:C)</f>
        <v>M</v>
      </c>
      <c r="E257" t="str">
        <f>_xlfn.XLOOKUP(C257,raw_customers!B:B,raw_customers!G:G)</f>
        <v>SME</v>
      </c>
      <c r="F257" t="str">
        <f>_xlfn.XLOOKUP(_xlfn.XLOOKUP(B257,raw_customers!A:A,raw_customers!F:F),raw_branches!A:A,raw_branches!B:B)</f>
        <v>Lankaran Branch</v>
      </c>
      <c r="G257" s="7">
        <v>103443.08</v>
      </c>
      <c r="H257" s="6">
        <v>16.83</v>
      </c>
      <c r="I257" t="s">
        <v>2377</v>
      </c>
      <c r="J257" t="str">
        <f t="shared" si="3"/>
        <v>Orta Risk</v>
      </c>
    </row>
    <row r="258" spans="1:10">
      <c r="A258">
        <v>132</v>
      </c>
      <c r="B258">
        <v>378</v>
      </c>
      <c r="C258" t="str">
        <f>_xlfn.XLOOKUP(B258,raw_customers!A:A,raw_customers!B:B)</f>
        <v>Xəyalə Kərimov</v>
      </c>
      <c r="D258" t="str">
        <f>_xlfn.XLOOKUP(C258,raw_customers!B:B,raw_customers!C:C)</f>
        <v>F</v>
      </c>
      <c r="E258" t="str">
        <f>_xlfn.XLOOKUP(C258,raw_customers!B:B,raw_customers!G:G)</f>
        <v>Retail</v>
      </c>
      <c r="F258" t="str">
        <f>_xlfn.XLOOKUP(_xlfn.XLOOKUP(B258,raw_customers!A:A,raw_customers!F:F),raw_branches!A:A,raw_branches!B:B)</f>
        <v>Ganja Branch</v>
      </c>
      <c r="G258" s="7">
        <v>5677.34</v>
      </c>
      <c r="H258" s="6">
        <v>21.96</v>
      </c>
      <c r="I258" t="s">
        <v>2383</v>
      </c>
      <c r="J258" t="str">
        <f t="shared" si="3"/>
        <v>Yüksək Risk</v>
      </c>
    </row>
    <row r="259" spans="1:10">
      <c r="A259">
        <v>133</v>
      </c>
      <c r="B259">
        <v>133</v>
      </c>
      <c r="C259" t="str">
        <f>_xlfn.XLOOKUP(B259,raw_customers!A:A,raw_customers!B:B)</f>
        <v>Emin Bağırov</v>
      </c>
      <c r="D259" t="str">
        <f>_xlfn.XLOOKUP(C259,raw_customers!B:B,raw_customers!C:C)</f>
        <v>M</v>
      </c>
      <c r="E259" t="str">
        <f>_xlfn.XLOOKUP(C259,raw_customers!B:B,raw_customers!G:G)</f>
        <v>SME</v>
      </c>
      <c r="F259" t="str">
        <f>_xlfn.XLOOKUP(_xlfn.XLOOKUP(B259,raw_customers!A:A,raw_customers!F:F),raw_branches!A:A,raw_branches!B:B)</f>
        <v>Lankaran Branch</v>
      </c>
      <c r="G259" s="7">
        <v>55453.13</v>
      </c>
      <c r="H259" s="6">
        <v>18.42</v>
      </c>
      <c r="I259" t="s">
        <v>2377</v>
      </c>
      <c r="J259" t="str">
        <f t="shared" ref="J259:J322" si="4">IF(I259="Default","Default (Batıq)",IF(H259&gt;=18,"Yüksək Risk",IF(H259&gt;=12,"Orta Risk","Aşağı Risk")))</f>
        <v>Yüksək Risk</v>
      </c>
    </row>
    <row r="260" spans="1:10">
      <c r="A260">
        <v>134</v>
      </c>
      <c r="B260">
        <v>311</v>
      </c>
      <c r="C260" t="str">
        <f>_xlfn.XLOOKUP(B260,raw_customers!A:A,raw_customers!B:B)</f>
        <v>Tural Əliyev</v>
      </c>
      <c r="D260" t="str">
        <f>_xlfn.XLOOKUP(C260,raw_customers!B:B,raw_customers!C:C)</f>
        <v>M</v>
      </c>
      <c r="E260" t="str">
        <f>_xlfn.XLOOKUP(C260,raw_customers!B:B,raw_customers!G:G)</f>
        <v>Retail</v>
      </c>
      <c r="F260" t="str">
        <f>_xlfn.XLOOKUP(_xlfn.XLOOKUP(B260,raw_customers!A:A,raw_customers!F:F),raw_branches!A:A,raw_branches!B:B)</f>
        <v>Ganja Branch</v>
      </c>
      <c r="G260" s="7">
        <v>14279.49</v>
      </c>
      <c r="H260" s="6">
        <v>7.71</v>
      </c>
      <c r="I260" t="s">
        <v>2377</v>
      </c>
      <c r="J260" t="str">
        <f t="shared" si="4"/>
        <v>Aşağı Risk</v>
      </c>
    </row>
    <row r="261" spans="1:10">
      <c r="A261">
        <v>135</v>
      </c>
      <c r="B261">
        <v>550</v>
      </c>
      <c r="C261" t="str">
        <f>_xlfn.XLOOKUP(B261,raw_customers!A:A,raw_customers!B:B)</f>
        <v>Mehriban Musayev</v>
      </c>
      <c r="D261" t="str">
        <f>_xlfn.XLOOKUP(C261,raw_customers!B:B,raw_customers!C:C)</f>
        <v>F</v>
      </c>
      <c r="E261" t="str">
        <f>_xlfn.XLOOKUP(C261,raw_customers!B:B,raw_customers!G:G)</f>
        <v>Retail</v>
      </c>
      <c r="F261" t="str">
        <f>_xlfn.XLOOKUP(_xlfn.XLOOKUP(B261,raw_customers!A:A,raw_customers!F:F),raw_branches!A:A,raw_branches!B:B)</f>
        <v>Baku Central</v>
      </c>
      <c r="G261" s="7">
        <v>129447.74</v>
      </c>
      <c r="H261" s="6">
        <v>5.51</v>
      </c>
      <c r="I261" t="s">
        <v>2383</v>
      </c>
      <c r="J261" t="str">
        <f t="shared" si="4"/>
        <v>Aşağı Risk</v>
      </c>
    </row>
    <row r="262" spans="1:10">
      <c r="A262">
        <v>136</v>
      </c>
      <c r="B262">
        <v>106</v>
      </c>
      <c r="C262" t="str">
        <f>_xlfn.XLOOKUP(B262,raw_customers!A:A,raw_customers!B:B)</f>
        <v>Nərgiz Cəfərov</v>
      </c>
      <c r="D262" t="str">
        <f>_xlfn.XLOOKUP(C262,raw_customers!B:B,raw_customers!C:C)</f>
        <v>F</v>
      </c>
      <c r="E262" t="str">
        <f>_xlfn.XLOOKUP(C262,raw_customers!B:B,raw_customers!G:G)</f>
        <v>Retail</v>
      </c>
      <c r="F262" t="str">
        <f>_xlfn.XLOOKUP(_xlfn.XLOOKUP(B262,raw_customers!A:A,raw_customers!F:F),raw_branches!A:A,raw_branches!B:B)</f>
        <v>Mingachevir Branch</v>
      </c>
      <c r="G262" s="7">
        <v>19353.58</v>
      </c>
      <c r="H262" s="6">
        <v>15.73</v>
      </c>
      <c r="I262" t="s">
        <v>2377</v>
      </c>
      <c r="J262" t="str">
        <f t="shared" si="4"/>
        <v>Orta Risk</v>
      </c>
    </row>
    <row r="263" spans="1:10">
      <c r="A263">
        <v>137</v>
      </c>
      <c r="B263">
        <v>542</v>
      </c>
      <c r="C263" t="str">
        <f>_xlfn.XLOOKUP(B263,raw_customers!A:A,raw_customers!B:B)</f>
        <v>Nərgiz Rəhimov</v>
      </c>
      <c r="D263" t="str">
        <f>_xlfn.XLOOKUP(C263,raw_customers!B:B,raw_customers!C:C)</f>
        <v>F</v>
      </c>
      <c r="E263" t="str">
        <f>_xlfn.XLOOKUP(C263,raw_customers!B:B,raw_customers!G:G)</f>
        <v>Retail</v>
      </c>
      <c r="F263" t="str">
        <f>_xlfn.XLOOKUP(_xlfn.XLOOKUP(B263,raw_customers!A:A,raw_customers!F:F),raw_branches!A:A,raw_branches!B:B)</f>
        <v>Mingachevir Branch</v>
      </c>
      <c r="G263" s="7">
        <v>1366.97</v>
      </c>
      <c r="H263" s="6">
        <v>5.41</v>
      </c>
      <c r="I263" t="s">
        <v>2393</v>
      </c>
      <c r="J263" t="str">
        <f t="shared" si="4"/>
        <v>Default (Batıq)</v>
      </c>
    </row>
    <row r="264" spans="1:10">
      <c r="A264">
        <v>138</v>
      </c>
      <c r="B264">
        <v>40</v>
      </c>
      <c r="C264" t="str">
        <f>_xlfn.XLOOKUP(B264,raw_customers!A:A,raw_customers!B:B)</f>
        <v>Vəfa Kərimov</v>
      </c>
      <c r="D264" t="str">
        <f>_xlfn.XLOOKUP(C264,raw_customers!B:B,raw_customers!C:C)</f>
        <v>F</v>
      </c>
      <c r="E264" t="str">
        <f>_xlfn.XLOOKUP(C264,raw_customers!B:B,raw_customers!G:G)</f>
        <v>SME</v>
      </c>
      <c r="F264" t="str">
        <f>_xlfn.XLOOKUP(_xlfn.XLOOKUP(B264,raw_customers!A:A,raw_customers!F:F),raw_branches!A:A,raw_branches!B:B)</f>
        <v>Sumgait Branch</v>
      </c>
      <c r="G264" s="7">
        <v>2323.93</v>
      </c>
      <c r="H264" s="6">
        <v>14.15</v>
      </c>
      <c r="I264" t="s">
        <v>2383</v>
      </c>
      <c r="J264" t="str">
        <f t="shared" si="4"/>
        <v>Orta Risk</v>
      </c>
    </row>
    <row r="265" spans="1:10">
      <c r="A265">
        <v>139</v>
      </c>
      <c r="B265">
        <v>479</v>
      </c>
      <c r="C265" t="str">
        <f>_xlfn.XLOOKUP(B265,raw_customers!A:A,raw_customers!B:B)</f>
        <v>Samir Əliyev</v>
      </c>
      <c r="D265" t="str">
        <f>_xlfn.XLOOKUP(C265,raw_customers!B:B,raw_customers!C:C)</f>
        <v>M</v>
      </c>
      <c r="E265" t="str">
        <f>_xlfn.XLOOKUP(C265,raw_customers!B:B,raw_customers!G:G)</f>
        <v>Premium</v>
      </c>
      <c r="F265" t="str">
        <f>_xlfn.XLOOKUP(_xlfn.XLOOKUP(B265,raw_customers!A:A,raw_customers!F:F),raw_branches!A:A,raw_branches!B:B)</f>
        <v>Baku Yasamal</v>
      </c>
      <c r="G265" s="7">
        <v>6929.92</v>
      </c>
      <c r="H265" s="6">
        <v>8.43</v>
      </c>
      <c r="I265" t="s">
        <v>2377</v>
      </c>
      <c r="J265" t="str">
        <f t="shared" si="4"/>
        <v>Aşağı Risk</v>
      </c>
    </row>
    <row r="266" spans="1:10">
      <c r="A266">
        <v>140</v>
      </c>
      <c r="B266">
        <v>239</v>
      </c>
      <c r="C266" t="str">
        <f>_xlfn.XLOOKUP(B266,raw_customers!A:A,raw_customers!B:B)</f>
        <v>Ceyhun İsmayılov</v>
      </c>
      <c r="D266" t="str">
        <f>_xlfn.XLOOKUP(C266,raw_customers!B:B,raw_customers!C:C)</f>
        <v>M</v>
      </c>
      <c r="E266" t="str">
        <f>_xlfn.XLOOKUP(C266,raw_customers!B:B,raw_customers!G:G)</f>
        <v>SME</v>
      </c>
      <c r="F266" t="str">
        <f>_xlfn.XLOOKUP(_xlfn.XLOOKUP(B266,raw_customers!A:A,raw_customers!F:F),raw_branches!A:A,raw_branches!B:B)</f>
        <v>Lankaran Branch</v>
      </c>
      <c r="G266" s="7">
        <v>6476.15</v>
      </c>
      <c r="H266" s="6">
        <v>12.15</v>
      </c>
      <c r="I266" t="s">
        <v>2377</v>
      </c>
      <c r="J266" t="str">
        <f t="shared" si="4"/>
        <v>Orta Risk</v>
      </c>
    </row>
    <row r="267" spans="1:10">
      <c r="A267">
        <v>141</v>
      </c>
      <c r="B267">
        <v>68</v>
      </c>
      <c r="C267" t="str">
        <f>_xlfn.XLOOKUP(B267,raw_customers!A:A,raw_customers!B:B)</f>
        <v>Röya Hüseynov</v>
      </c>
      <c r="D267" t="str">
        <f>_xlfn.XLOOKUP(C267,raw_customers!B:B,raw_customers!C:C)</f>
        <v>F</v>
      </c>
      <c r="E267" t="str">
        <f>_xlfn.XLOOKUP(C267,raw_customers!B:B,raw_customers!G:G)</f>
        <v>Retail</v>
      </c>
      <c r="F267" t="str">
        <f>_xlfn.XLOOKUP(_xlfn.XLOOKUP(B267,raw_customers!A:A,raw_customers!F:F),raw_branches!A:A,raw_branches!B:B)</f>
        <v>Sumgait Branch</v>
      </c>
      <c r="G267" s="7">
        <v>19541.6</v>
      </c>
      <c r="H267" s="6">
        <v>5.65</v>
      </c>
      <c r="I267" t="s">
        <v>2383</v>
      </c>
      <c r="J267" t="str">
        <f t="shared" si="4"/>
        <v>Aşağı Risk</v>
      </c>
    </row>
    <row r="268" spans="1:10">
      <c r="A268">
        <v>142</v>
      </c>
      <c r="B268">
        <v>440</v>
      </c>
      <c r="C268" t="str">
        <f>_xlfn.XLOOKUP(B268,raw_customers!A:A,raw_customers!B:B)</f>
        <v>Samir Orucov</v>
      </c>
      <c r="D268" t="str">
        <f>_xlfn.XLOOKUP(C268,raw_customers!B:B,raw_customers!C:C)</f>
        <v>M</v>
      </c>
      <c r="E268" t="str">
        <f>_xlfn.XLOOKUP(C268,raw_customers!B:B,raw_customers!G:G)</f>
        <v>Retail</v>
      </c>
      <c r="F268" t="str">
        <f>_xlfn.XLOOKUP(_xlfn.XLOOKUP(B268,raw_customers!A:A,raw_customers!F:F),raw_branches!A:A,raw_branches!B:B)</f>
        <v>Sumgait Branch</v>
      </c>
      <c r="G268" s="7">
        <v>7454.79</v>
      </c>
      <c r="H268" s="6">
        <v>14.38</v>
      </c>
      <c r="I268" t="s">
        <v>2377</v>
      </c>
      <c r="J268" t="str">
        <f t="shared" si="4"/>
        <v>Orta Risk</v>
      </c>
    </row>
    <row r="269" spans="1:10">
      <c r="A269">
        <v>143</v>
      </c>
      <c r="B269">
        <v>364</v>
      </c>
      <c r="C269" t="str">
        <f>_xlfn.XLOOKUP(B269,raw_customers!A:A,raw_customers!B:B)</f>
        <v>Könül İsmayılov</v>
      </c>
      <c r="D269" t="str">
        <f>_xlfn.XLOOKUP(C269,raw_customers!B:B,raw_customers!C:C)</f>
        <v>F</v>
      </c>
      <c r="E269" t="str">
        <f>_xlfn.XLOOKUP(C269,raw_customers!B:B,raw_customers!G:G)</f>
        <v>Retail</v>
      </c>
      <c r="F269" t="str">
        <f>_xlfn.XLOOKUP(_xlfn.XLOOKUP(B269,raw_customers!A:A,raw_customers!F:F),raw_branches!A:A,raw_branches!B:B)</f>
        <v>Baku Yasamal</v>
      </c>
      <c r="G269" s="7">
        <v>196397.64</v>
      </c>
      <c r="H269" s="6">
        <v>16.89</v>
      </c>
      <c r="I269" t="s">
        <v>2377</v>
      </c>
      <c r="J269" t="str">
        <f t="shared" si="4"/>
        <v>Orta Risk</v>
      </c>
    </row>
    <row r="270" spans="1:10">
      <c r="A270">
        <v>144</v>
      </c>
      <c r="B270">
        <v>30</v>
      </c>
      <c r="C270" t="str">
        <f>_xlfn.XLOOKUP(B270,raw_customers!A:A,raw_customers!B:B)</f>
        <v>Toğrul Məmmədov</v>
      </c>
      <c r="D270" t="str">
        <f>_xlfn.XLOOKUP(C270,raw_customers!B:B,raw_customers!C:C)</f>
        <v>M</v>
      </c>
      <c r="E270" t="str">
        <f>_xlfn.XLOOKUP(C270,raw_customers!B:B,raw_customers!G:G)</f>
        <v>Retail</v>
      </c>
      <c r="F270" t="str">
        <f>_xlfn.XLOOKUP(_xlfn.XLOOKUP(B270,raw_customers!A:A,raw_customers!F:F),raw_branches!A:A,raw_branches!B:B)</f>
        <v>Mingachevir Branch</v>
      </c>
      <c r="G270" s="7">
        <v>9690.28</v>
      </c>
      <c r="H270" s="6">
        <v>13.88</v>
      </c>
      <c r="I270" t="s">
        <v>2383</v>
      </c>
      <c r="J270" t="str">
        <f t="shared" si="4"/>
        <v>Orta Risk</v>
      </c>
    </row>
    <row r="271" spans="1:10">
      <c r="A271">
        <v>145</v>
      </c>
      <c r="B271">
        <v>840</v>
      </c>
      <c r="C271" t="str">
        <f>_xlfn.XLOOKUP(B271,raw_customers!A:A,raw_customers!B:B)</f>
        <v>Ceyhun Bağırov</v>
      </c>
      <c r="D271" t="str">
        <f>_xlfn.XLOOKUP(C271,raw_customers!B:B,raw_customers!C:C)</f>
        <v>M</v>
      </c>
      <c r="E271" t="str">
        <f>_xlfn.XLOOKUP(C271,raw_customers!B:B,raw_customers!G:G)</f>
        <v>Retail</v>
      </c>
      <c r="F271" t="str">
        <f>_xlfn.XLOOKUP(_xlfn.XLOOKUP(B271,raw_customers!A:A,raw_customers!F:F),raw_branches!A:A,raw_branches!B:B)</f>
        <v>Ganja Branch</v>
      </c>
      <c r="G271" s="7">
        <v>16702.7</v>
      </c>
      <c r="H271" s="6">
        <v>17.73</v>
      </c>
      <c r="I271" t="s">
        <v>2383</v>
      </c>
      <c r="J271" t="str">
        <f t="shared" si="4"/>
        <v>Orta Risk</v>
      </c>
    </row>
    <row r="272" spans="1:10">
      <c r="A272">
        <v>146</v>
      </c>
      <c r="B272">
        <v>178</v>
      </c>
      <c r="C272" t="str">
        <f>_xlfn.XLOOKUP(B272,raw_customers!A:A,raw_customers!B:B)</f>
        <v>Orxan Novruzov</v>
      </c>
      <c r="D272" t="str">
        <f>_xlfn.XLOOKUP(C272,raw_customers!B:B,raw_customers!C:C)</f>
        <v>M</v>
      </c>
      <c r="E272" t="str">
        <f>_xlfn.XLOOKUP(C272,raw_customers!B:B,raw_customers!G:G)</f>
        <v>SME</v>
      </c>
      <c r="F272" t="str">
        <f>_xlfn.XLOOKUP(_xlfn.XLOOKUP(B272,raw_customers!A:A,raw_customers!F:F),raw_branches!A:A,raw_branches!B:B)</f>
        <v>Baku Yasamal</v>
      </c>
      <c r="G272" s="7">
        <v>108247.52</v>
      </c>
      <c r="H272" s="6">
        <v>20.96</v>
      </c>
      <c r="I272" t="s">
        <v>2377</v>
      </c>
      <c r="J272" t="str">
        <f t="shared" si="4"/>
        <v>Yüksək Risk</v>
      </c>
    </row>
    <row r="273" spans="1:10">
      <c r="A273">
        <v>147</v>
      </c>
      <c r="B273">
        <v>40</v>
      </c>
      <c r="C273" t="str">
        <f>_xlfn.XLOOKUP(B273,raw_customers!A:A,raw_customers!B:B)</f>
        <v>Vəfa Kərimov</v>
      </c>
      <c r="D273" t="str">
        <f>_xlfn.XLOOKUP(C273,raw_customers!B:B,raw_customers!C:C)</f>
        <v>F</v>
      </c>
      <c r="E273" t="str">
        <f>_xlfn.XLOOKUP(C273,raw_customers!B:B,raw_customers!G:G)</f>
        <v>SME</v>
      </c>
      <c r="F273" t="str">
        <f>_xlfn.XLOOKUP(_xlfn.XLOOKUP(B273,raw_customers!A:A,raw_customers!F:F),raw_branches!A:A,raw_branches!B:B)</f>
        <v>Sumgait Branch</v>
      </c>
      <c r="G273" s="7">
        <v>22850.58</v>
      </c>
      <c r="H273" s="6">
        <v>16.24</v>
      </c>
      <c r="I273" t="s">
        <v>2377</v>
      </c>
      <c r="J273" t="str">
        <f t="shared" si="4"/>
        <v>Orta Risk</v>
      </c>
    </row>
    <row r="274" spans="1:10">
      <c r="A274">
        <v>148</v>
      </c>
      <c r="B274">
        <v>670</v>
      </c>
      <c r="C274" t="str">
        <f>_xlfn.XLOOKUP(B274,raw_customers!A:A,raw_customers!B:B)</f>
        <v>Ceyhun Musayev</v>
      </c>
      <c r="D274" t="str">
        <f>_xlfn.XLOOKUP(C274,raw_customers!B:B,raw_customers!C:C)</f>
        <v>M</v>
      </c>
      <c r="E274" t="str">
        <f>_xlfn.XLOOKUP(C274,raw_customers!B:B,raw_customers!G:G)</f>
        <v>Retail</v>
      </c>
      <c r="F274" t="str">
        <f>_xlfn.XLOOKUP(_xlfn.XLOOKUP(B274,raw_customers!A:A,raw_customers!F:F),raw_branches!A:A,raw_branches!B:B)</f>
        <v>Mingachevir Branch</v>
      </c>
      <c r="G274" s="7">
        <v>136782.6</v>
      </c>
      <c r="H274" s="6">
        <v>13.14</v>
      </c>
      <c r="I274" t="s">
        <v>2377</v>
      </c>
      <c r="J274" t="str">
        <f t="shared" si="4"/>
        <v>Orta Risk</v>
      </c>
    </row>
    <row r="275" spans="1:10">
      <c r="A275">
        <v>149</v>
      </c>
      <c r="B275">
        <v>279</v>
      </c>
      <c r="C275" t="str">
        <f>_xlfn.XLOOKUP(B275,raw_customers!A:A,raw_customers!B:B)</f>
        <v>Kamran Tağıyev</v>
      </c>
      <c r="D275" t="str">
        <f>_xlfn.XLOOKUP(C275,raw_customers!B:B,raw_customers!C:C)</f>
        <v>M</v>
      </c>
      <c r="E275" t="str">
        <f>_xlfn.XLOOKUP(C275,raw_customers!B:B,raw_customers!G:G)</f>
        <v>Retail</v>
      </c>
      <c r="F275" t="str">
        <f>_xlfn.XLOOKUP(_xlfn.XLOOKUP(B275,raw_customers!A:A,raw_customers!F:F),raw_branches!A:A,raw_branches!B:B)</f>
        <v>Mingachevir Branch</v>
      </c>
      <c r="G275" s="7">
        <v>7463.65</v>
      </c>
      <c r="H275" s="6">
        <v>10.11</v>
      </c>
      <c r="I275" t="s">
        <v>2377</v>
      </c>
      <c r="J275" t="str">
        <f t="shared" si="4"/>
        <v>Aşağı Risk</v>
      </c>
    </row>
    <row r="276" spans="1:10">
      <c r="A276">
        <v>150</v>
      </c>
      <c r="B276">
        <v>422</v>
      </c>
      <c r="C276" t="str">
        <f>_xlfn.XLOOKUP(B276,raw_customers!A:A,raw_customers!B:B)</f>
        <v>Ramin Musayev</v>
      </c>
      <c r="D276" t="str">
        <f>_xlfn.XLOOKUP(C276,raw_customers!B:B,raw_customers!C:C)</f>
        <v>M</v>
      </c>
      <c r="E276" t="str">
        <f>_xlfn.XLOOKUP(C276,raw_customers!B:B,raw_customers!G:G)</f>
        <v>SME</v>
      </c>
      <c r="F276" t="str">
        <f>_xlfn.XLOOKUP(_xlfn.XLOOKUP(B276,raw_customers!A:A,raw_customers!F:F),raw_branches!A:A,raw_branches!B:B)</f>
        <v>Baku Central</v>
      </c>
      <c r="G276" s="2">
        <v>10528</v>
      </c>
      <c r="H276" s="6">
        <v>19.18</v>
      </c>
      <c r="I276" t="s">
        <v>2377</v>
      </c>
      <c r="J276" t="str">
        <f t="shared" si="4"/>
        <v>Yüksək Risk</v>
      </c>
    </row>
    <row r="277" spans="1:10">
      <c r="A277">
        <v>151</v>
      </c>
      <c r="B277">
        <v>494</v>
      </c>
      <c r="C277" t="str">
        <f>_xlfn.XLOOKUP(B277,raw_customers!A:A,raw_customers!B:B)</f>
        <v>Aysel Rəhimov</v>
      </c>
      <c r="D277" t="str">
        <f>_xlfn.XLOOKUP(C277,raw_customers!B:B,raw_customers!C:C)</f>
        <v>F</v>
      </c>
      <c r="E277" t="str">
        <f>_xlfn.XLOOKUP(C277,raw_customers!B:B,raw_customers!G:G)</f>
        <v>Premium</v>
      </c>
      <c r="F277" t="str">
        <f>_xlfn.XLOOKUP(_xlfn.XLOOKUP(B277,raw_customers!A:A,raw_customers!F:F),raw_branches!A:A,raw_branches!B:B)</f>
        <v>Sumgait Branch</v>
      </c>
      <c r="G277" s="7">
        <v>10995.06</v>
      </c>
      <c r="H277" s="6">
        <v>15.52</v>
      </c>
      <c r="I277" t="s">
        <v>2377</v>
      </c>
      <c r="J277" t="str">
        <f t="shared" si="4"/>
        <v>Orta Risk</v>
      </c>
    </row>
    <row r="278" spans="1:10">
      <c r="A278">
        <v>152</v>
      </c>
      <c r="B278">
        <v>867</v>
      </c>
      <c r="C278" t="str">
        <f>_xlfn.XLOOKUP(B278,raw_customers!A:A,raw_customers!B:B)</f>
        <v>Səbinə Sadıqov</v>
      </c>
      <c r="D278" t="str">
        <f>_xlfn.XLOOKUP(C278,raw_customers!B:B,raw_customers!C:C)</f>
        <v>F</v>
      </c>
      <c r="E278" t="str">
        <f>_xlfn.XLOOKUP(C278,raw_customers!B:B,raw_customers!G:G)</f>
        <v>Retail</v>
      </c>
      <c r="F278" t="str">
        <f>_xlfn.XLOOKUP(_xlfn.XLOOKUP(B278,raw_customers!A:A,raw_customers!F:F),raw_branches!A:A,raw_branches!B:B)</f>
        <v>Sumgait Branch</v>
      </c>
      <c r="G278" s="7">
        <v>5178.78</v>
      </c>
      <c r="H278" s="6">
        <v>15.8</v>
      </c>
      <c r="I278" t="s">
        <v>2377</v>
      </c>
      <c r="J278" t="str">
        <f t="shared" si="4"/>
        <v>Orta Risk</v>
      </c>
    </row>
    <row r="279" spans="1:10">
      <c r="A279">
        <v>153</v>
      </c>
      <c r="B279">
        <v>307</v>
      </c>
      <c r="C279" t="str">
        <f>_xlfn.XLOOKUP(B279,raw_customers!A:A,raw_customers!B:B)</f>
        <v>Fuad Orucov</v>
      </c>
      <c r="D279" t="str">
        <f>_xlfn.XLOOKUP(C279,raw_customers!B:B,raw_customers!C:C)</f>
        <v>M</v>
      </c>
      <c r="E279" t="str">
        <f>_xlfn.XLOOKUP(C279,raw_customers!B:B,raw_customers!G:G)</f>
        <v>Premium</v>
      </c>
      <c r="F279" t="str">
        <f>_xlfn.XLOOKUP(_xlfn.XLOOKUP(B279,raw_customers!A:A,raw_customers!F:F),raw_branches!A:A,raw_branches!B:B)</f>
        <v>Baku Central</v>
      </c>
      <c r="G279" s="7">
        <v>29570.84</v>
      </c>
      <c r="H279" s="6">
        <v>5.01</v>
      </c>
      <c r="I279" t="s">
        <v>2377</v>
      </c>
      <c r="J279" t="str">
        <f t="shared" si="4"/>
        <v>Aşağı Risk</v>
      </c>
    </row>
    <row r="280" spans="1:10">
      <c r="A280">
        <v>154</v>
      </c>
      <c r="B280">
        <v>168</v>
      </c>
      <c r="C280" t="str">
        <f>_xlfn.XLOOKUP(B280,raw_customers!A:A,raw_customers!B:B)</f>
        <v>Kamran Rəhimov</v>
      </c>
      <c r="D280" t="str">
        <f>_xlfn.XLOOKUP(C280,raw_customers!B:B,raw_customers!C:C)</f>
        <v>M</v>
      </c>
      <c r="E280" t="str">
        <f>_xlfn.XLOOKUP(C280,raw_customers!B:B,raw_customers!G:G)</f>
        <v>Retail</v>
      </c>
      <c r="F280" t="str">
        <f>_xlfn.XLOOKUP(_xlfn.XLOOKUP(B280,raw_customers!A:A,raw_customers!F:F),raw_branches!A:A,raw_branches!B:B)</f>
        <v>Mingachevir Branch</v>
      </c>
      <c r="G280" s="7">
        <v>6983.94</v>
      </c>
      <c r="H280" s="6">
        <v>19.35</v>
      </c>
      <c r="I280" t="s">
        <v>2377</v>
      </c>
      <c r="J280" t="str">
        <f t="shared" si="4"/>
        <v>Yüksək Risk</v>
      </c>
    </row>
    <row r="281" spans="1:10">
      <c r="A281">
        <v>155</v>
      </c>
      <c r="B281">
        <v>180</v>
      </c>
      <c r="C281" t="str">
        <f>_xlfn.XLOOKUP(B281,raw_customers!A:A,raw_customers!B:B)</f>
        <v>Şəbnəm Bağırov</v>
      </c>
      <c r="D281" t="str">
        <f>_xlfn.XLOOKUP(C281,raw_customers!B:B,raw_customers!C:C)</f>
        <v>F</v>
      </c>
      <c r="E281" t="str">
        <f>_xlfn.XLOOKUP(C281,raw_customers!B:B,raw_customers!G:G)</f>
        <v>Retail</v>
      </c>
      <c r="F281" t="str">
        <f>_xlfn.XLOOKUP(_xlfn.XLOOKUP(B281,raw_customers!A:A,raw_customers!F:F),raw_branches!A:A,raw_branches!B:B)</f>
        <v>Mingachevir Branch</v>
      </c>
      <c r="G281" s="7">
        <v>190504.92</v>
      </c>
      <c r="H281" s="6">
        <v>18.17</v>
      </c>
      <c r="I281" t="s">
        <v>2377</v>
      </c>
      <c r="J281" t="str">
        <f t="shared" si="4"/>
        <v>Yüksək Risk</v>
      </c>
    </row>
    <row r="282" spans="1:10">
      <c r="A282">
        <v>156</v>
      </c>
      <c r="B282">
        <v>503</v>
      </c>
      <c r="C282" t="str">
        <f>_xlfn.XLOOKUP(B282,raw_customers!A:A,raw_customers!B:B)</f>
        <v>Elvin Kərimov</v>
      </c>
      <c r="D282" t="str">
        <f>_xlfn.XLOOKUP(C282,raw_customers!B:B,raw_customers!C:C)</f>
        <v>M</v>
      </c>
      <c r="E282" t="str">
        <f>_xlfn.XLOOKUP(C282,raw_customers!B:B,raw_customers!G:G)</f>
        <v>Premium</v>
      </c>
      <c r="F282" t="str">
        <f>_xlfn.XLOOKUP(_xlfn.XLOOKUP(B282,raw_customers!A:A,raw_customers!F:F),raw_branches!A:A,raw_branches!B:B)</f>
        <v>Mingachevir Branch</v>
      </c>
      <c r="G282" s="7">
        <v>22999.83</v>
      </c>
      <c r="H282" s="6">
        <v>14.23</v>
      </c>
      <c r="I282" t="s">
        <v>2393</v>
      </c>
      <c r="J282" t="str">
        <f t="shared" si="4"/>
        <v>Default (Batıq)</v>
      </c>
    </row>
    <row r="283" spans="1:10">
      <c r="A283">
        <v>157</v>
      </c>
      <c r="B283">
        <v>45</v>
      </c>
      <c r="C283" t="str">
        <f>_xlfn.XLOOKUP(B283,raw_customers!A:A,raw_customers!B:B)</f>
        <v>Rəşad Bağırov</v>
      </c>
      <c r="D283" t="str">
        <f>_xlfn.XLOOKUP(C283,raw_customers!B:B,raw_customers!C:C)</f>
        <v>M</v>
      </c>
      <c r="E283" t="str">
        <f>_xlfn.XLOOKUP(C283,raw_customers!B:B,raw_customers!G:G)</f>
        <v>SME</v>
      </c>
      <c r="F283" t="str">
        <f>_xlfn.XLOOKUP(_xlfn.XLOOKUP(B283,raw_customers!A:A,raw_customers!F:F),raw_branches!A:A,raw_branches!B:B)</f>
        <v>Baku Yasamal</v>
      </c>
      <c r="G283" s="7">
        <v>9493.43</v>
      </c>
      <c r="H283" s="6">
        <v>13.77</v>
      </c>
      <c r="I283" t="s">
        <v>2383</v>
      </c>
      <c r="J283" t="str">
        <f t="shared" si="4"/>
        <v>Orta Risk</v>
      </c>
    </row>
    <row r="284" spans="1:10">
      <c r="A284">
        <v>158</v>
      </c>
      <c r="B284">
        <v>844</v>
      </c>
      <c r="C284" t="str">
        <f>_xlfn.XLOOKUP(B284,raw_customers!A:A,raw_customers!B:B)</f>
        <v>Samir Novruzov</v>
      </c>
      <c r="D284" t="str">
        <f>_xlfn.XLOOKUP(C284,raw_customers!B:B,raw_customers!C:C)</f>
        <v>M</v>
      </c>
      <c r="E284" t="str">
        <f>_xlfn.XLOOKUP(C284,raw_customers!B:B,raw_customers!G:G)</f>
        <v>Retail</v>
      </c>
      <c r="F284" t="str">
        <f>_xlfn.XLOOKUP(_xlfn.XLOOKUP(B284,raw_customers!A:A,raw_customers!F:F),raw_branches!A:A,raw_branches!B:B)</f>
        <v>Baku Central</v>
      </c>
      <c r="G284" s="7">
        <v>9968.27</v>
      </c>
      <c r="H284" s="6">
        <v>13.95</v>
      </c>
      <c r="I284" t="s">
        <v>2383</v>
      </c>
      <c r="J284" t="str">
        <f t="shared" si="4"/>
        <v>Orta Risk</v>
      </c>
    </row>
    <row r="285" spans="1:10">
      <c r="A285">
        <v>159</v>
      </c>
      <c r="B285">
        <v>708</v>
      </c>
      <c r="C285" t="str">
        <f>_xlfn.XLOOKUP(B285,raw_customers!A:A,raw_customers!B:B)</f>
        <v>Röya Əliyev</v>
      </c>
      <c r="D285" t="str">
        <f>_xlfn.XLOOKUP(C285,raw_customers!B:B,raw_customers!C:C)</f>
        <v>F</v>
      </c>
      <c r="E285" t="str">
        <f>_xlfn.XLOOKUP(C285,raw_customers!B:B,raw_customers!G:G)</f>
        <v>Retail</v>
      </c>
      <c r="F285" t="str">
        <f>_xlfn.XLOOKUP(_xlfn.XLOOKUP(B285,raw_customers!A:A,raw_customers!F:F),raw_branches!A:A,raw_branches!B:B)</f>
        <v>Baku Yasamal</v>
      </c>
      <c r="G285" s="7">
        <v>12378.26</v>
      </c>
      <c r="H285" s="6">
        <v>16.41</v>
      </c>
      <c r="I285" t="s">
        <v>2377</v>
      </c>
      <c r="J285" t="str">
        <f t="shared" si="4"/>
        <v>Orta Risk</v>
      </c>
    </row>
    <row r="286" spans="1:10">
      <c r="A286">
        <v>160</v>
      </c>
      <c r="B286">
        <v>850</v>
      </c>
      <c r="C286" t="str">
        <f>_xlfn.XLOOKUP(B286,raw_customers!A:A,raw_customers!B:B)</f>
        <v>Elvin Novruzov</v>
      </c>
      <c r="D286" t="str">
        <f>_xlfn.XLOOKUP(C286,raw_customers!B:B,raw_customers!C:C)</f>
        <v>M</v>
      </c>
      <c r="E286" t="str">
        <f>_xlfn.XLOOKUP(C286,raw_customers!B:B,raw_customers!G:G)</f>
        <v>Retail</v>
      </c>
      <c r="F286" t="str">
        <f>_xlfn.XLOOKUP(_xlfn.XLOOKUP(B286,raw_customers!A:A,raw_customers!F:F),raw_branches!A:A,raw_branches!B:B)</f>
        <v>Ganja Branch</v>
      </c>
      <c r="G286" s="7">
        <v>147019.63</v>
      </c>
      <c r="H286" s="6">
        <v>21.48</v>
      </c>
      <c r="I286" t="s">
        <v>2383</v>
      </c>
      <c r="J286" t="str">
        <f t="shared" si="4"/>
        <v>Yüksək Risk</v>
      </c>
    </row>
    <row r="287" spans="1:10">
      <c r="A287">
        <v>161</v>
      </c>
      <c r="B287">
        <v>734</v>
      </c>
      <c r="C287" t="str">
        <f>_xlfn.XLOOKUP(B287,raw_customers!A:A,raw_customers!B:B)</f>
        <v>Fərid Əzizov</v>
      </c>
      <c r="D287" t="str">
        <f>_xlfn.XLOOKUP(C287,raw_customers!B:B,raw_customers!C:C)</f>
        <v>M</v>
      </c>
      <c r="E287" t="str">
        <f>_xlfn.XLOOKUP(C287,raw_customers!B:B,raw_customers!G:G)</f>
        <v>SME</v>
      </c>
      <c r="F287" t="str">
        <f>_xlfn.XLOOKUP(_xlfn.XLOOKUP(B287,raw_customers!A:A,raw_customers!F:F),raw_branches!A:A,raw_branches!B:B)</f>
        <v>Sumgait Branch</v>
      </c>
      <c r="G287" s="7">
        <v>38647.7</v>
      </c>
      <c r="H287" s="6">
        <v>19.7</v>
      </c>
      <c r="I287" t="s">
        <v>2377</v>
      </c>
      <c r="J287" t="str">
        <f t="shared" si="4"/>
        <v>Yüksək Risk</v>
      </c>
    </row>
    <row r="288" spans="1:10">
      <c r="A288">
        <v>162</v>
      </c>
      <c r="B288">
        <v>10</v>
      </c>
      <c r="C288" t="str">
        <f>_xlfn.XLOOKUP(B288,raw_customers!A:A,raw_customers!B:B)</f>
        <v>Murad Əzizov</v>
      </c>
      <c r="D288" t="str">
        <f>_xlfn.XLOOKUP(C288,raw_customers!B:B,raw_customers!C:C)</f>
        <v>M</v>
      </c>
      <c r="E288" t="str">
        <f>_xlfn.XLOOKUP(C288,raw_customers!B:B,raw_customers!G:G)</f>
        <v>Retail</v>
      </c>
      <c r="F288" t="str">
        <f>_xlfn.XLOOKUP(_xlfn.XLOOKUP(B288,raw_customers!A:A,raw_customers!F:F),raw_branches!A:A,raw_branches!B:B)</f>
        <v>Lankaran Branch</v>
      </c>
      <c r="G288" s="7">
        <v>23370.32</v>
      </c>
      <c r="H288" s="6">
        <v>8.41</v>
      </c>
      <c r="I288" t="s">
        <v>2377</v>
      </c>
      <c r="J288" t="str">
        <f t="shared" si="4"/>
        <v>Aşağı Risk</v>
      </c>
    </row>
    <row r="289" spans="1:10">
      <c r="A289">
        <v>163</v>
      </c>
      <c r="B289">
        <v>731</v>
      </c>
      <c r="C289" t="str">
        <f>_xlfn.XLOOKUP(B289,raw_customers!A:A,raw_customers!B:B)</f>
        <v>Ülviyyə Novruzov</v>
      </c>
      <c r="D289" t="str">
        <f>_xlfn.XLOOKUP(C289,raw_customers!B:B,raw_customers!C:C)</f>
        <v>F</v>
      </c>
      <c r="E289" t="str">
        <f>_xlfn.XLOOKUP(C289,raw_customers!B:B,raw_customers!G:G)</f>
        <v>Retail</v>
      </c>
      <c r="F289" t="str">
        <f>_xlfn.XLOOKUP(_xlfn.XLOOKUP(B289,raw_customers!A:A,raw_customers!F:F),raw_branches!A:A,raw_branches!B:B)</f>
        <v>Baku Central</v>
      </c>
      <c r="G289" s="7">
        <v>97273.35</v>
      </c>
      <c r="H289" s="6">
        <v>7.38</v>
      </c>
      <c r="I289" t="s">
        <v>2377</v>
      </c>
      <c r="J289" t="str">
        <f t="shared" si="4"/>
        <v>Aşağı Risk</v>
      </c>
    </row>
    <row r="290" spans="1:10">
      <c r="A290">
        <v>164</v>
      </c>
      <c r="B290">
        <v>770</v>
      </c>
      <c r="C290" t="str">
        <f>_xlfn.XLOOKUP(B290,raw_customers!A:A,raw_customers!B:B)</f>
        <v>Ceyhun Əliyev</v>
      </c>
      <c r="D290" t="str">
        <f>_xlfn.XLOOKUP(C290,raw_customers!B:B,raw_customers!C:C)</f>
        <v>M</v>
      </c>
      <c r="E290" t="str">
        <f>_xlfn.XLOOKUP(C290,raw_customers!B:B,raw_customers!G:G)</f>
        <v>Retail</v>
      </c>
      <c r="F290" t="str">
        <f>_xlfn.XLOOKUP(_xlfn.XLOOKUP(B290,raw_customers!A:A,raw_customers!F:F),raw_branches!A:A,raw_branches!B:B)</f>
        <v>Ganja Branch</v>
      </c>
      <c r="G290" s="7">
        <v>30124.27</v>
      </c>
      <c r="H290" s="6">
        <v>14.8</v>
      </c>
      <c r="I290" t="s">
        <v>2377</v>
      </c>
      <c r="J290" t="str">
        <f t="shared" si="4"/>
        <v>Orta Risk</v>
      </c>
    </row>
    <row r="291" spans="1:10">
      <c r="A291">
        <v>165</v>
      </c>
      <c r="B291">
        <v>802</v>
      </c>
      <c r="C291" t="str">
        <f>_xlfn.XLOOKUP(B291,raw_customers!A:A,raw_customers!B:B)</f>
        <v>Günel Rəhimov</v>
      </c>
      <c r="D291" t="str">
        <f>_xlfn.XLOOKUP(C291,raw_customers!B:B,raw_customers!C:C)</f>
        <v>F</v>
      </c>
      <c r="E291" t="str">
        <f>_xlfn.XLOOKUP(C291,raw_customers!B:B,raw_customers!G:G)</f>
        <v>SME</v>
      </c>
      <c r="F291" t="str">
        <f>_xlfn.XLOOKUP(_xlfn.XLOOKUP(B291,raw_customers!A:A,raw_customers!F:F),raw_branches!A:A,raw_branches!B:B)</f>
        <v>Ganja Branch</v>
      </c>
      <c r="G291" s="7">
        <v>13968.35</v>
      </c>
      <c r="H291" s="6">
        <v>15.76</v>
      </c>
      <c r="I291" t="s">
        <v>2383</v>
      </c>
      <c r="J291" t="str">
        <f t="shared" si="4"/>
        <v>Orta Risk</v>
      </c>
    </row>
    <row r="292" spans="1:10">
      <c r="A292">
        <v>166</v>
      </c>
      <c r="B292">
        <v>961</v>
      </c>
      <c r="C292" t="str">
        <f>_xlfn.XLOOKUP(B292,raw_customers!A:A,raw_customers!B:B)</f>
        <v>Ramin Əliyev</v>
      </c>
      <c r="D292" t="str">
        <f>_xlfn.XLOOKUP(C292,raw_customers!B:B,raw_customers!C:C)</f>
        <v>M</v>
      </c>
      <c r="E292" t="str">
        <f>_xlfn.XLOOKUP(C292,raw_customers!B:B,raw_customers!G:G)</f>
        <v>SME</v>
      </c>
      <c r="F292" t="str">
        <f>_xlfn.XLOOKUP(_xlfn.XLOOKUP(B292,raw_customers!A:A,raw_customers!F:F),raw_branches!A:A,raw_branches!B:B)</f>
        <v>Sheki Branch</v>
      </c>
      <c r="G292" s="7">
        <v>989.87</v>
      </c>
      <c r="H292" s="6">
        <v>12.01</v>
      </c>
      <c r="I292" t="s">
        <v>2383</v>
      </c>
      <c r="J292" t="str">
        <f t="shared" si="4"/>
        <v>Orta Risk</v>
      </c>
    </row>
    <row r="293" spans="1:10">
      <c r="A293">
        <v>167</v>
      </c>
      <c r="B293">
        <v>61</v>
      </c>
      <c r="C293" t="str">
        <f>_xlfn.XLOOKUP(B293,raw_customers!A:A,raw_customers!B:B)</f>
        <v>Rüfət Əliyev</v>
      </c>
      <c r="D293" t="str">
        <f>_xlfn.XLOOKUP(C293,raw_customers!B:B,raw_customers!C:C)</f>
        <v>M</v>
      </c>
      <c r="E293" t="str">
        <f>_xlfn.XLOOKUP(C293,raw_customers!B:B,raw_customers!G:G)</f>
        <v>SME</v>
      </c>
      <c r="F293" t="str">
        <f>_xlfn.XLOOKUP(_xlfn.XLOOKUP(B293,raw_customers!A:A,raw_customers!F:F),raw_branches!A:A,raw_branches!B:B)</f>
        <v>Ganja Branch</v>
      </c>
      <c r="G293" s="7">
        <v>5170.84</v>
      </c>
      <c r="H293" s="6">
        <v>15.35</v>
      </c>
      <c r="I293" t="s">
        <v>2377</v>
      </c>
      <c r="J293" t="str">
        <f t="shared" si="4"/>
        <v>Orta Risk</v>
      </c>
    </row>
    <row r="294" spans="1:10">
      <c r="A294">
        <v>168</v>
      </c>
      <c r="B294">
        <v>706</v>
      </c>
      <c r="C294" t="str">
        <f>_xlfn.XLOOKUP(B294,raw_customers!A:A,raw_customers!B:B)</f>
        <v>Orxan Abbasov</v>
      </c>
      <c r="D294" t="str">
        <f>_xlfn.XLOOKUP(C294,raw_customers!B:B,raw_customers!C:C)</f>
        <v>M</v>
      </c>
      <c r="E294" t="str">
        <f>_xlfn.XLOOKUP(C294,raw_customers!B:B,raw_customers!G:G)</f>
        <v>Premium</v>
      </c>
      <c r="F294" t="str">
        <f>_xlfn.XLOOKUP(_xlfn.XLOOKUP(B294,raw_customers!A:A,raw_customers!F:F),raw_branches!A:A,raw_branches!B:B)</f>
        <v>Sumgait Branch</v>
      </c>
      <c r="G294" s="7">
        <v>5551.14</v>
      </c>
      <c r="H294" s="6">
        <v>18.86</v>
      </c>
      <c r="I294" t="s">
        <v>2377</v>
      </c>
      <c r="J294" t="str">
        <f t="shared" si="4"/>
        <v>Yüksək Risk</v>
      </c>
    </row>
    <row r="295" spans="1:10">
      <c r="A295">
        <v>169</v>
      </c>
      <c r="B295">
        <v>55</v>
      </c>
      <c r="C295" t="str">
        <f>_xlfn.XLOOKUP(B295,raw_customers!A:A,raw_customers!B:B)</f>
        <v>Aysel Nəbiyev</v>
      </c>
      <c r="D295" t="str">
        <f>_xlfn.XLOOKUP(C295,raw_customers!B:B,raw_customers!C:C)</f>
        <v>F</v>
      </c>
      <c r="E295" t="str">
        <f>_xlfn.XLOOKUP(C295,raw_customers!B:B,raw_customers!G:G)</f>
        <v>SME</v>
      </c>
      <c r="F295" t="str">
        <f>_xlfn.XLOOKUP(_xlfn.XLOOKUP(B295,raw_customers!A:A,raw_customers!F:F),raw_branches!A:A,raw_branches!B:B)</f>
        <v>Baku Central</v>
      </c>
      <c r="G295" s="7">
        <v>74771.45</v>
      </c>
      <c r="H295" s="6">
        <v>11.36</v>
      </c>
      <c r="I295" t="s">
        <v>2377</v>
      </c>
      <c r="J295" t="str">
        <f t="shared" si="4"/>
        <v>Aşağı Risk</v>
      </c>
    </row>
    <row r="296" spans="1:10">
      <c r="A296">
        <v>170</v>
      </c>
      <c r="B296">
        <v>68</v>
      </c>
      <c r="C296" t="str">
        <f>_xlfn.XLOOKUP(B296,raw_customers!A:A,raw_customers!B:B)</f>
        <v>Röya Hüseynov</v>
      </c>
      <c r="D296" t="str">
        <f>_xlfn.XLOOKUP(C296,raw_customers!B:B,raw_customers!C:C)</f>
        <v>F</v>
      </c>
      <c r="E296" t="str">
        <f>_xlfn.XLOOKUP(C296,raw_customers!B:B,raw_customers!G:G)</f>
        <v>Retail</v>
      </c>
      <c r="F296" t="str">
        <f>_xlfn.XLOOKUP(_xlfn.XLOOKUP(B296,raw_customers!A:A,raw_customers!F:F),raw_branches!A:A,raw_branches!B:B)</f>
        <v>Sumgait Branch</v>
      </c>
      <c r="G296" s="7">
        <v>18097.61</v>
      </c>
      <c r="H296" s="6">
        <v>17.12</v>
      </c>
      <c r="I296" t="s">
        <v>2377</v>
      </c>
      <c r="J296" t="str">
        <f t="shared" si="4"/>
        <v>Orta Risk</v>
      </c>
    </row>
    <row r="297" spans="1:10">
      <c r="A297">
        <v>171</v>
      </c>
      <c r="B297">
        <v>849</v>
      </c>
      <c r="C297" t="str">
        <f>_xlfn.XLOOKUP(B297,raw_customers!A:A,raw_customers!B:B)</f>
        <v>Səbinə Həsənov</v>
      </c>
      <c r="D297" t="str">
        <f>_xlfn.XLOOKUP(C297,raw_customers!B:B,raw_customers!C:C)</f>
        <v>F</v>
      </c>
      <c r="E297" t="str">
        <f>_xlfn.XLOOKUP(C297,raw_customers!B:B,raw_customers!G:G)</f>
        <v>Retail</v>
      </c>
      <c r="F297" t="str">
        <f>_xlfn.XLOOKUP(_xlfn.XLOOKUP(B297,raw_customers!A:A,raw_customers!F:F),raw_branches!A:A,raw_branches!B:B)</f>
        <v>Ganja Branch</v>
      </c>
      <c r="G297" s="7">
        <v>149744.92</v>
      </c>
      <c r="H297" s="6">
        <v>12.16</v>
      </c>
      <c r="I297" t="s">
        <v>2377</v>
      </c>
      <c r="J297" t="str">
        <f t="shared" si="4"/>
        <v>Orta Risk</v>
      </c>
    </row>
    <row r="298" spans="1:10">
      <c r="A298">
        <v>172</v>
      </c>
      <c r="B298">
        <v>451</v>
      </c>
      <c r="C298" t="str">
        <f>_xlfn.XLOOKUP(B298,raw_customers!A:A,raw_customers!B:B)</f>
        <v>Tural Novruzov</v>
      </c>
      <c r="D298" t="str">
        <f>_xlfn.XLOOKUP(C298,raw_customers!B:B,raw_customers!C:C)</f>
        <v>M</v>
      </c>
      <c r="E298" t="str">
        <f>_xlfn.XLOOKUP(C298,raw_customers!B:B,raw_customers!G:G)</f>
        <v>Retail</v>
      </c>
      <c r="F298" t="str">
        <f>_xlfn.XLOOKUP(_xlfn.XLOOKUP(B298,raw_customers!A:A,raw_customers!F:F),raw_branches!A:A,raw_branches!B:B)</f>
        <v>Sumgait Branch</v>
      </c>
      <c r="G298" s="7">
        <v>3990.76</v>
      </c>
      <c r="H298" s="6">
        <v>7.4</v>
      </c>
      <c r="I298" t="s">
        <v>2377</v>
      </c>
      <c r="J298" t="str">
        <f t="shared" si="4"/>
        <v>Aşağı Risk</v>
      </c>
    </row>
    <row r="299" spans="1:10">
      <c r="A299">
        <v>173</v>
      </c>
      <c r="B299">
        <v>217</v>
      </c>
      <c r="C299" t="str">
        <f>_xlfn.XLOOKUP(B299,raw_customers!A:A,raw_customers!B:B)</f>
        <v>Mehriban Quliyev</v>
      </c>
      <c r="D299" t="str">
        <f>_xlfn.XLOOKUP(C299,raw_customers!B:B,raw_customers!C:C)</f>
        <v>F</v>
      </c>
      <c r="E299" t="str">
        <f>_xlfn.XLOOKUP(C299,raw_customers!B:B,raw_customers!G:G)</f>
        <v>Retail</v>
      </c>
      <c r="F299" t="str">
        <f>_xlfn.XLOOKUP(_xlfn.XLOOKUP(B299,raw_customers!A:A,raw_customers!F:F),raw_branches!A:A,raw_branches!B:B)</f>
        <v>Baku Yasamal</v>
      </c>
      <c r="G299" s="7">
        <v>122303.84</v>
      </c>
      <c r="H299" s="6">
        <v>19.02</v>
      </c>
      <c r="I299" t="s">
        <v>2377</v>
      </c>
      <c r="J299" t="str">
        <f t="shared" si="4"/>
        <v>Yüksək Risk</v>
      </c>
    </row>
    <row r="300" spans="1:10">
      <c r="A300">
        <v>174</v>
      </c>
      <c r="B300">
        <v>738</v>
      </c>
      <c r="C300" t="str">
        <f>_xlfn.XLOOKUP(B300,raw_customers!A:A,raw_customers!B:B)</f>
        <v>Fidan Musayev</v>
      </c>
      <c r="D300" t="str">
        <f>_xlfn.XLOOKUP(C300,raw_customers!B:B,raw_customers!C:C)</f>
        <v>F</v>
      </c>
      <c r="E300" t="str">
        <f>_xlfn.XLOOKUP(C300,raw_customers!B:B,raw_customers!G:G)</f>
        <v>Retail</v>
      </c>
      <c r="F300" t="str">
        <f>_xlfn.XLOOKUP(_xlfn.XLOOKUP(B300,raw_customers!A:A,raw_customers!F:F),raw_branches!A:A,raw_branches!B:B)</f>
        <v>Mingachevir Branch</v>
      </c>
      <c r="G300" s="7">
        <v>189769.17</v>
      </c>
      <c r="H300" s="6">
        <v>10.7</v>
      </c>
      <c r="I300" t="s">
        <v>2377</v>
      </c>
      <c r="J300" t="str">
        <f t="shared" si="4"/>
        <v>Aşağı Risk</v>
      </c>
    </row>
    <row r="301" spans="1:10">
      <c r="A301">
        <v>175</v>
      </c>
      <c r="B301">
        <v>991</v>
      </c>
      <c r="C301" t="str">
        <f>_xlfn.XLOOKUP(B301,raw_customers!A:A,raw_customers!B:B)</f>
        <v>Günel Musayev</v>
      </c>
      <c r="D301" t="str">
        <f>_xlfn.XLOOKUP(C301,raw_customers!B:B,raw_customers!C:C)</f>
        <v>F</v>
      </c>
      <c r="E301" t="str">
        <f>_xlfn.XLOOKUP(C301,raw_customers!B:B,raw_customers!G:G)</f>
        <v>SME</v>
      </c>
      <c r="F301" t="str">
        <f>_xlfn.XLOOKUP(_xlfn.XLOOKUP(B301,raw_customers!A:A,raw_customers!F:F),raw_branches!A:A,raw_branches!B:B)</f>
        <v>Baku Yasamal</v>
      </c>
      <c r="G301" s="7">
        <v>15569.04</v>
      </c>
      <c r="H301" s="6">
        <v>19.24</v>
      </c>
      <c r="I301" t="s">
        <v>2377</v>
      </c>
      <c r="J301" t="str">
        <f t="shared" si="4"/>
        <v>Yüksək Risk</v>
      </c>
    </row>
    <row r="302" spans="1:10">
      <c r="A302">
        <v>176</v>
      </c>
      <c r="B302">
        <v>533</v>
      </c>
      <c r="C302" t="str">
        <f>_xlfn.XLOOKUP(B302,raw_customers!A:A,raw_customers!B:B)</f>
        <v>Röya Rəhimov</v>
      </c>
      <c r="D302" t="str">
        <f>_xlfn.XLOOKUP(C302,raw_customers!B:B,raw_customers!C:C)</f>
        <v>F</v>
      </c>
      <c r="E302" t="str">
        <f>_xlfn.XLOOKUP(C302,raw_customers!B:B,raw_customers!G:G)</f>
        <v>Retail</v>
      </c>
      <c r="F302" t="str">
        <f>_xlfn.XLOOKUP(_xlfn.XLOOKUP(B302,raw_customers!A:A,raw_customers!F:F),raw_branches!A:A,raw_branches!B:B)</f>
        <v>Mingachevir Branch</v>
      </c>
      <c r="G302" s="7">
        <v>5397.14</v>
      </c>
      <c r="H302" s="6">
        <v>6.95</v>
      </c>
      <c r="I302" t="s">
        <v>2377</v>
      </c>
      <c r="J302" t="str">
        <f t="shared" si="4"/>
        <v>Aşağı Risk</v>
      </c>
    </row>
    <row r="303" spans="1:10">
      <c r="A303">
        <v>177</v>
      </c>
      <c r="B303">
        <v>33</v>
      </c>
      <c r="C303" t="str">
        <f>_xlfn.XLOOKUP(B303,raw_customers!A:A,raw_customers!B:B)</f>
        <v>Türkan Tağıyev</v>
      </c>
      <c r="D303" t="str">
        <f>_xlfn.XLOOKUP(C303,raw_customers!B:B,raw_customers!C:C)</f>
        <v>F</v>
      </c>
      <c r="E303" t="str">
        <f>_xlfn.XLOOKUP(C303,raw_customers!B:B,raw_customers!G:G)</f>
        <v>Retail</v>
      </c>
      <c r="F303" t="str">
        <f>_xlfn.XLOOKUP(_xlfn.XLOOKUP(B303,raw_customers!A:A,raw_customers!F:F),raw_branches!A:A,raw_branches!B:B)</f>
        <v>Sumgait Branch</v>
      </c>
      <c r="G303" s="7">
        <v>10625.93</v>
      </c>
      <c r="H303" s="6">
        <v>5.12</v>
      </c>
      <c r="I303" t="s">
        <v>2383</v>
      </c>
      <c r="J303" t="str">
        <f t="shared" si="4"/>
        <v>Aşağı Risk</v>
      </c>
    </row>
    <row r="304" spans="1:10">
      <c r="A304">
        <v>178</v>
      </c>
      <c r="B304">
        <v>852</v>
      </c>
      <c r="C304" t="str">
        <f>_xlfn.XLOOKUP(B304,raw_customers!A:A,raw_customers!B:B)</f>
        <v>Vüqar Rəhimov</v>
      </c>
      <c r="D304" t="str">
        <f>_xlfn.XLOOKUP(C304,raw_customers!B:B,raw_customers!C:C)</f>
        <v>M</v>
      </c>
      <c r="E304" t="str">
        <f>_xlfn.XLOOKUP(C304,raw_customers!B:B,raw_customers!G:G)</f>
        <v>Retail</v>
      </c>
      <c r="F304" t="str">
        <f>_xlfn.XLOOKUP(_xlfn.XLOOKUP(B304,raw_customers!A:A,raw_customers!F:F),raw_branches!A:A,raw_branches!B:B)</f>
        <v>Baku Central</v>
      </c>
      <c r="G304" s="7">
        <v>114544.81</v>
      </c>
      <c r="H304" s="6">
        <v>18.9</v>
      </c>
      <c r="I304" t="s">
        <v>2377</v>
      </c>
      <c r="J304" t="str">
        <f t="shared" si="4"/>
        <v>Yüksək Risk</v>
      </c>
    </row>
    <row r="305" spans="1:10">
      <c r="A305">
        <v>179</v>
      </c>
      <c r="B305">
        <v>886</v>
      </c>
      <c r="C305" t="str">
        <f>_xlfn.XLOOKUP(B305,raw_customers!A:A,raw_customers!B:B)</f>
        <v>Samir Rəhimov</v>
      </c>
      <c r="D305" t="str">
        <f>_xlfn.XLOOKUP(C305,raw_customers!B:B,raw_customers!C:C)</f>
        <v>M</v>
      </c>
      <c r="E305" t="str">
        <f>_xlfn.XLOOKUP(C305,raw_customers!B:B,raw_customers!G:G)</f>
        <v>Retail</v>
      </c>
      <c r="F305" t="str">
        <f>_xlfn.XLOOKUP(_xlfn.XLOOKUP(B305,raw_customers!A:A,raw_customers!F:F),raw_branches!A:A,raw_branches!B:B)</f>
        <v>Baku Yasamal</v>
      </c>
      <c r="G305" s="7">
        <v>1393.53</v>
      </c>
      <c r="H305" s="6">
        <v>11.59</v>
      </c>
      <c r="I305" t="s">
        <v>2377</v>
      </c>
      <c r="J305" t="str">
        <f t="shared" si="4"/>
        <v>Aşağı Risk</v>
      </c>
    </row>
    <row r="306" spans="1:10">
      <c r="A306">
        <v>180</v>
      </c>
      <c r="B306">
        <v>750</v>
      </c>
      <c r="C306" t="str">
        <f>_xlfn.XLOOKUP(B306,raw_customers!A:A,raw_customers!B:B)</f>
        <v>Ülviyyə Orucov</v>
      </c>
      <c r="D306" t="str">
        <f>_xlfn.XLOOKUP(C306,raw_customers!B:B,raw_customers!C:C)</f>
        <v>F</v>
      </c>
      <c r="E306" t="str">
        <f>_xlfn.XLOOKUP(C306,raw_customers!B:B,raw_customers!G:G)</f>
        <v>Retail</v>
      </c>
      <c r="F306" t="str">
        <f>_xlfn.XLOOKUP(_xlfn.XLOOKUP(B306,raw_customers!A:A,raw_customers!F:F),raw_branches!A:A,raw_branches!B:B)</f>
        <v>Baku Yasamal</v>
      </c>
      <c r="G306" s="7">
        <v>5234.17</v>
      </c>
      <c r="H306" s="6">
        <v>20.96</v>
      </c>
      <c r="I306" t="s">
        <v>2377</v>
      </c>
      <c r="J306" t="str">
        <f t="shared" si="4"/>
        <v>Yüksək Risk</v>
      </c>
    </row>
    <row r="307" spans="1:10">
      <c r="A307">
        <v>181</v>
      </c>
      <c r="B307">
        <v>771</v>
      </c>
      <c r="C307" t="str">
        <f>_xlfn.XLOOKUP(B307,raw_customers!A:A,raw_customers!B:B)</f>
        <v>Fərid Tağıyev</v>
      </c>
      <c r="D307" t="str">
        <f>_xlfn.XLOOKUP(C307,raw_customers!B:B,raw_customers!C:C)</f>
        <v>M</v>
      </c>
      <c r="E307" t="str">
        <f>_xlfn.XLOOKUP(C307,raw_customers!B:B,raw_customers!G:G)</f>
        <v>Retail</v>
      </c>
      <c r="F307" t="str">
        <f>_xlfn.XLOOKUP(_xlfn.XLOOKUP(B307,raw_customers!A:A,raw_customers!F:F),raw_branches!A:A,raw_branches!B:B)</f>
        <v>Baku Central</v>
      </c>
      <c r="G307" s="7">
        <v>1193.97</v>
      </c>
      <c r="H307" s="6">
        <v>10.82</v>
      </c>
      <c r="I307" t="s">
        <v>2377</v>
      </c>
      <c r="J307" t="str">
        <f t="shared" si="4"/>
        <v>Aşağı Risk</v>
      </c>
    </row>
    <row r="308" spans="1:10">
      <c r="A308">
        <v>182</v>
      </c>
      <c r="B308">
        <v>817</v>
      </c>
      <c r="C308" t="str">
        <f>_xlfn.XLOOKUP(B308,raw_customers!A:A,raw_customers!B:B)</f>
        <v>Murad Sadıqov</v>
      </c>
      <c r="D308" t="str">
        <f>_xlfn.XLOOKUP(C308,raw_customers!B:B,raw_customers!C:C)</f>
        <v>M</v>
      </c>
      <c r="E308" t="str">
        <f>_xlfn.XLOOKUP(C308,raw_customers!B:B,raw_customers!G:G)</f>
        <v>Premium</v>
      </c>
      <c r="F308" t="str">
        <f>_xlfn.XLOOKUP(_xlfn.XLOOKUP(B308,raw_customers!A:A,raw_customers!F:F),raw_branches!A:A,raw_branches!B:B)</f>
        <v>Lankaran Branch</v>
      </c>
      <c r="G308" s="7">
        <v>8379.26</v>
      </c>
      <c r="H308" s="6">
        <v>14.68</v>
      </c>
      <c r="I308" t="s">
        <v>2383</v>
      </c>
      <c r="J308" t="str">
        <f t="shared" si="4"/>
        <v>Orta Risk</v>
      </c>
    </row>
    <row r="309" spans="1:10">
      <c r="A309">
        <v>183</v>
      </c>
      <c r="B309">
        <v>832</v>
      </c>
      <c r="C309" t="str">
        <f>_xlfn.XLOOKUP(B309,raw_customers!A:A,raw_customers!B:B)</f>
        <v>Fidan Rzayev</v>
      </c>
      <c r="D309" t="str">
        <f>_xlfn.XLOOKUP(C309,raw_customers!B:B,raw_customers!C:C)</f>
        <v>F</v>
      </c>
      <c r="E309" t="str">
        <f>_xlfn.XLOOKUP(C309,raw_customers!B:B,raw_customers!G:G)</f>
        <v>Retail</v>
      </c>
      <c r="F309" t="str">
        <f>_xlfn.XLOOKUP(_xlfn.XLOOKUP(B309,raw_customers!A:A,raw_customers!F:F),raw_branches!A:A,raw_branches!B:B)</f>
        <v>Sumgait Branch</v>
      </c>
      <c r="G309" s="7">
        <v>199518.3</v>
      </c>
      <c r="H309" s="6">
        <v>19.35</v>
      </c>
      <c r="I309" t="s">
        <v>2377</v>
      </c>
      <c r="J309" t="str">
        <f t="shared" si="4"/>
        <v>Yüksək Risk</v>
      </c>
    </row>
    <row r="310" spans="1:10">
      <c r="A310">
        <v>184</v>
      </c>
      <c r="B310">
        <v>719</v>
      </c>
      <c r="C310" t="str">
        <f>_xlfn.XLOOKUP(B310,raw_customers!A:A,raw_customers!B:B)</f>
        <v>Fuad Həsənov</v>
      </c>
      <c r="D310" t="str">
        <f>_xlfn.XLOOKUP(C310,raw_customers!B:B,raw_customers!C:C)</f>
        <v>M</v>
      </c>
      <c r="E310" t="str">
        <f>_xlfn.XLOOKUP(C310,raw_customers!B:B,raw_customers!G:G)</f>
        <v>SME</v>
      </c>
      <c r="F310" t="str">
        <f>_xlfn.XLOOKUP(_xlfn.XLOOKUP(B310,raw_customers!A:A,raw_customers!F:F),raw_branches!A:A,raw_branches!B:B)</f>
        <v>Ganja Branch</v>
      </c>
      <c r="G310" s="7">
        <v>13707.49</v>
      </c>
      <c r="H310" s="6">
        <v>12.93</v>
      </c>
      <c r="I310" t="s">
        <v>2377</v>
      </c>
      <c r="J310" t="str">
        <f t="shared" si="4"/>
        <v>Orta Risk</v>
      </c>
    </row>
    <row r="311" spans="1:10">
      <c r="A311">
        <v>185</v>
      </c>
      <c r="B311">
        <v>328</v>
      </c>
      <c r="C311" t="str">
        <f>_xlfn.XLOOKUP(B311,raw_customers!A:A,raw_customers!B:B)</f>
        <v>Elvin Hüseynov</v>
      </c>
      <c r="D311" t="str">
        <f>_xlfn.XLOOKUP(C311,raw_customers!B:B,raw_customers!C:C)</f>
        <v>M</v>
      </c>
      <c r="E311" t="str">
        <f>_xlfn.XLOOKUP(C311,raw_customers!B:B,raw_customers!G:G)</f>
        <v>SME</v>
      </c>
      <c r="F311" t="str">
        <f>_xlfn.XLOOKUP(_xlfn.XLOOKUP(B311,raw_customers!A:A,raw_customers!F:F),raw_branches!A:A,raw_branches!B:B)</f>
        <v>Lankaran Branch</v>
      </c>
      <c r="G311" s="7">
        <v>77549.67</v>
      </c>
      <c r="H311" s="6">
        <v>16.62</v>
      </c>
      <c r="I311" t="s">
        <v>2383</v>
      </c>
      <c r="J311" t="str">
        <f t="shared" si="4"/>
        <v>Orta Risk</v>
      </c>
    </row>
    <row r="312" spans="1:10">
      <c r="A312">
        <v>186</v>
      </c>
      <c r="B312">
        <v>702</v>
      </c>
      <c r="C312" t="str">
        <f>_xlfn.XLOOKUP(B312,raw_customers!A:A,raw_customers!B:B)</f>
        <v>Murad Bağırov</v>
      </c>
      <c r="D312" t="str">
        <f>_xlfn.XLOOKUP(C312,raw_customers!B:B,raw_customers!C:C)</f>
        <v>M</v>
      </c>
      <c r="E312" t="str">
        <f>_xlfn.XLOOKUP(C312,raw_customers!B:B,raw_customers!G:G)</f>
        <v>SME</v>
      </c>
      <c r="F312" t="str">
        <f>_xlfn.XLOOKUP(_xlfn.XLOOKUP(B312,raw_customers!A:A,raw_customers!F:F),raw_branches!A:A,raw_branches!B:B)</f>
        <v>Baku Yasamal</v>
      </c>
      <c r="G312" s="7">
        <v>13005.07</v>
      </c>
      <c r="H312" s="6">
        <v>21.28</v>
      </c>
      <c r="I312" t="s">
        <v>2377</v>
      </c>
      <c r="J312" t="str">
        <f t="shared" si="4"/>
        <v>Yüksək Risk</v>
      </c>
    </row>
    <row r="313" spans="1:10">
      <c r="A313">
        <v>187</v>
      </c>
      <c r="B313">
        <v>886</v>
      </c>
      <c r="C313" t="str">
        <f>_xlfn.XLOOKUP(B313,raw_customers!A:A,raw_customers!B:B)</f>
        <v>Samir Rəhimov</v>
      </c>
      <c r="D313" t="str">
        <f>_xlfn.XLOOKUP(C313,raw_customers!B:B,raw_customers!C:C)</f>
        <v>M</v>
      </c>
      <c r="E313" t="str">
        <f>_xlfn.XLOOKUP(C313,raw_customers!B:B,raw_customers!G:G)</f>
        <v>Retail</v>
      </c>
      <c r="F313" t="str">
        <f>_xlfn.XLOOKUP(_xlfn.XLOOKUP(B313,raw_customers!A:A,raw_customers!F:F),raw_branches!A:A,raw_branches!B:B)</f>
        <v>Baku Yasamal</v>
      </c>
      <c r="G313" s="7">
        <v>14301.16</v>
      </c>
      <c r="H313" s="6">
        <v>9.93</v>
      </c>
      <c r="I313" t="s">
        <v>2377</v>
      </c>
      <c r="J313" t="str">
        <f t="shared" si="4"/>
        <v>Aşağı Risk</v>
      </c>
    </row>
    <row r="314" spans="1:10">
      <c r="A314">
        <v>188</v>
      </c>
      <c r="B314">
        <v>489</v>
      </c>
      <c r="C314" t="str">
        <f>_xlfn.XLOOKUP(B314,raw_customers!A:A,raw_customers!B:B)</f>
        <v>Röya Rzayev</v>
      </c>
      <c r="D314" t="str">
        <f>_xlfn.XLOOKUP(C314,raw_customers!B:B,raw_customers!C:C)</f>
        <v>F</v>
      </c>
      <c r="E314" t="str">
        <f>_xlfn.XLOOKUP(C314,raw_customers!B:B,raw_customers!G:G)</f>
        <v>Premium</v>
      </c>
      <c r="F314" t="str">
        <f>_xlfn.XLOOKUP(_xlfn.XLOOKUP(B314,raw_customers!A:A,raw_customers!F:F),raw_branches!A:A,raw_branches!B:B)</f>
        <v>Mingachevir Branch</v>
      </c>
      <c r="G314" s="7">
        <v>188229.87</v>
      </c>
      <c r="H314" s="6">
        <v>18.74</v>
      </c>
      <c r="I314" t="s">
        <v>2377</v>
      </c>
      <c r="J314" t="str">
        <f t="shared" si="4"/>
        <v>Yüksək Risk</v>
      </c>
    </row>
    <row r="315" spans="1:10">
      <c r="A315">
        <v>189</v>
      </c>
      <c r="B315">
        <v>144</v>
      </c>
      <c r="C315" t="str">
        <f>_xlfn.XLOOKUP(B315,raw_customers!A:A,raw_customers!B:B)</f>
        <v>Şəbnəm Kərimov</v>
      </c>
      <c r="D315" t="str">
        <f>_xlfn.XLOOKUP(C315,raw_customers!B:B,raw_customers!C:C)</f>
        <v>F</v>
      </c>
      <c r="E315" t="str">
        <f>_xlfn.XLOOKUP(C315,raw_customers!B:B,raw_customers!G:G)</f>
        <v>Retail</v>
      </c>
      <c r="F315" t="str">
        <f>_xlfn.XLOOKUP(_xlfn.XLOOKUP(B315,raw_customers!A:A,raw_customers!F:F),raw_branches!A:A,raw_branches!B:B)</f>
        <v>Baku Yasamal</v>
      </c>
      <c r="G315" s="7">
        <v>55371.12</v>
      </c>
      <c r="H315" s="6">
        <v>9.3</v>
      </c>
      <c r="I315" t="s">
        <v>2377</v>
      </c>
      <c r="J315" t="str">
        <f t="shared" si="4"/>
        <v>Aşağı Risk</v>
      </c>
    </row>
    <row r="316" spans="1:10">
      <c r="A316">
        <v>190</v>
      </c>
      <c r="B316">
        <v>705</v>
      </c>
      <c r="C316" t="str">
        <f>_xlfn.XLOOKUP(B316,raw_customers!A:A,raw_customers!B:B)</f>
        <v>Şəbnəm Novruzov</v>
      </c>
      <c r="D316" t="str">
        <f>_xlfn.XLOOKUP(C316,raw_customers!B:B,raw_customers!C:C)</f>
        <v>F</v>
      </c>
      <c r="E316" t="str">
        <f>_xlfn.XLOOKUP(C316,raw_customers!B:B,raw_customers!G:G)</f>
        <v>Premium</v>
      </c>
      <c r="F316" t="str">
        <f>_xlfn.XLOOKUP(_xlfn.XLOOKUP(B316,raw_customers!A:A,raw_customers!F:F),raw_branches!A:A,raw_branches!B:B)</f>
        <v>Sheki Branch</v>
      </c>
      <c r="G316" s="7">
        <v>6092.29</v>
      </c>
      <c r="H316" s="6">
        <v>9.29</v>
      </c>
      <c r="I316" t="s">
        <v>2383</v>
      </c>
      <c r="J316" t="str">
        <f t="shared" si="4"/>
        <v>Aşağı Risk</v>
      </c>
    </row>
    <row r="317" spans="1:10">
      <c r="A317">
        <v>191</v>
      </c>
      <c r="B317">
        <v>219</v>
      </c>
      <c r="C317" t="str">
        <f>_xlfn.XLOOKUP(B317,raw_customers!A:A,raw_customers!B:B)</f>
        <v>Fuad Vəliyev</v>
      </c>
      <c r="D317" t="str">
        <f>_xlfn.XLOOKUP(C317,raw_customers!B:B,raw_customers!C:C)</f>
        <v>M</v>
      </c>
      <c r="E317" t="str">
        <f>_xlfn.XLOOKUP(C317,raw_customers!B:B,raw_customers!G:G)</f>
        <v>Retail</v>
      </c>
      <c r="F317" t="str">
        <f>_xlfn.XLOOKUP(_xlfn.XLOOKUP(B317,raw_customers!A:A,raw_customers!F:F),raw_branches!A:A,raw_branches!B:B)</f>
        <v>Mingachevir Branch</v>
      </c>
      <c r="G317" s="7">
        <v>26940.61</v>
      </c>
      <c r="H317" s="6">
        <v>20.42</v>
      </c>
      <c r="I317" t="s">
        <v>2393</v>
      </c>
      <c r="J317" t="str">
        <f t="shared" si="4"/>
        <v>Default (Batıq)</v>
      </c>
    </row>
    <row r="318" spans="1:10">
      <c r="A318">
        <v>192</v>
      </c>
      <c r="B318">
        <v>112</v>
      </c>
      <c r="C318" t="str">
        <f>_xlfn.XLOOKUP(B318,raw_customers!A:A,raw_customers!B:B)</f>
        <v>Rəşad Vəliyev</v>
      </c>
      <c r="D318" t="str">
        <f>_xlfn.XLOOKUP(C318,raw_customers!B:B,raw_customers!C:C)</f>
        <v>M</v>
      </c>
      <c r="E318" t="str">
        <f>_xlfn.XLOOKUP(C318,raw_customers!B:B,raw_customers!G:G)</f>
        <v>Retail</v>
      </c>
      <c r="F318" t="str">
        <f>_xlfn.XLOOKUP(_xlfn.XLOOKUP(B318,raw_customers!A:A,raw_customers!F:F),raw_branches!A:A,raw_branches!B:B)</f>
        <v>Mingachevir Branch</v>
      </c>
      <c r="G318" s="7">
        <v>10277.17</v>
      </c>
      <c r="H318" s="6">
        <v>21.46</v>
      </c>
      <c r="I318" t="s">
        <v>2377</v>
      </c>
      <c r="J318" t="str">
        <f t="shared" si="4"/>
        <v>Yüksək Risk</v>
      </c>
    </row>
    <row r="319" spans="1:10">
      <c r="A319">
        <v>193</v>
      </c>
      <c r="B319">
        <v>273</v>
      </c>
      <c r="C319" t="str">
        <f>_xlfn.XLOOKUP(B319,raw_customers!A:A,raw_customers!B:B)</f>
        <v>Anar Nəbiyev</v>
      </c>
      <c r="D319" t="str">
        <f>_xlfn.XLOOKUP(C319,raw_customers!B:B,raw_customers!C:C)</f>
        <v>M</v>
      </c>
      <c r="E319" t="str">
        <f>_xlfn.XLOOKUP(C319,raw_customers!B:B,raw_customers!G:G)</f>
        <v>Retail</v>
      </c>
      <c r="F319" t="str">
        <f>_xlfn.XLOOKUP(_xlfn.XLOOKUP(B319,raw_customers!A:A,raw_customers!F:F),raw_branches!A:A,raw_branches!B:B)</f>
        <v>Baku Central</v>
      </c>
      <c r="G319" s="7">
        <v>186480.07</v>
      </c>
      <c r="H319" s="6">
        <v>10.43</v>
      </c>
      <c r="I319" t="s">
        <v>2377</v>
      </c>
      <c r="J319" t="str">
        <f t="shared" si="4"/>
        <v>Aşağı Risk</v>
      </c>
    </row>
    <row r="320" spans="1:10">
      <c r="A320">
        <v>194</v>
      </c>
      <c r="B320">
        <v>537</v>
      </c>
      <c r="C320" t="str">
        <f>_xlfn.XLOOKUP(B320,raw_customers!A:A,raw_customers!B:B)</f>
        <v>Fuad Musayev</v>
      </c>
      <c r="D320" t="str">
        <f>_xlfn.XLOOKUP(C320,raw_customers!B:B,raw_customers!C:C)</f>
        <v>M</v>
      </c>
      <c r="E320" t="str">
        <f>_xlfn.XLOOKUP(C320,raw_customers!B:B,raw_customers!G:G)</f>
        <v>Premium</v>
      </c>
      <c r="F320" t="str">
        <f>_xlfn.XLOOKUP(_xlfn.XLOOKUP(B320,raw_customers!A:A,raw_customers!F:F),raw_branches!A:A,raw_branches!B:B)</f>
        <v>Sheki Branch</v>
      </c>
      <c r="G320" s="7">
        <v>7595.42</v>
      </c>
      <c r="H320" s="6">
        <v>7.56</v>
      </c>
      <c r="I320" t="s">
        <v>2393</v>
      </c>
      <c r="J320" t="str">
        <f t="shared" si="4"/>
        <v>Default (Batıq)</v>
      </c>
    </row>
    <row r="321" spans="1:10">
      <c r="A321">
        <v>195</v>
      </c>
      <c r="B321">
        <v>735</v>
      </c>
      <c r="C321" t="str">
        <f>_xlfn.XLOOKUP(B321,raw_customers!A:A,raw_customers!B:B)</f>
        <v>Vüqar Musayev</v>
      </c>
      <c r="D321" t="str">
        <f>_xlfn.XLOOKUP(C321,raw_customers!B:B,raw_customers!C:C)</f>
        <v>M</v>
      </c>
      <c r="E321" t="str">
        <f>_xlfn.XLOOKUP(C321,raw_customers!B:B,raw_customers!G:G)</f>
        <v>Retail</v>
      </c>
      <c r="F321" t="str">
        <f>_xlfn.XLOOKUP(_xlfn.XLOOKUP(B321,raw_customers!A:A,raw_customers!F:F),raw_branches!A:A,raw_branches!B:B)</f>
        <v>Lankaran Branch</v>
      </c>
      <c r="G321" s="7">
        <v>6237.09</v>
      </c>
      <c r="H321" s="6">
        <v>18.12</v>
      </c>
      <c r="I321" t="s">
        <v>2377</v>
      </c>
      <c r="J321" t="str">
        <f t="shared" si="4"/>
        <v>Yüksək Risk</v>
      </c>
    </row>
    <row r="322" spans="1:10">
      <c r="A322">
        <v>196</v>
      </c>
      <c r="B322">
        <v>368</v>
      </c>
      <c r="C322" t="str">
        <f>_xlfn.XLOOKUP(B322,raw_customers!A:A,raw_customers!B:B)</f>
        <v>Könül İsmayılov</v>
      </c>
      <c r="D322" t="str">
        <f>_xlfn.XLOOKUP(C322,raw_customers!B:B,raw_customers!C:C)</f>
        <v>F</v>
      </c>
      <c r="E322" t="str">
        <f>_xlfn.XLOOKUP(C322,raw_customers!B:B,raw_customers!G:G)</f>
        <v>Retail</v>
      </c>
      <c r="F322" t="str">
        <f>_xlfn.XLOOKUP(_xlfn.XLOOKUP(B322,raw_customers!A:A,raw_customers!F:F),raw_branches!A:A,raw_branches!B:B)</f>
        <v>Baku Central</v>
      </c>
      <c r="G322" s="7">
        <v>190588.34</v>
      </c>
      <c r="H322" s="6">
        <v>14.87</v>
      </c>
      <c r="I322" t="s">
        <v>2377</v>
      </c>
      <c r="J322" t="str">
        <f t="shared" si="4"/>
        <v>Orta Risk</v>
      </c>
    </row>
    <row r="323" spans="1:10">
      <c r="A323">
        <v>197</v>
      </c>
      <c r="B323">
        <v>984</v>
      </c>
      <c r="C323" t="str">
        <f>_xlfn.XLOOKUP(B323,raw_customers!A:A,raw_customers!B:B)</f>
        <v>Zeynəb Abbasov</v>
      </c>
      <c r="D323" t="str">
        <f>_xlfn.XLOOKUP(C323,raw_customers!B:B,raw_customers!C:C)</f>
        <v>F</v>
      </c>
      <c r="E323" t="str">
        <f>_xlfn.XLOOKUP(C323,raw_customers!B:B,raw_customers!G:G)</f>
        <v>SME</v>
      </c>
      <c r="F323" t="str">
        <f>_xlfn.XLOOKUP(_xlfn.XLOOKUP(B323,raw_customers!A:A,raw_customers!F:F),raw_branches!A:A,raw_branches!B:B)</f>
        <v>Baku Central</v>
      </c>
      <c r="G323" s="7">
        <v>1167.95</v>
      </c>
      <c r="H323" s="6">
        <v>9.22</v>
      </c>
      <c r="I323" t="s">
        <v>2383</v>
      </c>
      <c r="J323" t="str">
        <f t="shared" ref="J323:J386" si="5">IF(I323="Default","Default (Batıq)",IF(H323&gt;=18,"Yüksək Risk",IF(H323&gt;=12,"Orta Risk","Aşağı Risk")))</f>
        <v>Aşağı Risk</v>
      </c>
    </row>
    <row r="324" spans="1:10">
      <c r="A324">
        <v>198</v>
      </c>
      <c r="B324">
        <v>938</v>
      </c>
      <c r="C324" t="str">
        <f>_xlfn.XLOOKUP(B324,raw_customers!A:A,raw_customers!B:B)</f>
        <v>Rəşad Cəfərov</v>
      </c>
      <c r="D324" t="str">
        <f>_xlfn.XLOOKUP(C324,raw_customers!B:B,raw_customers!C:C)</f>
        <v>M</v>
      </c>
      <c r="E324" t="str">
        <f>_xlfn.XLOOKUP(C324,raw_customers!B:B,raw_customers!G:G)</f>
        <v>Retail</v>
      </c>
      <c r="F324" t="str">
        <f>_xlfn.XLOOKUP(_xlfn.XLOOKUP(B324,raw_customers!A:A,raw_customers!F:F),raw_branches!A:A,raw_branches!B:B)</f>
        <v>Lankaran Branch</v>
      </c>
      <c r="G324" s="7">
        <v>57263.66</v>
      </c>
      <c r="H324" s="6">
        <v>10.15</v>
      </c>
      <c r="I324" t="s">
        <v>2393</v>
      </c>
      <c r="J324" t="str">
        <f t="shared" si="5"/>
        <v>Default (Batıq)</v>
      </c>
    </row>
    <row r="325" spans="1:10">
      <c r="A325">
        <v>199</v>
      </c>
      <c r="B325">
        <v>205</v>
      </c>
      <c r="C325" t="str">
        <f>_xlfn.XLOOKUP(B325,raw_customers!A:A,raw_customers!B:B)</f>
        <v>Kamran Tağıyev</v>
      </c>
      <c r="D325" t="str">
        <f>_xlfn.XLOOKUP(C325,raw_customers!B:B,raw_customers!C:C)</f>
        <v>M</v>
      </c>
      <c r="E325" t="str">
        <f>_xlfn.XLOOKUP(C325,raw_customers!B:B,raw_customers!G:G)</f>
        <v>Retail</v>
      </c>
      <c r="F325" t="str">
        <f>_xlfn.XLOOKUP(_xlfn.XLOOKUP(B325,raw_customers!A:A,raw_customers!F:F),raw_branches!A:A,raw_branches!B:B)</f>
        <v>Ganja Branch</v>
      </c>
      <c r="G325" s="7">
        <v>92571.67</v>
      </c>
      <c r="H325" s="6">
        <v>9.09</v>
      </c>
      <c r="I325" t="s">
        <v>2377</v>
      </c>
      <c r="J325" t="str">
        <f t="shared" si="5"/>
        <v>Aşağı Risk</v>
      </c>
    </row>
    <row r="326" spans="1:10">
      <c r="A326">
        <v>200</v>
      </c>
      <c r="B326">
        <v>641</v>
      </c>
      <c r="C326" t="str">
        <f>_xlfn.XLOOKUP(B326,raw_customers!A:A,raw_customers!B:B)</f>
        <v>Nərmin Bağırov</v>
      </c>
      <c r="D326" t="str">
        <f>_xlfn.XLOOKUP(C326,raw_customers!B:B,raw_customers!C:C)</f>
        <v>F</v>
      </c>
      <c r="E326" t="str">
        <f>_xlfn.XLOOKUP(C326,raw_customers!B:B,raw_customers!G:G)</f>
        <v>Premium</v>
      </c>
      <c r="F326" t="str">
        <f>_xlfn.XLOOKUP(_xlfn.XLOOKUP(B326,raw_customers!A:A,raw_customers!F:F),raw_branches!A:A,raw_branches!B:B)</f>
        <v>Baku Central</v>
      </c>
      <c r="G326" s="7">
        <v>35107.93</v>
      </c>
      <c r="H326" s="6">
        <v>20.3</v>
      </c>
      <c r="I326" t="s">
        <v>2383</v>
      </c>
      <c r="J326" t="str">
        <f t="shared" si="5"/>
        <v>Yüksək Risk</v>
      </c>
    </row>
    <row r="327" spans="1:10">
      <c r="A327">
        <v>201</v>
      </c>
      <c r="B327">
        <v>569</v>
      </c>
      <c r="C327" t="str">
        <f>_xlfn.XLOOKUP(B327,raw_customers!A:A,raw_customers!B:B)</f>
        <v>Elvin Əliyev</v>
      </c>
      <c r="D327" t="str">
        <f>_xlfn.XLOOKUP(C327,raw_customers!B:B,raw_customers!C:C)</f>
        <v>M</v>
      </c>
      <c r="E327" t="str">
        <f>_xlfn.XLOOKUP(C327,raw_customers!B:B,raw_customers!G:G)</f>
        <v>Retail</v>
      </c>
      <c r="F327" t="str">
        <f>_xlfn.XLOOKUP(_xlfn.XLOOKUP(B327,raw_customers!A:A,raw_customers!F:F),raw_branches!A:A,raw_branches!B:B)</f>
        <v>Ganja Branch</v>
      </c>
      <c r="G327" s="7">
        <v>1521.84</v>
      </c>
      <c r="H327" s="6">
        <v>6.94</v>
      </c>
      <c r="I327" t="s">
        <v>2377</v>
      </c>
      <c r="J327" t="str">
        <f t="shared" si="5"/>
        <v>Aşağı Risk</v>
      </c>
    </row>
    <row r="328" spans="1:10">
      <c r="A328">
        <v>202</v>
      </c>
      <c r="B328">
        <v>828</v>
      </c>
      <c r="C328" t="str">
        <f>_xlfn.XLOOKUP(B328,raw_customers!A:A,raw_customers!B:B)</f>
        <v>Ceyhun Musayev</v>
      </c>
      <c r="D328" t="str">
        <f>_xlfn.XLOOKUP(C328,raw_customers!B:B,raw_customers!C:C)</f>
        <v>M</v>
      </c>
      <c r="E328" t="str">
        <f>_xlfn.XLOOKUP(C328,raw_customers!B:B,raw_customers!G:G)</f>
        <v>Retail</v>
      </c>
      <c r="F328" t="str">
        <f>_xlfn.XLOOKUP(_xlfn.XLOOKUP(B328,raw_customers!A:A,raw_customers!F:F),raw_branches!A:A,raw_branches!B:B)</f>
        <v>Sumgait Branch</v>
      </c>
      <c r="G328" s="7">
        <v>5699.16</v>
      </c>
      <c r="H328" s="6">
        <v>9.48</v>
      </c>
      <c r="I328" t="s">
        <v>2377</v>
      </c>
      <c r="J328" t="str">
        <f t="shared" si="5"/>
        <v>Aşağı Risk</v>
      </c>
    </row>
    <row r="329" spans="1:10">
      <c r="A329">
        <v>203</v>
      </c>
      <c r="B329">
        <v>819</v>
      </c>
      <c r="C329" t="str">
        <f>_xlfn.XLOOKUP(B329,raw_customers!A:A,raw_customers!B:B)</f>
        <v>Nigar İsmayılov</v>
      </c>
      <c r="D329" t="str">
        <f>_xlfn.XLOOKUP(C329,raw_customers!B:B,raw_customers!C:C)</f>
        <v>F</v>
      </c>
      <c r="E329" t="str">
        <f>_xlfn.XLOOKUP(C329,raw_customers!B:B,raw_customers!G:G)</f>
        <v>Retail</v>
      </c>
      <c r="F329" t="str">
        <f>_xlfn.XLOOKUP(_xlfn.XLOOKUP(B329,raw_customers!A:A,raw_customers!F:F),raw_branches!A:A,raw_branches!B:B)</f>
        <v>Baku Yasamal</v>
      </c>
      <c r="G329" s="7">
        <v>7518.82</v>
      </c>
      <c r="H329" s="6">
        <v>21.36</v>
      </c>
      <c r="I329" t="s">
        <v>2377</v>
      </c>
      <c r="J329" t="str">
        <f t="shared" si="5"/>
        <v>Yüksək Risk</v>
      </c>
    </row>
    <row r="330" spans="1:10">
      <c r="A330">
        <v>204</v>
      </c>
      <c r="B330">
        <v>619</v>
      </c>
      <c r="C330" t="str">
        <f>_xlfn.XLOOKUP(B330,raw_customers!A:A,raw_customers!B:B)</f>
        <v>Xəyalə Nəbiyev</v>
      </c>
      <c r="D330" t="str">
        <f>_xlfn.XLOOKUP(C330,raw_customers!B:B,raw_customers!C:C)</f>
        <v>F</v>
      </c>
      <c r="E330" t="str">
        <f>_xlfn.XLOOKUP(C330,raw_customers!B:B,raw_customers!G:G)</f>
        <v>Retail</v>
      </c>
      <c r="F330" t="str">
        <f>_xlfn.XLOOKUP(_xlfn.XLOOKUP(B330,raw_customers!A:A,raw_customers!F:F),raw_branches!A:A,raw_branches!B:B)</f>
        <v>Sumgait Branch</v>
      </c>
      <c r="G330" s="7">
        <v>19060.86</v>
      </c>
      <c r="H330" s="6">
        <v>13.02</v>
      </c>
      <c r="I330" t="s">
        <v>2383</v>
      </c>
      <c r="J330" t="str">
        <f t="shared" si="5"/>
        <v>Orta Risk</v>
      </c>
    </row>
    <row r="331" spans="1:10">
      <c r="A331">
        <v>205</v>
      </c>
      <c r="B331">
        <v>378</v>
      </c>
      <c r="C331" t="str">
        <f>_xlfn.XLOOKUP(B331,raw_customers!A:A,raw_customers!B:B)</f>
        <v>Xəyalə Kərimov</v>
      </c>
      <c r="D331" t="str">
        <f>_xlfn.XLOOKUP(C331,raw_customers!B:B,raw_customers!C:C)</f>
        <v>F</v>
      </c>
      <c r="E331" t="str">
        <f>_xlfn.XLOOKUP(C331,raw_customers!B:B,raw_customers!G:G)</f>
        <v>Retail</v>
      </c>
      <c r="F331" t="str">
        <f>_xlfn.XLOOKUP(_xlfn.XLOOKUP(B331,raw_customers!A:A,raw_customers!F:F),raw_branches!A:A,raw_branches!B:B)</f>
        <v>Ganja Branch</v>
      </c>
      <c r="G331" s="7">
        <v>3350.79</v>
      </c>
      <c r="H331" s="6">
        <v>14.57</v>
      </c>
      <c r="I331" t="s">
        <v>2377</v>
      </c>
      <c r="J331" t="str">
        <f t="shared" si="5"/>
        <v>Orta Risk</v>
      </c>
    </row>
    <row r="332" spans="1:10">
      <c r="A332">
        <v>206</v>
      </c>
      <c r="B332">
        <v>828</v>
      </c>
      <c r="C332" t="str">
        <f>_xlfn.XLOOKUP(B332,raw_customers!A:A,raw_customers!B:B)</f>
        <v>Ceyhun Musayev</v>
      </c>
      <c r="D332" t="str">
        <f>_xlfn.XLOOKUP(C332,raw_customers!B:B,raw_customers!C:C)</f>
        <v>M</v>
      </c>
      <c r="E332" t="str">
        <f>_xlfn.XLOOKUP(C332,raw_customers!B:B,raw_customers!G:G)</f>
        <v>Retail</v>
      </c>
      <c r="F332" t="str">
        <f>_xlfn.XLOOKUP(_xlfn.XLOOKUP(B332,raw_customers!A:A,raw_customers!F:F),raw_branches!A:A,raw_branches!B:B)</f>
        <v>Sumgait Branch</v>
      </c>
      <c r="G332" s="7">
        <v>156318.47</v>
      </c>
      <c r="H332" s="6">
        <v>8.28</v>
      </c>
      <c r="I332" t="s">
        <v>2383</v>
      </c>
      <c r="J332" t="str">
        <f t="shared" si="5"/>
        <v>Aşağı Risk</v>
      </c>
    </row>
    <row r="333" spans="1:10">
      <c r="A333">
        <v>207</v>
      </c>
      <c r="B333">
        <v>763</v>
      </c>
      <c r="C333" t="str">
        <f>_xlfn.XLOOKUP(B333,raw_customers!A:A,raw_customers!B:B)</f>
        <v>Lalə Əzizov</v>
      </c>
      <c r="D333" t="str">
        <f>_xlfn.XLOOKUP(C333,raw_customers!B:B,raw_customers!C:C)</f>
        <v>F</v>
      </c>
      <c r="E333" t="str">
        <f>_xlfn.XLOOKUP(C333,raw_customers!B:B,raw_customers!G:G)</f>
        <v>Retail</v>
      </c>
      <c r="F333" t="str">
        <f>_xlfn.XLOOKUP(_xlfn.XLOOKUP(B333,raw_customers!A:A,raw_customers!F:F),raw_branches!A:A,raw_branches!B:B)</f>
        <v>Ganja Branch</v>
      </c>
      <c r="G333" s="7">
        <v>13432.48</v>
      </c>
      <c r="H333" s="6">
        <v>17.13</v>
      </c>
      <c r="I333" t="s">
        <v>2393</v>
      </c>
      <c r="J333" t="str">
        <f t="shared" si="5"/>
        <v>Default (Batıq)</v>
      </c>
    </row>
    <row r="334" spans="1:10">
      <c r="A334">
        <v>208</v>
      </c>
      <c r="B334">
        <v>547</v>
      </c>
      <c r="C334" t="str">
        <f>_xlfn.XLOOKUP(B334,raw_customers!A:A,raw_customers!B:B)</f>
        <v>Şəbnəm Kərimov</v>
      </c>
      <c r="D334" t="str">
        <f>_xlfn.XLOOKUP(C334,raw_customers!B:B,raw_customers!C:C)</f>
        <v>F</v>
      </c>
      <c r="E334" t="str">
        <f>_xlfn.XLOOKUP(C334,raw_customers!B:B,raw_customers!G:G)</f>
        <v>Retail</v>
      </c>
      <c r="F334" t="str">
        <f>_xlfn.XLOOKUP(_xlfn.XLOOKUP(B334,raw_customers!A:A,raw_customers!F:F),raw_branches!A:A,raw_branches!B:B)</f>
        <v>Mingachevir Branch</v>
      </c>
      <c r="G334" s="7">
        <v>172392.44</v>
      </c>
      <c r="H334" s="6">
        <v>12.26</v>
      </c>
      <c r="I334" t="s">
        <v>2377</v>
      </c>
      <c r="J334" t="str">
        <f t="shared" si="5"/>
        <v>Orta Risk</v>
      </c>
    </row>
    <row r="335" spans="1:10">
      <c r="A335">
        <v>209</v>
      </c>
      <c r="B335">
        <v>286</v>
      </c>
      <c r="C335" t="str">
        <f>_xlfn.XLOOKUP(B335,raw_customers!A:A,raw_customers!B:B)</f>
        <v>Kamran Orucov</v>
      </c>
      <c r="D335" t="str">
        <f>_xlfn.XLOOKUP(C335,raw_customers!B:B,raw_customers!C:C)</f>
        <v>M</v>
      </c>
      <c r="E335" t="str">
        <f>_xlfn.XLOOKUP(C335,raw_customers!B:B,raw_customers!G:G)</f>
        <v>Retail</v>
      </c>
      <c r="F335" t="str">
        <f>_xlfn.XLOOKUP(_xlfn.XLOOKUP(B335,raw_customers!A:A,raw_customers!F:F),raw_branches!A:A,raw_branches!B:B)</f>
        <v>Lankaran Branch</v>
      </c>
      <c r="G335" s="7">
        <v>61820.3</v>
      </c>
      <c r="H335" s="6">
        <v>21.4</v>
      </c>
      <c r="I335" t="s">
        <v>2393</v>
      </c>
      <c r="J335" t="str">
        <f t="shared" si="5"/>
        <v>Default (Batıq)</v>
      </c>
    </row>
    <row r="336" spans="1:10">
      <c r="A336">
        <v>210</v>
      </c>
      <c r="B336">
        <v>888</v>
      </c>
      <c r="C336" t="str">
        <f>_xlfn.XLOOKUP(B336,raw_customers!A:A,raw_customers!B:B)</f>
        <v>Rəşad Quliyev</v>
      </c>
      <c r="D336" t="str">
        <f>_xlfn.XLOOKUP(C336,raw_customers!B:B,raw_customers!C:C)</f>
        <v>M</v>
      </c>
      <c r="E336" t="str">
        <f>_xlfn.XLOOKUP(C336,raw_customers!B:B,raw_customers!G:G)</f>
        <v>Retail</v>
      </c>
      <c r="F336" t="str">
        <f>_xlfn.XLOOKUP(_xlfn.XLOOKUP(B336,raw_customers!A:A,raw_customers!F:F),raw_branches!A:A,raw_branches!B:B)</f>
        <v>Lankaran Branch</v>
      </c>
      <c r="G336" s="7">
        <v>26328.41</v>
      </c>
      <c r="H336" s="6">
        <v>21.38</v>
      </c>
      <c r="I336" t="s">
        <v>2383</v>
      </c>
      <c r="J336" t="str">
        <f t="shared" si="5"/>
        <v>Yüksək Risk</v>
      </c>
    </row>
    <row r="337" spans="1:10">
      <c r="A337">
        <v>211</v>
      </c>
      <c r="B337">
        <v>116</v>
      </c>
      <c r="C337" t="str">
        <f>_xlfn.XLOOKUP(B337,raw_customers!A:A,raw_customers!B:B)</f>
        <v>Nərgiz İsmayılov</v>
      </c>
      <c r="D337" t="str">
        <f>_xlfn.XLOOKUP(C337,raw_customers!B:B,raw_customers!C:C)</f>
        <v>F</v>
      </c>
      <c r="E337" t="str">
        <f>_xlfn.XLOOKUP(C337,raw_customers!B:B,raw_customers!G:G)</f>
        <v>SME</v>
      </c>
      <c r="F337" t="str">
        <f>_xlfn.XLOOKUP(_xlfn.XLOOKUP(B337,raw_customers!A:A,raw_customers!F:F),raw_branches!A:A,raw_branches!B:B)</f>
        <v>Sumgait Branch</v>
      </c>
      <c r="G337" s="7">
        <v>29403.09</v>
      </c>
      <c r="H337" s="6">
        <v>19.26</v>
      </c>
      <c r="I337" t="s">
        <v>2377</v>
      </c>
      <c r="J337" t="str">
        <f t="shared" si="5"/>
        <v>Yüksək Risk</v>
      </c>
    </row>
    <row r="338" spans="1:10">
      <c r="A338">
        <v>212</v>
      </c>
      <c r="B338">
        <v>564</v>
      </c>
      <c r="C338" t="str">
        <f>_xlfn.XLOOKUP(B338,raw_customers!A:A,raw_customers!B:B)</f>
        <v>Tural Novruzov</v>
      </c>
      <c r="D338" t="str">
        <f>_xlfn.XLOOKUP(C338,raw_customers!B:B,raw_customers!C:C)</f>
        <v>M</v>
      </c>
      <c r="E338" t="str">
        <f>_xlfn.XLOOKUP(C338,raw_customers!B:B,raw_customers!G:G)</f>
        <v>Retail</v>
      </c>
      <c r="F338" t="str">
        <f>_xlfn.XLOOKUP(_xlfn.XLOOKUP(B338,raw_customers!A:A,raw_customers!F:F),raw_branches!A:A,raw_branches!B:B)</f>
        <v>Sheki Branch</v>
      </c>
      <c r="G338" s="7">
        <v>25626.88</v>
      </c>
      <c r="H338" s="6">
        <v>7.53</v>
      </c>
      <c r="I338" t="s">
        <v>2377</v>
      </c>
      <c r="J338" t="str">
        <f t="shared" si="5"/>
        <v>Aşağı Risk</v>
      </c>
    </row>
    <row r="339" spans="1:10">
      <c r="A339">
        <v>213</v>
      </c>
      <c r="B339">
        <v>113</v>
      </c>
      <c r="C339" t="str">
        <f>_xlfn.XLOOKUP(B339,raw_customers!A:A,raw_customers!B:B)</f>
        <v>Elşən Əzizov</v>
      </c>
      <c r="D339" t="str">
        <f>_xlfn.XLOOKUP(C339,raw_customers!B:B,raw_customers!C:C)</f>
        <v>M</v>
      </c>
      <c r="E339" t="str">
        <f>_xlfn.XLOOKUP(C339,raw_customers!B:B,raw_customers!G:G)</f>
        <v>Retail</v>
      </c>
      <c r="F339" t="str">
        <f>_xlfn.XLOOKUP(_xlfn.XLOOKUP(B339,raw_customers!A:A,raw_customers!F:F),raw_branches!A:A,raw_branches!B:B)</f>
        <v>Ganja Branch</v>
      </c>
      <c r="G339" s="7">
        <v>168138.77</v>
      </c>
      <c r="H339" s="6">
        <v>7.68</v>
      </c>
      <c r="I339" t="s">
        <v>2383</v>
      </c>
      <c r="J339" t="str">
        <f t="shared" si="5"/>
        <v>Aşağı Risk</v>
      </c>
    </row>
    <row r="340" spans="1:10">
      <c r="A340">
        <v>214</v>
      </c>
      <c r="B340">
        <v>940</v>
      </c>
      <c r="C340" t="str">
        <f>_xlfn.XLOOKUP(B340,raw_customers!A:A,raw_customers!B:B)</f>
        <v>Anar Orucov</v>
      </c>
      <c r="D340" t="str">
        <f>_xlfn.XLOOKUP(C340,raw_customers!B:B,raw_customers!C:C)</f>
        <v>M</v>
      </c>
      <c r="E340" t="str">
        <f>_xlfn.XLOOKUP(C340,raw_customers!B:B,raw_customers!G:G)</f>
        <v>SME</v>
      </c>
      <c r="F340" t="str">
        <f>_xlfn.XLOOKUP(_xlfn.XLOOKUP(B340,raw_customers!A:A,raw_customers!F:F),raw_branches!A:A,raw_branches!B:B)</f>
        <v>Ganja Branch</v>
      </c>
      <c r="G340" s="7">
        <v>111158.27</v>
      </c>
      <c r="H340" s="6">
        <v>18.13</v>
      </c>
      <c r="I340" t="s">
        <v>2383</v>
      </c>
      <c r="J340" t="str">
        <f t="shared" si="5"/>
        <v>Yüksək Risk</v>
      </c>
    </row>
    <row r="341" spans="1:10">
      <c r="A341">
        <v>215</v>
      </c>
      <c r="B341">
        <v>208</v>
      </c>
      <c r="C341" t="str">
        <f>_xlfn.XLOOKUP(B341,raw_customers!A:A,raw_customers!B:B)</f>
        <v>Nigar Tağıyev</v>
      </c>
      <c r="D341" t="str">
        <f>_xlfn.XLOOKUP(C341,raw_customers!B:B,raw_customers!C:C)</f>
        <v>F</v>
      </c>
      <c r="E341" t="str">
        <f>_xlfn.XLOOKUP(C341,raw_customers!B:B,raw_customers!G:G)</f>
        <v>SME</v>
      </c>
      <c r="F341" t="str">
        <f>_xlfn.XLOOKUP(_xlfn.XLOOKUP(B341,raw_customers!A:A,raw_customers!F:F),raw_branches!A:A,raw_branches!B:B)</f>
        <v>Lankaran Branch</v>
      </c>
      <c r="G341" s="7">
        <v>14637.47</v>
      </c>
      <c r="H341" s="6">
        <v>12.52</v>
      </c>
      <c r="I341" t="s">
        <v>2377</v>
      </c>
      <c r="J341" t="str">
        <f t="shared" si="5"/>
        <v>Orta Risk</v>
      </c>
    </row>
    <row r="342" spans="1:10">
      <c r="A342">
        <v>216</v>
      </c>
      <c r="B342">
        <v>744</v>
      </c>
      <c r="C342" t="str">
        <f>_xlfn.XLOOKUP(B342,raw_customers!A:A,raw_customers!B:B)</f>
        <v>Ramin Nəbiyev</v>
      </c>
      <c r="D342" t="str">
        <f>_xlfn.XLOOKUP(C342,raw_customers!B:B,raw_customers!C:C)</f>
        <v>M</v>
      </c>
      <c r="E342" t="str">
        <f>_xlfn.XLOOKUP(C342,raw_customers!B:B,raw_customers!G:G)</f>
        <v>Premium</v>
      </c>
      <c r="F342" t="str">
        <f>_xlfn.XLOOKUP(_xlfn.XLOOKUP(B342,raw_customers!A:A,raw_customers!F:F),raw_branches!A:A,raw_branches!B:B)</f>
        <v>Sumgait Branch</v>
      </c>
      <c r="G342" s="7">
        <v>9175.25</v>
      </c>
      <c r="H342" s="6">
        <v>14.09</v>
      </c>
      <c r="I342" t="s">
        <v>2377</v>
      </c>
      <c r="J342" t="str">
        <f t="shared" si="5"/>
        <v>Orta Risk</v>
      </c>
    </row>
    <row r="343" spans="1:10">
      <c r="A343">
        <v>217</v>
      </c>
      <c r="B343">
        <v>290</v>
      </c>
      <c r="C343" t="str">
        <f>_xlfn.XLOOKUP(B343,raw_customers!A:A,raw_customers!B:B)</f>
        <v>Sevinc Tağıyev</v>
      </c>
      <c r="D343" t="str">
        <f>_xlfn.XLOOKUP(C343,raw_customers!B:B,raw_customers!C:C)</f>
        <v>F</v>
      </c>
      <c r="E343" t="str">
        <f>_xlfn.XLOOKUP(C343,raw_customers!B:B,raw_customers!G:G)</f>
        <v>Retail</v>
      </c>
      <c r="F343" t="str">
        <f>_xlfn.XLOOKUP(_xlfn.XLOOKUP(B343,raw_customers!A:A,raw_customers!F:F),raw_branches!A:A,raw_branches!B:B)</f>
        <v>Lankaran Branch</v>
      </c>
      <c r="G343" s="7">
        <v>742.71</v>
      </c>
      <c r="H343" s="6">
        <v>8.68</v>
      </c>
      <c r="I343" t="s">
        <v>2377</v>
      </c>
      <c r="J343" t="str">
        <f t="shared" si="5"/>
        <v>Aşağı Risk</v>
      </c>
    </row>
    <row r="344" spans="1:10">
      <c r="A344">
        <v>218</v>
      </c>
      <c r="B344">
        <v>282</v>
      </c>
      <c r="C344" t="str">
        <f>_xlfn.XLOOKUP(B344,raw_customers!A:A,raw_customers!B:B)</f>
        <v>Mehriban Cəfərov</v>
      </c>
      <c r="D344" t="str">
        <f>_xlfn.XLOOKUP(C344,raw_customers!B:B,raw_customers!C:C)</f>
        <v>F</v>
      </c>
      <c r="E344" t="str">
        <f>_xlfn.XLOOKUP(C344,raw_customers!B:B,raw_customers!G:G)</f>
        <v>Retail</v>
      </c>
      <c r="F344" t="str">
        <f>_xlfn.XLOOKUP(_xlfn.XLOOKUP(B344,raw_customers!A:A,raw_customers!F:F),raw_branches!A:A,raw_branches!B:B)</f>
        <v>Sheki Branch</v>
      </c>
      <c r="G344" s="7">
        <v>113319.92</v>
      </c>
      <c r="H344" s="6">
        <v>16.84</v>
      </c>
      <c r="I344" t="s">
        <v>2377</v>
      </c>
      <c r="J344" t="str">
        <f t="shared" si="5"/>
        <v>Orta Risk</v>
      </c>
    </row>
    <row r="345" spans="1:10">
      <c r="A345">
        <v>219</v>
      </c>
      <c r="B345">
        <v>163</v>
      </c>
      <c r="C345" t="str">
        <f>_xlfn.XLOOKUP(B345,raw_customers!A:A,raw_customers!B:B)</f>
        <v>Mehriban Kərimov</v>
      </c>
      <c r="D345" t="str">
        <f>_xlfn.XLOOKUP(C345,raw_customers!B:B,raw_customers!C:C)</f>
        <v>F</v>
      </c>
      <c r="E345" t="str">
        <f>_xlfn.XLOOKUP(C345,raw_customers!B:B,raw_customers!G:G)</f>
        <v>Retail</v>
      </c>
      <c r="F345" t="str">
        <f>_xlfn.XLOOKUP(_xlfn.XLOOKUP(B345,raw_customers!A:A,raw_customers!F:F),raw_branches!A:A,raw_branches!B:B)</f>
        <v>Baku Central</v>
      </c>
      <c r="G345" s="7">
        <v>2635.27</v>
      </c>
      <c r="H345" s="6">
        <v>19.43</v>
      </c>
      <c r="I345" t="s">
        <v>2377</v>
      </c>
      <c r="J345" t="str">
        <f t="shared" si="5"/>
        <v>Yüksək Risk</v>
      </c>
    </row>
    <row r="346" spans="1:10">
      <c r="A346">
        <v>220</v>
      </c>
      <c r="B346">
        <v>687</v>
      </c>
      <c r="C346" t="str">
        <f>_xlfn.XLOOKUP(B346,raw_customers!A:A,raw_customers!B:B)</f>
        <v>Rəşad Kərimov</v>
      </c>
      <c r="D346" t="str">
        <f>_xlfn.XLOOKUP(C346,raw_customers!B:B,raw_customers!C:C)</f>
        <v>M</v>
      </c>
      <c r="E346" t="str">
        <f>_xlfn.XLOOKUP(C346,raw_customers!B:B,raw_customers!G:G)</f>
        <v>SME</v>
      </c>
      <c r="F346" t="str">
        <f>_xlfn.XLOOKUP(_xlfn.XLOOKUP(B346,raw_customers!A:A,raw_customers!F:F),raw_branches!A:A,raw_branches!B:B)</f>
        <v>Ganja Branch</v>
      </c>
      <c r="G346" s="7">
        <v>23700.24</v>
      </c>
      <c r="H346" s="6">
        <v>6.66</v>
      </c>
      <c r="I346" t="s">
        <v>2377</v>
      </c>
      <c r="J346" t="str">
        <f t="shared" si="5"/>
        <v>Aşağı Risk</v>
      </c>
    </row>
    <row r="347" spans="1:10">
      <c r="A347">
        <v>221</v>
      </c>
      <c r="B347">
        <v>434</v>
      </c>
      <c r="C347" t="str">
        <f>_xlfn.XLOOKUP(B347,raw_customers!A:A,raw_customers!B:B)</f>
        <v>Ramin Quliyev</v>
      </c>
      <c r="D347" t="str">
        <f>_xlfn.XLOOKUP(C347,raw_customers!B:B,raw_customers!C:C)</f>
        <v>M</v>
      </c>
      <c r="E347" t="str">
        <f>_xlfn.XLOOKUP(C347,raw_customers!B:B,raw_customers!G:G)</f>
        <v>SME</v>
      </c>
      <c r="F347" t="str">
        <f>_xlfn.XLOOKUP(_xlfn.XLOOKUP(B347,raw_customers!A:A,raw_customers!F:F),raw_branches!A:A,raw_branches!B:B)</f>
        <v>Baku Central</v>
      </c>
      <c r="G347" s="7">
        <v>39656.74</v>
      </c>
      <c r="H347" s="6">
        <v>11.02</v>
      </c>
      <c r="I347" t="s">
        <v>2393</v>
      </c>
      <c r="J347" t="str">
        <f t="shared" si="5"/>
        <v>Default (Batıq)</v>
      </c>
    </row>
    <row r="348" spans="1:10">
      <c r="A348">
        <v>222</v>
      </c>
      <c r="B348">
        <v>311</v>
      </c>
      <c r="C348" t="str">
        <f>_xlfn.XLOOKUP(B348,raw_customers!A:A,raw_customers!B:B)</f>
        <v>Tural Əliyev</v>
      </c>
      <c r="D348" t="str">
        <f>_xlfn.XLOOKUP(C348,raw_customers!B:B,raw_customers!C:C)</f>
        <v>M</v>
      </c>
      <c r="E348" t="str">
        <f>_xlfn.XLOOKUP(C348,raw_customers!B:B,raw_customers!G:G)</f>
        <v>Retail</v>
      </c>
      <c r="F348" t="str">
        <f>_xlfn.XLOOKUP(_xlfn.XLOOKUP(B348,raw_customers!A:A,raw_customers!F:F),raw_branches!A:A,raw_branches!B:B)</f>
        <v>Ganja Branch</v>
      </c>
      <c r="G348" s="7">
        <v>38792.43</v>
      </c>
      <c r="H348" s="6">
        <v>11.4</v>
      </c>
      <c r="I348" t="s">
        <v>2377</v>
      </c>
      <c r="J348" t="str">
        <f t="shared" si="5"/>
        <v>Aşağı Risk</v>
      </c>
    </row>
    <row r="349" spans="1:10">
      <c r="A349">
        <v>223</v>
      </c>
      <c r="B349">
        <v>577</v>
      </c>
      <c r="C349" t="str">
        <f>_xlfn.XLOOKUP(B349,raw_customers!A:A,raw_customers!B:B)</f>
        <v>Könül Rzayev</v>
      </c>
      <c r="D349" t="str">
        <f>_xlfn.XLOOKUP(C349,raw_customers!B:B,raw_customers!C:C)</f>
        <v>F</v>
      </c>
      <c r="E349" t="str">
        <f>_xlfn.XLOOKUP(C349,raw_customers!B:B,raw_customers!G:G)</f>
        <v>SME</v>
      </c>
      <c r="F349" t="str">
        <f>_xlfn.XLOOKUP(_xlfn.XLOOKUP(B349,raw_customers!A:A,raw_customers!F:F),raw_branches!A:A,raw_branches!B:B)</f>
        <v>Baku Yasamal</v>
      </c>
      <c r="G349" s="7">
        <v>31012.87</v>
      </c>
      <c r="H349" s="6">
        <v>20.38</v>
      </c>
      <c r="I349" t="s">
        <v>2393</v>
      </c>
      <c r="J349" t="str">
        <f t="shared" si="5"/>
        <v>Default (Batıq)</v>
      </c>
    </row>
    <row r="350" spans="1:10">
      <c r="A350">
        <v>224</v>
      </c>
      <c r="B350">
        <v>851</v>
      </c>
      <c r="C350" t="str">
        <f>_xlfn.XLOOKUP(B350,raw_customers!A:A,raw_customers!B:B)</f>
        <v>Şəbnəm Tağıyev</v>
      </c>
      <c r="D350" t="str">
        <f>_xlfn.XLOOKUP(C350,raw_customers!B:B,raw_customers!C:C)</f>
        <v>F</v>
      </c>
      <c r="E350" t="str">
        <f>_xlfn.XLOOKUP(C350,raw_customers!B:B,raw_customers!G:G)</f>
        <v>Premium</v>
      </c>
      <c r="F350" t="str">
        <f>_xlfn.XLOOKUP(_xlfn.XLOOKUP(B350,raw_customers!A:A,raw_customers!F:F),raw_branches!A:A,raw_branches!B:B)</f>
        <v>Sumgait Branch</v>
      </c>
      <c r="G350" s="7">
        <v>62414.31</v>
      </c>
      <c r="H350" s="6">
        <v>7.34</v>
      </c>
      <c r="I350" t="s">
        <v>2377</v>
      </c>
      <c r="J350" t="str">
        <f t="shared" si="5"/>
        <v>Aşağı Risk</v>
      </c>
    </row>
    <row r="351" spans="1:10">
      <c r="A351">
        <v>225</v>
      </c>
      <c r="B351">
        <v>839</v>
      </c>
      <c r="C351" t="str">
        <f>_xlfn.XLOOKUP(B351,raw_customers!A:A,raw_customers!B:B)</f>
        <v>Samir Kərimov</v>
      </c>
      <c r="D351" t="str">
        <f>_xlfn.XLOOKUP(C351,raw_customers!B:B,raw_customers!C:C)</f>
        <v>M</v>
      </c>
      <c r="E351" t="str">
        <f>_xlfn.XLOOKUP(C351,raw_customers!B:B,raw_customers!G:G)</f>
        <v>Retail</v>
      </c>
      <c r="F351" t="str">
        <f>_xlfn.XLOOKUP(_xlfn.XLOOKUP(B351,raw_customers!A:A,raw_customers!F:F),raw_branches!A:A,raw_branches!B:B)</f>
        <v>Sumgait Branch</v>
      </c>
      <c r="G351" s="7">
        <v>78313.07</v>
      </c>
      <c r="H351" s="6">
        <v>8.48</v>
      </c>
      <c r="I351" t="s">
        <v>2383</v>
      </c>
      <c r="J351" t="str">
        <f t="shared" si="5"/>
        <v>Aşağı Risk</v>
      </c>
    </row>
    <row r="352" spans="1:10">
      <c r="A352">
        <v>226</v>
      </c>
      <c r="B352">
        <v>473</v>
      </c>
      <c r="C352" t="str">
        <f>_xlfn.XLOOKUP(B352,raw_customers!A:A,raw_customers!B:B)</f>
        <v>Tural İsmayılov</v>
      </c>
      <c r="D352" t="str">
        <f>_xlfn.XLOOKUP(C352,raw_customers!B:B,raw_customers!C:C)</f>
        <v>M</v>
      </c>
      <c r="E352" t="str">
        <f>_xlfn.XLOOKUP(C352,raw_customers!B:B,raw_customers!G:G)</f>
        <v>Retail</v>
      </c>
      <c r="F352" t="str">
        <f>_xlfn.XLOOKUP(_xlfn.XLOOKUP(B352,raw_customers!A:A,raw_customers!F:F),raw_branches!A:A,raw_branches!B:B)</f>
        <v>Mingachevir Branch</v>
      </c>
      <c r="G352" s="7">
        <v>13984.93</v>
      </c>
      <c r="H352" s="6">
        <v>8.83</v>
      </c>
      <c r="I352" t="s">
        <v>2393</v>
      </c>
      <c r="J352" t="str">
        <f t="shared" si="5"/>
        <v>Default (Batıq)</v>
      </c>
    </row>
    <row r="353" spans="1:10">
      <c r="A353">
        <v>227</v>
      </c>
      <c r="B353">
        <v>264</v>
      </c>
      <c r="C353" t="str">
        <f>_xlfn.XLOOKUP(B353,raw_customers!A:A,raw_customers!B:B)</f>
        <v>Fərid Quliyev</v>
      </c>
      <c r="D353" t="str">
        <f>_xlfn.XLOOKUP(C353,raw_customers!B:B,raw_customers!C:C)</f>
        <v>M</v>
      </c>
      <c r="E353" t="str">
        <f>_xlfn.XLOOKUP(C353,raw_customers!B:B,raw_customers!G:G)</f>
        <v>Retail</v>
      </c>
      <c r="F353" t="str">
        <f>_xlfn.XLOOKUP(_xlfn.XLOOKUP(B353,raw_customers!A:A,raw_customers!F:F),raw_branches!A:A,raw_branches!B:B)</f>
        <v>Ganja Branch</v>
      </c>
      <c r="G353" s="7">
        <v>162142.34</v>
      </c>
      <c r="H353" s="6">
        <v>5.04</v>
      </c>
      <c r="I353" t="s">
        <v>2377</v>
      </c>
      <c r="J353" t="str">
        <f t="shared" si="5"/>
        <v>Aşağı Risk</v>
      </c>
    </row>
    <row r="354" spans="1:10">
      <c r="A354">
        <v>228</v>
      </c>
      <c r="B354">
        <v>285</v>
      </c>
      <c r="C354" t="str">
        <f>_xlfn.XLOOKUP(B354,raw_customers!A:A,raw_customers!B:B)</f>
        <v>Nigar Bağırov</v>
      </c>
      <c r="D354" t="str">
        <f>_xlfn.XLOOKUP(C354,raw_customers!B:B,raw_customers!C:C)</f>
        <v>F</v>
      </c>
      <c r="E354" t="str">
        <f>_xlfn.XLOOKUP(C354,raw_customers!B:B,raw_customers!G:G)</f>
        <v>SME</v>
      </c>
      <c r="F354" t="str">
        <f>_xlfn.XLOOKUP(_xlfn.XLOOKUP(B354,raw_customers!A:A,raw_customers!F:F),raw_branches!A:A,raw_branches!B:B)</f>
        <v>Sheki Branch</v>
      </c>
      <c r="G354" s="7">
        <v>2008.49</v>
      </c>
      <c r="H354" s="6">
        <v>13.36</v>
      </c>
      <c r="I354" t="s">
        <v>2377</v>
      </c>
      <c r="J354" t="str">
        <f t="shared" si="5"/>
        <v>Orta Risk</v>
      </c>
    </row>
    <row r="355" spans="1:10">
      <c r="A355">
        <v>229</v>
      </c>
      <c r="B355">
        <v>149</v>
      </c>
      <c r="C355" t="str">
        <f>_xlfn.XLOOKUP(B355,raw_customers!A:A,raw_customers!B:B)</f>
        <v>Ramin Orucov</v>
      </c>
      <c r="D355" t="str">
        <f>_xlfn.XLOOKUP(C355,raw_customers!B:B,raw_customers!C:C)</f>
        <v>M</v>
      </c>
      <c r="E355" t="str">
        <f>_xlfn.XLOOKUP(C355,raw_customers!B:B,raw_customers!G:G)</f>
        <v>Retail</v>
      </c>
      <c r="F355" t="str">
        <f>_xlfn.XLOOKUP(_xlfn.XLOOKUP(B355,raw_customers!A:A,raw_customers!F:F),raw_branches!A:A,raw_branches!B:B)</f>
        <v>Baku Central</v>
      </c>
      <c r="G355" s="7">
        <v>111623.82</v>
      </c>
      <c r="H355" s="6">
        <v>14.88</v>
      </c>
      <c r="I355" t="s">
        <v>2393</v>
      </c>
      <c r="J355" t="str">
        <f t="shared" si="5"/>
        <v>Default (Batıq)</v>
      </c>
    </row>
    <row r="356" spans="1:10">
      <c r="A356">
        <v>230</v>
      </c>
      <c r="B356">
        <v>844</v>
      </c>
      <c r="C356" t="str">
        <f>_xlfn.XLOOKUP(B356,raw_customers!A:A,raw_customers!B:B)</f>
        <v>Samir Novruzov</v>
      </c>
      <c r="D356" t="str">
        <f>_xlfn.XLOOKUP(C356,raw_customers!B:B,raw_customers!C:C)</f>
        <v>M</v>
      </c>
      <c r="E356" t="str">
        <f>_xlfn.XLOOKUP(C356,raw_customers!B:B,raw_customers!G:G)</f>
        <v>Retail</v>
      </c>
      <c r="F356" t="str">
        <f>_xlfn.XLOOKUP(_xlfn.XLOOKUP(B356,raw_customers!A:A,raw_customers!F:F),raw_branches!A:A,raw_branches!B:B)</f>
        <v>Baku Central</v>
      </c>
      <c r="G356" s="7">
        <v>14259.48</v>
      </c>
      <c r="H356" s="6">
        <v>9.09</v>
      </c>
      <c r="I356" t="s">
        <v>2377</v>
      </c>
      <c r="J356" t="str">
        <f t="shared" si="5"/>
        <v>Aşağı Risk</v>
      </c>
    </row>
    <row r="357" spans="1:10">
      <c r="A357">
        <v>231</v>
      </c>
      <c r="B357">
        <v>939</v>
      </c>
      <c r="C357" t="str">
        <f>_xlfn.XLOOKUP(B357,raw_customers!A:A,raw_customers!B:B)</f>
        <v>Ülviyyə Novruzov</v>
      </c>
      <c r="D357" t="str">
        <f>_xlfn.XLOOKUP(C357,raw_customers!B:B,raw_customers!C:C)</f>
        <v>F</v>
      </c>
      <c r="E357" t="str">
        <f>_xlfn.XLOOKUP(C357,raw_customers!B:B,raw_customers!G:G)</f>
        <v>Retail</v>
      </c>
      <c r="F357" t="str">
        <f>_xlfn.XLOOKUP(_xlfn.XLOOKUP(B357,raw_customers!A:A,raw_customers!F:F),raw_branches!A:A,raw_branches!B:B)</f>
        <v>Baku Central</v>
      </c>
      <c r="G357" s="7">
        <v>85827.36</v>
      </c>
      <c r="H357" s="6">
        <v>9.07</v>
      </c>
      <c r="I357" t="s">
        <v>2377</v>
      </c>
      <c r="J357" t="str">
        <f t="shared" si="5"/>
        <v>Aşağı Risk</v>
      </c>
    </row>
    <row r="358" spans="1:10">
      <c r="A358">
        <v>232</v>
      </c>
      <c r="B358">
        <v>350</v>
      </c>
      <c r="C358" t="str">
        <f>_xlfn.XLOOKUP(B358,raw_customers!A:A,raw_customers!B:B)</f>
        <v>Kənan Quliyev</v>
      </c>
      <c r="D358" t="str">
        <f>_xlfn.XLOOKUP(C358,raw_customers!B:B,raw_customers!C:C)</f>
        <v>M</v>
      </c>
      <c r="E358" t="str">
        <f>_xlfn.XLOOKUP(C358,raw_customers!B:B,raw_customers!G:G)</f>
        <v>Retail</v>
      </c>
      <c r="F358" t="str">
        <f>_xlfn.XLOOKUP(_xlfn.XLOOKUP(B358,raw_customers!A:A,raw_customers!F:F),raw_branches!A:A,raw_branches!B:B)</f>
        <v>Mingachevir Branch</v>
      </c>
      <c r="G358" s="7">
        <v>2333.26</v>
      </c>
      <c r="H358" s="6">
        <v>6.61</v>
      </c>
      <c r="I358" t="s">
        <v>2377</v>
      </c>
      <c r="J358" t="str">
        <f t="shared" si="5"/>
        <v>Aşağı Risk</v>
      </c>
    </row>
    <row r="359" spans="1:10">
      <c r="A359">
        <v>233</v>
      </c>
      <c r="B359">
        <v>362</v>
      </c>
      <c r="C359" t="str">
        <f>_xlfn.XLOOKUP(B359,raw_customers!A:A,raw_customers!B:B)</f>
        <v>Günel Rəhimov</v>
      </c>
      <c r="D359" t="str">
        <f>_xlfn.XLOOKUP(C359,raw_customers!B:B,raw_customers!C:C)</f>
        <v>F</v>
      </c>
      <c r="E359" t="str">
        <f>_xlfn.XLOOKUP(C359,raw_customers!B:B,raw_customers!G:G)</f>
        <v>SME</v>
      </c>
      <c r="F359" t="str">
        <f>_xlfn.XLOOKUP(_xlfn.XLOOKUP(B359,raw_customers!A:A,raw_customers!F:F),raw_branches!A:A,raw_branches!B:B)</f>
        <v>Baku Yasamal</v>
      </c>
      <c r="G359" s="7">
        <v>6311.69</v>
      </c>
      <c r="H359" s="6">
        <v>21.58</v>
      </c>
      <c r="I359" t="s">
        <v>2377</v>
      </c>
      <c r="J359" t="str">
        <f t="shared" si="5"/>
        <v>Yüksək Risk</v>
      </c>
    </row>
    <row r="360" spans="1:10">
      <c r="A360">
        <v>234</v>
      </c>
      <c r="B360">
        <v>944</v>
      </c>
      <c r="C360" t="str">
        <f>_xlfn.XLOOKUP(B360,raw_customers!A:A,raw_customers!B:B)</f>
        <v>Nicat Bağırov</v>
      </c>
      <c r="D360" t="str">
        <f>_xlfn.XLOOKUP(C360,raw_customers!B:B,raw_customers!C:C)</f>
        <v>M</v>
      </c>
      <c r="E360" t="str">
        <f>_xlfn.XLOOKUP(C360,raw_customers!B:B,raw_customers!G:G)</f>
        <v>Premium</v>
      </c>
      <c r="F360" t="str">
        <f>_xlfn.XLOOKUP(_xlfn.XLOOKUP(B360,raw_customers!A:A,raw_customers!F:F),raw_branches!A:A,raw_branches!B:B)</f>
        <v>Baku Yasamal</v>
      </c>
      <c r="G360" s="7">
        <v>15770.37</v>
      </c>
      <c r="H360" s="6">
        <v>14.3</v>
      </c>
      <c r="I360" t="s">
        <v>2377</v>
      </c>
      <c r="J360" t="str">
        <f t="shared" si="5"/>
        <v>Orta Risk</v>
      </c>
    </row>
    <row r="361" spans="1:10">
      <c r="A361">
        <v>235</v>
      </c>
      <c r="B361">
        <v>579</v>
      </c>
      <c r="C361" t="str">
        <f>_xlfn.XLOOKUP(B361,raw_customers!A:A,raw_customers!B:B)</f>
        <v>Rüfət Kərimov</v>
      </c>
      <c r="D361" t="str">
        <f>_xlfn.XLOOKUP(C361,raw_customers!B:B,raw_customers!C:C)</f>
        <v>M</v>
      </c>
      <c r="E361" t="str">
        <f>_xlfn.XLOOKUP(C361,raw_customers!B:B,raw_customers!G:G)</f>
        <v>Premium</v>
      </c>
      <c r="F361" t="str">
        <f>_xlfn.XLOOKUP(_xlfn.XLOOKUP(B361,raw_customers!A:A,raw_customers!F:F),raw_branches!A:A,raw_branches!B:B)</f>
        <v>Sumgait Branch</v>
      </c>
      <c r="G361" s="7">
        <v>115093.36</v>
      </c>
      <c r="H361" s="6">
        <v>16.12</v>
      </c>
      <c r="I361" t="s">
        <v>2377</v>
      </c>
      <c r="J361" t="str">
        <f t="shared" si="5"/>
        <v>Orta Risk</v>
      </c>
    </row>
    <row r="362" spans="1:10">
      <c r="A362">
        <v>236</v>
      </c>
      <c r="B362">
        <v>604</v>
      </c>
      <c r="C362" t="str">
        <f>_xlfn.XLOOKUP(B362,raw_customers!A:A,raw_customers!B:B)</f>
        <v>Nərmin Kərimov</v>
      </c>
      <c r="D362" t="str">
        <f>_xlfn.XLOOKUP(C362,raw_customers!B:B,raw_customers!C:C)</f>
        <v>F</v>
      </c>
      <c r="E362" t="str">
        <f>_xlfn.XLOOKUP(C362,raw_customers!B:B,raw_customers!G:G)</f>
        <v>Retail</v>
      </c>
      <c r="F362" t="str">
        <f>_xlfn.XLOOKUP(_xlfn.XLOOKUP(B362,raw_customers!A:A,raw_customers!F:F),raw_branches!A:A,raw_branches!B:B)</f>
        <v>Ganja Branch</v>
      </c>
      <c r="G362" s="7">
        <v>151370.92</v>
      </c>
      <c r="H362" s="6">
        <v>13.4</v>
      </c>
      <c r="I362" t="s">
        <v>2377</v>
      </c>
      <c r="J362" t="str">
        <f t="shared" si="5"/>
        <v>Orta Risk</v>
      </c>
    </row>
    <row r="363" spans="1:10">
      <c r="A363">
        <v>237</v>
      </c>
      <c r="B363">
        <v>590</v>
      </c>
      <c r="C363" t="str">
        <f>_xlfn.XLOOKUP(B363,raw_customers!A:A,raw_customers!B:B)</f>
        <v>Könül Həsənov</v>
      </c>
      <c r="D363" t="str">
        <f>_xlfn.XLOOKUP(C363,raw_customers!B:B,raw_customers!C:C)</f>
        <v>F</v>
      </c>
      <c r="E363" t="str">
        <f>_xlfn.XLOOKUP(C363,raw_customers!B:B,raw_customers!G:G)</f>
        <v>Premium</v>
      </c>
      <c r="F363" t="str">
        <f>_xlfn.XLOOKUP(_xlfn.XLOOKUP(B363,raw_customers!A:A,raw_customers!F:F),raw_branches!A:A,raw_branches!B:B)</f>
        <v>Lankaran Branch</v>
      </c>
      <c r="G363" s="7">
        <v>19098.14</v>
      </c>
      <c r="H363" s="6">
        <v>5.83</v>
      </c>
      <c r="I363" t="s">
        <v>2383</v>
      </c>
      <c r="J363" t="str">
        <f t="shared" si="5"/>
        <v>Aşağı Risk</v>
      </c>
    </row>
    <row r="364" spans="1:10">
      <c r="A364">
        <v>238</v>
      </c>
      <c r="B364">
        <v>713</v>
      </c>
      <c r="C364" t="str">
        <f>_xlfn.XLOOKUP(B364,raw_customers!A:A,raw_customers!B:B)</f>
        <v>Lalə Kərimov</v>
      </c>
      <c r="D364" t="str">
        <f>_xlfn.XLOOKUP(C364,raw_customers!B:B,raw_customers!C:C)</f>
        <v>F</v>
      </c>
      <c r="E364" t="str">
        <f>_xlfn.XLOOKUP(C364,raw_customers!B:B,raw_customers!G:G)</f>
        <v>Premium</v>
      </c>
      <c r="F364" t="str">
        <f>_xlfn.XLOOKUP(_xlfn.XLOOKUP(B364,raw_customers!A:A,raw_customers!F:F),raw_branches!A:A,raw_branches!B:B)</f>
        <v>Sumgait Branch</v>
      </c>
      <c r="G364" s="7">
        <v>32867.8</v>
      </c>
      <c r="H364" s="6">
        <v>5.8</v>
      </c>
      <c r="I364" t="s">
        <v>2383</v>
      </c>
      <c r="J364" t="str">
        <f t="shared" si="5"/>
        <v>Aşağı Risk</v>
      </c>
    </row>
    <row r="365" spans="1:10">
      <c r="A365">
        <v>239</v>
      </c>
      <c r="B365">
        <v>472</v>
      </c>
      <c r="C365" t="str">
        <f>_xlfn.XLOOKUP(B365,raw_customers!A:A,raw_customers!B:B)</f>
        <v>Könül Əliyev</v>
      </c>
      <c r="D365" t="str">
        <f>_xlfn.XLOOKUP(C365,raw_customers!B:B,raw_customers!C:C)</f>
        <v>F</v>
      </c>
      <c r="E365" t="str">
        <f>_xlfn.XLOOKUP(C365,raw_customers!B:B,raw_customers!G:G)</f>
        <v>Retail</v>
      </c>
      <c r="F365" t="str">
        <f>_xlfn.XLOOKUP(_xlfn.XLOOKUP(B365,raw_customers!A:A,raw_customers!F:F),raw_branches!A:A,raw_branches!B:B)</f>
        <v>Lankaran Branch</v>
      </c>
      <c r="G365" s="7">
        <v>8422.95</v>
      </c>
      <c r="H365" s="6">
        <v>6.32</v>
      </c>
      <c r="I365" t="s">
        <v>2377</v>
      </c>
      <c r="J365" t="str">
        <f t="shared" si="5"/>
        <v>Aşağı Risk</v>
      </c>
    </row>
    <row r="366" spans="1:10">
      <c r="A366">
        <v>240</v>
      </c>
      <c r="B366">
        <v>202</v>
      </c>
      <c r="C366" t="str">
        <f>_xlfn.XLOOKUP(B366,raw_customers!A:A,raw_customers!B:B)</f>
        <v>Rəşad Rəhimov</v>
      </c>
      <c r="D366" t="str">
        <f>_xlfn.XLOOKUP(C366,raw_customers!B:B,raw_customers!C:C)</f>
        <v>M</v>
      </c>
      <c r="E366" t="str">
        <f>_xlfn.XLOOKUP(C366,raw_customers!B:B,raw_customers!G:G)</f>
        <v>SME</v>
      </c>
      <c r="F366" t="str">
        <f>_xlfn.XLOOKUP(_xlfn.XLOOKUP(B366,raw_customers!A:A,raw_customers!F:F),raw_branches!A:A,raw_branches!B:B)</f>
        <v>Baku Yasamal</v>
      </c>
      <c r="G366" s="7">
        <v>23435.12</v>
      </c>
      <c r="H366" s="6">
        <v>11.9</v>
      </c>
      <c r="I366" t="s">
        <v>2377</v>
      </c>
      <c r="J366" t="str">
        <f t="shared" si="5"/>
        <v>Aşağı Risk</v>
      </c>
    </row>
    <row r="367" spans="1:10">
      <c r="A367">
        <v>241</v>
      </c>
      <c r="B367">
        <v>519</v>
      </c>
      <c r="C367" t="str">
        <f>_xlfn.XLOOKUP(B367,raw_customers!A:A,raw_customers!B:B)</f>
        <v>Aysel Həsənov</v>
      </c>
      <c r="D367" t="str">
        <f>_xlfn.XLOOKUP(C367,raw_customers!B:B,raw_customers!C:C)</f>
        <v>F</v>
      </c>
      <c r="E367" t="str">
        <f>_xlfn.XLOOKUP(C367,raw_customers!B:B,raw_customers!G:G)</f>
        <v>Retail</v>
      </c>
      <c r="F367" t="str">
        <f>_xlfn.XLOOKUP(_xlfn.XLOOKUP(B367,raw_customers!A:A,raw_customers!F:F),raw_branches!A:A,raw_branches!B:B)</f>
        <v>Ganja Branch</v>
      </c>
      <c r="G367" s="7">
        <v>79617.78</v>
      </c>
      <c r="H367" s="6">
        <v>13.35</v>
      </c>
      <c r="I367" t="s">
        <v>2377</v>
      </c>
      <c r="J367" t="str">
        <f t="shared" si="5"/>
        <v>Orta Risk</v>
      </c>
    </row>
    <row r="368" spans="1:10">
      <c r="A368">
        <v>242</v>
      </c>
      <c r="B368">
        <v>977</v>
      </c>
      <c r="C368" t="str">
        <f>_xlfn.XLOOKUP(B368,raw_customers!A:A,raw_customers!B:B)</f>
        <v>Elşən Rzayev</v>
      </c>
      <c r="D368" t="str">
        <f>_xlfn.XLOOKUP(C368,raw_customers!B:B,raw_customers!C:C)</f>
        <v>M</v>
      </c>
      <c r="E368" t="str">
        <f>_xlfn.XLOOKUP(C368,raw_customers!B:B,raw_customers!G:G)</f>
        <v>Retail</v>
      </c>
      <c r="F368" t="str">
        <f>_xlfn.XLOOKUP(_xlfn.XLOOKUP(B368,raw_customers!A:A,raw_customers!F:F),raw_branches!A:A,raw_branches!B:B)</f>
        <v>Baku Central</v>
      </c>
      <c r="G368" s="7">
        <v>11215.11</v>
      </c>
      <c r="H368" s="6">
        <v>19.4</v>
      </c>
      <c r="I368" t="s">
        <v>2377</v>
      </c>
      <c r="J368" t="str">
        <f t="shared" si="5"/>
        <v>Yüksək Risk</v>
      </c>
    </row>
    <row r="369" spans="1:10">
      <c r="A369">
        <v>243</v>
      </c>
      <c r="B369">
        <v>840</v>
      </c>
      <c r="C369" t="str">
        <f>_xlfn.XLOOKUP(B369,raw_customers!A:A,raw_customers!B:B)</f>
        <v>Ceyhun Bağırov</v>
      </c>
      <c r="D369" t="str">
        <f>_xlfn.XLOOKUP(C369,raw_customers!B:B,raw_customers!C:C)</f>
        <v>M</v>
      </c>
      <c r="E369" t="str">
        <f>_xlfn.XLOOKUP(C369,raw_customers!B:B,raw_customers!G:G)</f>
        <v>Retail</v>
      </c>
      <c r="F369" t="str">
        <f>_xlfn.XLOOKUP(_xlfn.XLOOKUP(B369,raw_customers!A:A,raw_customers!F:F),raw_branches!A:A,raw_branches!B:B)</f>
        <v>Ganja Branch</v>
      </c>
      <c r="G369" s="7">
        <v>38182.87</v>
      </c>
      <c r="H369" s="6">
        <v>20.9</v>
      </c>
      <c r="I369" t="s">
        <v>2377</v>
      </c>
      <c r="J369" t="str">
        <f t="shared" si="5"/>
        <v>Yüksək Risk</v>
      </c>
    </row>
    <row r="370" spans="1:10">
      <c r="A370">
        <v>244</v>
      </c>
      <c r="B370">
        <v>72</v>
      </c>
      <c r="C370" t="str">
        <f>_xlfn.XLOOKUP(B370,raw_customers!A:A,raw_customers!B:B)</f>
        <v>Ülviyyə Məmmədov</v>
      </c>
      <c r="D370" t="str">
        <f>_xlfn.XLOOKUP(C370,raw_customers!B:B,raw_customers!C:C)</f>
        <v>F</v>
      </c>
      <c r="E370" t="str">
        <f>_xlfn.XLOOKUP(C370,raw_customers!B:B,raw_customers!G:G)</f>
        <v>SME</v>
      </c>
      <c r="F370" t="str">
        <f>_xlfn.XLOOKUP(_xlfn.XLOOKUP(B370,raw_customers!A:A,raw_customers!F:F),raw_branches!A:A,raw_branches!B:B)</f>
        <v>Baku Yasamal</v>
      </c>
      <c r="G370" s="7">
        <v>32077.21</v>
      </c>
      <c r="H370" s="6">
        <v>11.15</v>
      </c>
      <c r="I370" t="s">
        <v>2377</v>
      </c>
      <c r="J370" t="str">
        <f t="shared" si="5"/>
        <v>Aşağı Risk</v>
      </c>
    </row>
    <row r="371" spans="1:10">
      <c r="A371">
        <v>245</v>
      </c>
      <c r="B371">
        <v>696</v>
      </c>
      <c r="C371" t="str">
        <f>_xlfn.XLOOKUP(B371,raw_customers!A:A,raw_customers!B:B)</f>
        <v>Orxan Tağıyev</v>
      </c>
      <c r="D371" t="str">
        <f>_xlfn.XLOOKUP(C371,raw_customers!B:B,raw_customers!C:C)</f>
        <v>M</v>
      </c>
      <c r="E371" t="str">
        <f>_xlfn.XLOOKUP(C371,raw_customers!B:B,raw_customers!G:G)</f>
        <v>Retail</v>
      </c>
      <c r="F371" t="str">
        <f>_xlfn.XLOOKUP(_xlfn.XLOOKUP(B371,raw_customers!A:A,raw_customers!F:F),raw_branches!A:A,raw_branches!B:B)</f>
        <v>Baku Yasamal</v>
      </c>
      <c r="G371" s="7">
        <v>3583.85</v>
      </c>
      <c r="H371" s="6">
        <v>19.17</v>
      </c>
      <c r="I371" t="s">
        <v>2383</v>
      </c>
      <c r="J371" t="str">
        <f t="shared" si="5"/>
        <v>Yüksək Risk</v>
      </c>
    </row>
    <row r="372" spans="1:10">
      <c r="A372">
        <v>246</v>
      </c>
      <c r="B372">
        <v>908</v>
      </c>
      <c r="C372" t="str">
        <f>_xlfn.XLOOKUP(B372,raw_customers!A:A,raw_customers!B:B)</f>
        <v>Murad Nəbiyev</v>
      </c>
      <c r="D372" t="str">
        <f>_xlfn.XLOOKUP(C372,raw_customers!B:B,raw_customers!C:C)</f>
        <v>M</v>
      </c>
      <c r="E372" t="str">
        <f>_xlfn.XLOOKUP(C372,raw_customers!B:B,raw_customers!G:G)</f>
        <v>Retail</v>
      </c>
      <c r="F372" t="str">
        <f>_xlfn.XLOOKUP(_xlfn.XLOOKUP(B372,raw_customers!A:A,raw_customers!F:F),raw_branches!A:A,raw_branches!B:B)</f>
        <v>Ganja Branch</v>
      </c>
      <c r="G372" s="7">
        <v>35537.05</v>
      </c>
      <c r="H372" s="6">
        <v>6.1</v>
      </c>
      <c r="I372" t="s">
        <v>2383</v>
      </c>
      <c r="J372" t="str">
        <f t="shared" si="5"/>
        <v>Aşağı Risk</v>
      </c>
    </row>
    <row r="373" spans="1:10">
      <c r="A373">
        <v>247</v>
      </c>
      <c r="B373">
        <v>738</v>
      </c>
      <c r="C373" t="str">
        <f>_xlfn.XLOOKUP(B373,raw_customers!A:A,raw_customers!B:B)</f>
        <v>Fidan Musayev</v>
      </c>
      <c r="D373" t="str">
        <f>_xlfn.XLOOKUP(C373,raw_customers!B:B,raw_customers!C:C)</f>
        <v>F</v>
      </c>
      <c r="E373" t="str">
        <f>_xlfn.XLOOKUP(C373,raw_customers!B:B,raw_customers!G:G)</f>
        <v>Retail</v>
      </c>
      <c r="F373" t="str">
        <f>_xlfn.XLOOKUP(_xlfn.XLOOKUP(B373,raw_customers!A:A,raw_customers!F:F),raw_branches!A:A,raw_branches!B:B)</f>
        <v>Mingachevir Branch</v>
      </c>
      <c r="G373" s="7">
        <v>17249.14</v>
      </c>
      <c r="H373" s="6">
        <v>6.99</v>
      </c>
      <c r="I373" t="s">
        <v>2383</v>
      </c>
      <c r="J373" t="str">
        <f t="shared" si="5"/>
        <v>Aşağı Risk</v>
      </c>
    </row>
    <row r="374" spans="1:10">
      <c r="A374">
        <v>248</v>
      </c>
      <c r="B374">
        <v>834</v>
      </c>
      <c r="C374" t="str">
        <f>_xlfn.XLOOKUP(B374,raw_customers!A:A,raw_customers!B:B)</f>
        <v>Ülviyyə İsmayılov</v>
      </c>
      <c r="D374" t="str">
        <f>_xlfn.XLOOKUP(C374,raw_customers!B:B,raw_customers!C:C)</f>
        <v>F</v>
      </c>
      <c r="E374" t="str">
        <f>_xlfn.XLOOKUP(C374,raw_customers!B:B,raw_customers!G:G)</f>
        <v>SME</v>
      </c>
      <c r="F374" t="str">
        <f>_xlfn.XLOOKUP(_xlfn.XLOOKUP(B374,raw_customers!A:A,raw_customers!F:F),raw_branches!A:A,raw_branches!B:B)</f>
        <v>Baku Yasamal</v>
      </c>
      <c r="G374" s="7">
        <v>13146.39</v>
      </c>
      <c r="H374" s="6">
        <v>15.82</v>
      </c>
      <c r="I374" t="s">
        <v>2377</v>
      </c>
      <c r="J374" t="str">
        <f t="shared" si="5"/>
        <v>Orta Risk</v>
      </c>
    </row>
    <row r="375" spans="1:10">
      <c r="A375">
        <v>249</v>
      </c>
      <c r="B375">
        <v>443</v>
      </c>
      <c r="C375" t="str">
        <f>_xlfn.XLOOKUP(B375,raw_customers!A:A,raw_customers!B:B)</f>
        <v>Ceyhun Bağırov</v>
      </c>
      <c r="D375" t="str">
        <f>_xlfn.XLOOKUP(C375,raw_customers!B:B,raw_customers!C:C)</f>
        <v>M</v>
      </c>
      <c r="E375" t="str">
        <f>_xlfn.XLOOKUP(C375,raw_customers!B:B,raw_customers!G:G)</f>
        <v>Retail</v>
      </c>
      <c r="F375" t="str">
        <f>_xlfn.XLOOKUP(_xlfn.XLOOKUP(B375,raw_customers!A:A,raw_customers!F:F),raw_branches!A:A,raw_branches!B:B)</f>
        <v>Baku Yasamal</v>
      </c>
      <c r="G375" s="7">
        <v>107354.22</v>
      </c>
      <c r="H375" s="6">
        <v>20.54</v>
      </c>
      <c r="I375" t="s">
        <v>2377</v>
      </c>
      <c r="J375" t="str">
        <f t="shared" si="5"/>
        <v>Yüksək Risk</v>
      </c>
    </row>
    <row r="376" spans="1:10">
      <c r="A376">
        <v>250</v>
      </c>
      <c r="B376">
        <v>444</v>
      </c>
      <c r="C376" t="str">
        <f>_xlfn.XLOOKUP(B376,raw_customers!A:A,raw_customers!B:B)</f>
        <v>Lalə Tağıyev</v>
      </c>
      <c r="D376" t="str">
        <f>_xlfn.XLOOKUP(C376,raw_customers!B:B,raw_customers!C:C)</f>
        <v>F</v>
      </c>
      <c r="E376" t="str">
        <f>_xlfn.XLOOKUP(C376,raw_customers!B:B,raw_customers!G:G)</f>
        <v>SME</v>
      </c>
      <c r="F376" t="str">
        <f>_xlfn.XLOOKUP(_xlfn.XLOOKUP(B376,raw_customers!A:A,raw_customers!F:F),raw_branches!A:A,raw_branches!B:B)</f>
        <v>Sheki Branch</v>
      </c>
      <c r="G376" s="7">
        <v>150083.09</v>
      </c>
      <c r="H376" s="6">
        <v>18.19</v>
      </c>
      <c r="I376" t="s">
        <v>2377</v>
      </c>
      <c r="J376" t="str">
        <f t="shared" si="5"/>
        <v>Yüksək Risk</v>
      </c>
    </row>
    <row r="377" spans="1:10">
      <c r="A377">
        <v>251</v>
      </c>
      <c r="B377">
        <v>185</v>
      </c>
      <c r="C377" t="str">
        <f>_xlfn.XLOOKUP(B377,raw_customers!A:A,raw_customers!B:B)</f>
        <v>Nigar Quliyev</v>
      </c>
      <c r="D377" t="str">
        <f>_xlfn.XLOOKUP(C377,raw_customers!B:B,raw_customers!C:C)</f>
        <v>F</v>
      </c>
      <c r="E377" t="str">
        <f>_xlfn.XLOOKUP(C377,raw_customers!B:B,raw_customers!G:G)</f>
        <v>Retail</v>
      </c>
      <c r="F377" t="str">
        <f>_xlfn.XLOOKUP(_xlfn.XLOOKUP(B377,raw_customers!A:A,raw_customers!F:F),raw_branches!A:A,raw_branches!B:B)</f>
        <v>Baku Yasamal</v>
      </c>
      <c r="G377" s="7">
        <v>21791.23</v>
      </c>
      <c r="H377" s="6">
        <v>16.7</v>
      </c>
      <c r="I377" t="s">
        <v>2383</v>
      </c>
      <c r="J377" t="str">
        <f t="shared" si="5"/>
        <v>Orta Risk</v>
      </c>
    </row>
    <row r="378" spans="1:10">
      <c r="A378">
        <v>252</v>
      </c>
      <c r="B378">
        <v>782</v>
      </c>
      <c r="C378" t="str">
        <f>_xlfn.XLOOKUP(B378,raw_customers!A:A,raw_customers!B:B)</f>
        <v>Türkan Cəfərov</v>
      </c>
      <c r="D378" t="str">
        <f>_xlfn.XLOOKUP(C378,raw_customers!B:B,raw_customers!C:C)</f>
        <v>F</v>
      </c>
      <c r="E378" t="str">
        <f>_xlfn.XLOOKUP(C378,raw_customers!B:B,raw_customers!G:G)</f>
        <v>Retail</v>
      </c>
      <c r="F378" t="str">
        <f>_xlfn.XLOOKUP(_xlfn.XLOOKUP(B378,raw_customers!A:A,raw_customers!F:F),raw_branches!A:A,raw_branches!B:B)</f>
        <v>Ganja Branch</v>
      </c>
      <c r="G378" s="7">
        <v>21052.6</v>
      </c>
      <c r="H378" s="6">
        <v>5.42</v>
      </c>
      <c r="I378" t="s">
        <v>2377</v>
      </c>
      <c r="J378" t="str">
        <f t="shared" si="5"/>
        <v>Aşağı Risk</v>
      </c>
    </row>
    <row r="379" spans="1:10">
      <c r="A379">
        <v>253</v>
      </c>
      <c r="B379">
        <v>563</v>
      </c>
      <c r="C379" t="str">
        <f>_xlfn.XLOOKUP(B379,raw_customers!A:A,raw_customers!B:B)</f>
        <v>Kamran Vəliyev</v>
      </c>
      <c r="D379" t="str">
        <f>_xlfn.XLOOKUP(C379,raw_customers!B:B,raw_customers!C:C)</f>
        <v>M</v>
      </c>
      <c r="E379" t="str">
        <f>_xlfn.XLOOKUP(C379,raw_customers!B:B,raw_customers!G:G)</f>
        <v>SME</v>
      </c>
      <c r="F379" t="str">
        <f>_xlfn.XLOOKUP(_xlfn.XLOOKUP(B379,raw_customers!A:A,raw_customers!F:F),raw_branches!A:A,raw_branches!B:B)</f>
        <v>Baku Central</v>
      </c>
      <c r="G379" s="2">
        <v>8176</v>
      </c>
      <c r="H379" s="6">
        <v>10.95</v>
      </c>
      <c r="I379" t="s">
        <v>2377</v>
      </c>
      <c r="J379" t="str">
        <f t="shared" si="5"/>
        <v>Aşağı Risk</v>
      </c>
    </row>
    <row r="380" spans="1:10">
      <c r="A380">
        <v>254</v>
      </c>
      <c r="B380">
        <v>407</v>
      </c>
      <c r="C380" t="str">
        <f>_xlfn.XLOOKUP(B380,raw_customers!A:A,raw_customers!B:B)</f>
        <v>Vəfa Novruzov</v>
      </c>
      <c r="D380" t="str">
        <f>_xlfn.XLOOKUP(C380,raw_customers!B:B,raw_customers!C:C)</f>
        <v>F</v>
      </c>
      <c r="E380" t="str">
        <f>_xlfn.XLOOKUP(C380,raw_customers!B:B,raw_customers!G:G)</f>
        <v>SME</v>
      </c>
      <c r="F380" t="str">
        <f>_xlfn.XLOOKUP(_xlfn.XLOOKUP(B380,raw_customers!A:A,raw_customers!F:F),raw_branches!A:A,raw_branches!B:B)</f>
        <v>Lankaran Branch</v>
      </c>
      <c r="G380" s="7">
        <v>1409.7</v>
      </c>
      <c r="H380" s="6">
        <v>15.09</v>
      </c>
      <c r="I380" t="s">
        <v>2383</v>
      </c>
      <c r="J380" t="str">
        <f t="shared" si="5"/>
        <v>Orta Risk</v>
      </c>
    </row>
    <row r="381" spans="1:10">
      <c r="A381">
        <v>255</v>
      </c>
      <c r="B381">
        <v>663</v>
      </c>
      <c r="C381" t="str">
        <f>_xlfn.XLOOKUP(B381,raw_customers!A:A,raw_customers!B:B)</f>
        <v>Fərid Rzayev</v>
      </c>
      <c r="D381" t="str">
        <f>_xlfn.XLOOKUP(C381,raw_customers!B:B,raw_customers!C:C)</f>
        <v>M</v>
      </c>
      <c r="E381" t="str">
        <f>_xlfn.XLOOKUP(C381,raw_customers!B:B,raw_customers!G:G)</f>
        <v>Retail</v>
      </c>
      <c r="F381" t="str">
        <f>_xlfn.XLOOKUP(_xlfn.XLOOKUP(B381,raw_customers!A:A,raw_customers!F:F),raw_branches!A:A,raw_branches!B:B)</f>
        <v>Sheki Branch</v>
      </c>
      <c r="G381" s="7">
        <v>12576.49</v>
      </c>
      <c r="H381" s="6">
        <v>13.98</v>
      </c>
      <c r="I381" t="s">
        <v>2377</v>
      </c>
      <c r="J381" t="str">
        <f t="shared" si="5"/>
        <v>Orta Risk</v>
      </c>
    </row>
    <row r="382" spans="1:10">
      <c r="A382">
        <v>256</v>
      </c>
      <c r="B382">
        <v>177</v>
      </c>
      <c r="C382" t="str">
        <f>_xlfn.XLOOKUP(B382,raw_customers!A:A,raw_customers!B:B)</f>
        <v>Xəyalə Əzizov</v>
      </c>
      <c r="D382" t="str">
        <f>_xlfn.XLOOKUP(C382,raw_customers!B:B,raw_customers!C:C)</f>
        <v>F</v>
      </c>
      <c r="E382" t="str">
        <f>_xlfn.XLOOKUP(C382,raw_customers!B:B,raw_customers!G:G)</f>
        <v>Retail</v>
      </c>
      <c r="F382" t="str">
        <f>_xlfn.XLOOKUP(_xlfn.XLOOKUP(B382,raw_customers!A:A,raw_customers!F:F),raw_branches!A:A,raw_branches!B:B)</f>
        <v>Baku Central</v>
      </c>
      <c r="G382" s="7">
        <v>120198.94</v>
      </c>
      <c r="H382" s="6">
        <v>15.66</v>
      </c>
      <c r="I382" t="s">
        <v>2377</v>
      </c>
      <c r="J382" t="str">
        <f t="shared" si="5"/>
        <v>Orta Risk</v>
      </c>
    </row>
    <row r="383" spans="1:10">
      <c r="A383">
        <v>257</v>
      </c>
      <c r="B383">
        <v>24</v>
      </c>
      <c r="C383" t="str">
        <f>_xlfn.XLOOKUP(B383,raw_customers!A:A,raw_customers!B:B)</f>
        <v>Vüqar Sadıqov</v>
      </c>
      <c r="D383" t="str">
        <f>_xlfn.XLOOKUP(C383,raw_customers!B:B,raw_customers!C:C)</f>
        <v>M</v>
      </c>
      <c r="E383" t="str">
        <f>_xlfn.XLOOKUP(C383,raw_customers!B:B,raw_customers!G:G)</f>
        <v>Retail</v>
      </c>
      <c r="F383" t="str">
        <f>_xlfn.XLOOKUP(_xlfn.XLOOKUP(B383,raw_customers!A:A,raw_customers!F:F),raw_branches!A:A,raw_branches!B:B)</f>
        <v>Ganja Branch</v>
      </c>
      <c r="G383" s="7">
        <v>7187.51</v>
      </c>
      <c r="H383" s="6">
        <v>13.86</v>
      </c>
      <c r="I383" t="s">
        <v>2377</v>
      </c>
      <c r="J383" t="str">
        <f t="shared" si="5"/>
        <v>Orta Risk</v>
      </c>
    </row>
    <row r="384" spans="1:10">
      <c r="A384">
        <v>258</v>
      </c>
      <c r="B384">
        <v>591</v>
      </c>
      <c r="C384" t="str">
        <f>_xlfn.XLOOKUP(B384,raw_customers!A:A,raw_customers!B:B)</f>
        <v>Türkan Novruzov</v>
      </c>
      <c r="D384" t="str">
        <f>_xlfn.XLOOKUP(C384,raw_customers!B:B,raw_customers!C:C)</f>
        <v>F</v>
      </c>
      <c r="E384" t="str">
        <f>_xlfn.XLOOKUP(C384,raw_customers!B:B,raw_customers!G:G)</f>
        <v>Premium</v>
      </c>
      <c r="F384" t="str">
        <f>_xlfn.XLOOKUP(_xlfn.XLOOKUP(B384,raw_customers!A:A,raw_customers!F:F),raw_branches!A:A,raw_branches!B:B)</f>
        <v>Sumgait Branch</v>
      </c>
      <c r="G384" s="7">
        <v>24855.48</v>
      </c>
      <c r="H384" s="6">
        <v>9.8</v>
      </c>
      <c r="I384" t="s">
        <v>2383</v>
      </c>
      <c r="J384" t="str">
        <f t="shared" si="5"/>
        <v>Aşağı Risk</v>
      </c>
    </row>
    <row r="385" spans="1:10">
      <c r="A385">
        <v>259</v>
      </c>
      <c r="B385">
        <v>445</v>
      </c>
      <c r="C385" t="str">
        <f>_xlfn.XLOOKUP(B385,raw_customers!A:A,raw_customers!B:B)</f>
        <v>Lalə Hüseynov</v>
      </c>
      <c r="D385" t="str">
        <f>_xlfn.XLOOKUP(C385,raw_customers!B:B,raw_customers!C:C)</f>
        <v>F</v>
      </c>
      <c r="E385" t="str">
        <f>_xlfn.XLOOKUP(C385,raw_customers!B:B,raw_customers!G:G)</f>
        <v>Premium</v>
      </c>
      <c r="F385" t="str">
        <f>_xlfn.XLOOKUP(_xlfn.XLOOKUP(B385,raw_customers!A:A,raw_customers!F:F),raw_branches!A:A,raw_branches!B:B)</f>
        <v>Sumgait Branch</v>
      </c>
      <c r="G385" s="7">
        <v>8712.73</v>
      </c>
      <c r="H385" s="6">
        <v>14.4</v>
      </c>
      <c r="I385" t="s">
        <v>2377</v>
      </c>
      <c r="J385" t="str">
        <f t="shared" si="5"/>
        <v>Orta Risk</v>
      </c>
    </row>
    <row r="386" spans="1:10">
      <c r="A386">
        <v>260</v>
      </c>
      <c r="B386">
        <v>739</v>
      </c>
      <c r="C386" t="str">
        <f>_xlfn.XLOOKUP(B386,raw_customers!A:A,raw_customers!B:B)</f>
        <v>Günel Vəliyev</v>
      </c>
      <c r="D386" t="str">
        <f>_xlfn.XLOOKUP(C386,raw_customers!B:B,raw_customers!C:C)</f>
        <v>F</v>
      </c>
      <c r="E386" t="str">
        <f>_xlfn.XLOOKUP(C386,raw_customers!B:B,raw_customers!G:G)</f>
        <v>Retail</v>
      </c>
      <c r="F386" t="str">
        <f>_xlfn.XLOOKUP(_xlfn.XLOOKUP(B386,raw_customers!A:A,raw_customers!F:F),raw_branches!A:A,raw_branches!B:B)</f>
        <v>Sheki Branch</v>
      </c>
      <c r="G386" s="7">
        <v>14727.9</v>
      </c>
      <c r="H386" s="6">
        <v>21.61</v>
      </c>
      <c r="I386" t="s">
        <v>2377</v>
      </c>
      <c r="J386" t="str">
        <f t="shared" si="5"/>
        <v>Yüksək Risk</v>
      </c>
    </row>
    <row r="387" spans="1:10">
      <c r="A387">
        <v>261</v>
      </c>
      <c r="B387">
        <v>205</v>
      </c>
      <c r="C387" t="str">
        <f>_xlfn.XLOOKUP(B387,raw_customers!A:A,raw_customers!B:B)</f>
        <v>Kamran Tağıyev</v>
      </c>
      <c r="D387" t="str">
        <f>_xlfn.XLOOKUP(C387,raw_customers!B:B,raw_customers!C:C)</f>
        <v>M</v>
      </c>
      <c r="E387" t="str">
        <f>_xlfn.XLOOKUP(C387,raw_customers!B:B,raw_customers!G:G)</f>
        <v>Retail</v>
      </c>
      <c r="F387" t="str">
        <f>_xlfn.XLOOKUP(_xlfn.XLOOKUP(B387,raw_customers!A:A,raw_customers!F:F),raw_branches!A:A,raw_branches!B:B)</f>
        <v>Ganja Branch</v>
      </c>
      <c r="G387" s="7">
        <v>109733.12</v>
      </c>
      <c r="H387" s="6">
        <v>12.05</v>
      </c>
      <c r="I387" t="s">
        <v>2377</v>
      </c>
      <c r="J387" t="str">
        <f t="shared" ref="J387:J450" si="6">IF(I387="Default","Default (Batıq)",IF(H387&gt;=18,"Yüksək Risk",IF(H387&gt;=12,"Orta Risk","Aşağı Risk")))</f>
        <v>Orta Risk</v>
      </c>
    </row>
    <row r="388" spans="1:10">
      <c r="A388">
        <v>262</v>
      </c>
      <c r="B388">
        <v>253</v>
      </c>
      <c r="C388" t="str">
        <f>_xlfn.XLOOKUP(B388,raw_customers!A:A,raw_customers!B:B)</f>
        <v>Nərmin Orucov</v>
      </c>
      <c r="D388" t="str">
        <f>_xlfn.XLOOKUP(C388,raw_customers!B:B,raw_customers!C:C)</f>
        <v>F</v>
      </c>
      <c r="E388" t="str">
        <f>_xlfn.XLOOKUP(C388,raw_customers!B:B,raw_customers!G:G)</f>
        <v>Retail</v>
      </c>
      <c r="F388" t="str">
        <f>_xlfn.XLOOKUP(_xlfn.XLOOKUP(B388,raw_customers!A:A,raw_customers!F:F),raw_branches!A:A,raw_branches!B:B)</f>
        <v>Sumgait Branch</v>
      </c>
      <c r="G388" s="7">
        <v>10376.49</v>
      </c>
      <c r="H388" s="6">
        <v>18.78</v>
      </c>
      <c r="I388" t="s">
        <v>2377</v>
      </c>
      <c r="J388" t="str">
        <f t="shared" si="6"/>
        <v>Yüksək Risk</v>
      </c>
    </row>
    <row r="389" spans="1:10">
      <c r="A389">
        <v>263</v>
      </c>
      <c r="B389">
        <v>781</v>
      </c>
      <c r="C389" t="str">
        <f>_xlfn.XLOOKUP(B389,raw_customers!A:A,raw_customers!B:B)</f>
        <v>Zaur Tağıyev</v>
      </c>
      <c r="D389" t="str">
        <f>_xlfn.XLOOKUP(C389,raw_customers!B:B,raw_customers!C:C)</f>
        <v>M</v>
      </c>
      <c r="E389" t="str">
        <f>_xlfn.XLOOKUP(C389,raw_customers!B:B,raw_customers!G:G)</f>
        <v>Retail</v>
      </c>
      <c r="F389" t="str">
        <f>_xlfn.XLOOKUP(_xlfn.XLOOKUP(B389,raw_customers!A:A,raw_customers!F:F),raw_branches!A:A,raw_branches!B:B)</f>
        <v>Ganja Branch</v>
      </c>
      <c r="G389" s="7">
        <v>4813.03</v>
      </c>
      <c r="H389" s="6">
        <v>6.67</v>
      </c>
      <c r="I389" t="s">
        <v>2383</v>
      </c>
      <c r="J389" t="str">
        <f t="shared" si="6"/>
        <v>Aşağı Risk</v>
      </c>
    </row>
    <row r="390" spans="1:10">
      <c r="A390">
        <v>264</v>
      </c>
      <c r="B390">
        <v>524</v>
      </c>
      <c r="C390" t="str">
        <f>_xlfn.XLOOKUP(B390,raw_customers!A:A,raw_customers!B:B)</f>
        <v>Xəyalə Cəfərov</v>
      </c>
      <c r="D390" t="str">
        <f>_xlfn.XLOOKUP(C390,raw_customers!B:B,raw_customers!C:C)</f>
        <v>F</v>
      </c>
      <c r="E390" t="str">
        <f>_xlfn.XLOOKUP(C390,raw_customers!B:B,raw_customers!G:G)</f>
        <v>Retail</v>
      </c>
      <c r="F390" t="str">
        <f>_xlfn.XLOOKUP(_xlfn.XLOOKUP(B390,raw_customers!A:A,raw_customers!F:F),raw_branches!A:A,raw_branches!B:B)</f>
        <v>Ganja Branch</v>
      </c>
      <c r="G390" s="7">
        <v>10452.65</v>
      </c>
      <c r="H390" s="6">
        <v>9.17</v>
      </c>
      <c r="I390" t="s">
        <v>2377</v>
      </c>
      <c r="J390" t="str">
        <f t="shared" si="6"/>
        <v>Aşağı Risk</v>
      </c>
    </row>
    <row r="391" spans="1:10">
      <c r="A391">
        <v>265</v>
      </c>
      <c r="B391">
        <v>372</v>
      </c>
      <c r="C391" t="str">
        <f>_xlfn.XLOOKUP(B391,raw_customers!A:A,raw_customers!B:B)</f>
        <v>Nicat Rəhimov</v>
      </c>
      <c r="D391" t="str">
        <f>_xlfn.XLOOKUP(C391,raw_customers!B:B,raw_customers!C:C)</f>
        <v>M</v>
      </c>
      <c r="E391" t="str">
        <f>_xlfn.XLOOKUP(C391,raw_customers!B:B,raw_customers!G:G)</f>
        <v>Retail</v>
      </c>
      <c r="F391" t="str">
        <f>_xlfn.XLOOKUP(_xlfn.XLOOKUP(B391,raw_customers!A:A,raw_customers!F:F),raw_branches!A:A,raw_branches!B:B)</f>
        <v>Sumgait Branch</v>
      </c>
      <c r="G391" s="7">
        <v>11013.6</v>
      </c>
      <c r="H391" s="6">
        <v>8.02</v>
      </c>
      <c r="I391" t="s">
        <v>2377</v>
      </c>
      <c r="J391" t="str">
        <f t="shared" si="6"/>
        <v>Aşağı Risk</v>
      </c>
    </row>
    <row r="392" spans="1:10">
      <c r="A392">
        <v>266</v>
      </c>
      <c r="B392">
        <v>698</v>
      </c>
      <c r="C392" t="str">
        <f>_xlfn.XLOOKUP(B392,raw_customers!A:A,raw_customers!B:B)</f>
        <v>Aynur Əliyev</v>
      </c>
      <c r="D392" t="str">
        <f>_xlfn.XLOOKUP(C392,raw_customers!B:B,raw_customers!C:C)</f>
        <v>F</v>
      </c>
      <c r="E392" t="str">
        <f>_xlfn.XLOOKUP(C392,raw_customers!B:B,raw_customers!G:G)</f>
        <v>Retail</v>
      </c>
      <c r="F392" t="str">
        <f>_xlfn.XLOOKUP(_xlfn.XLOOKUP(B392,raw_customers!A:A,raw_customers!F:F),raw_branches!A:A,raw_branches!B:B)</f>
        <v>Ganja Branch</v>
      </c>
      <c r="G392" s="7">
        <v>83098.69</v>
      </c>
      <c r="H392" s="6">
        <v>11.17</v>
      </c>
      <c r="I392" t="s">
        <v>2377</v>
      </c>
      <c r="J392" t="str">
        <f t="shared" si="6"/>
        <v>Aşağı Risk</v>
      </c>
    </row>
    <row r="393" spans="1:10">
      <c r="A393">
        <v>267</v>
      </c>
      <c r="B393">
        <v>520</v>
      </c>
      <c r="C393" t="str">
        <f>_xlfn.XLOOKUP(B393,raw_customers!A:A,raw_customers!B:B)</f>
        <v>Anar Əliyev</v>
      </c>
      <c r="D393" t="str">
        <f>_xlfn.XLOOKUP(C393,raw_customers!B:B,raw_customers!C:C)</f>
        <v>M</v>
      </c>
      <c r="E393" t="str">
        <f>_xlfn.XLOOKUP(C393,raw_customers!B:B,raw_customers!G:G)</f>
        <v>Retail</v>
      </c>
      <c r="F393" t="str">
        <f>_xlfn.XLOOKUP(_xlfn.XLOOKUP(B393,raw_customers!A:A,raw_customers!F:F),raw_branches!A:A,raw_branches!B:B)</f>
        <v>Lankaran Branch</v>
      </c>
      <c r="G393" s="7">
        <v>16093.56</v>
      </c>
      <c r="H393" s="6">
        <v>6.28</v>
      </c>
      <c r="I393" t="s">
        <v>2377</v>
      </c>
      <c r="J393" t="str">
        <f t="shared" si="6"/>
        <v>Aşağı Risk</v>
      </c>
    </row>
    <row r="394" spans="1:10">
      <c r="A394">
        <v>268</v>
      </c>
      <c r="B394">
        <v>888</v>
      </c>
      <c r="C394" t="str">
        <f>_xlfn.XLOOKUP(B394,raw_customers!A:A,raw_customers!B:B)</f>
        <v>Rəşad Quliyev</v>
      </c>
      <c r="D394" t="str">
        <f>_xlfn.XLOOKUP(C394,raw_customers!B:B,raw_customers!C:C)</f>
        <v>M</v>
      </c>
      <c r="E394" t="str">
        <f>_xlfn.XLOOKUP(C394,raw_customers!B:B,raw_customers!G:G)</f>
        <v>Retail</v>
      </c>
      <c r="F394" t="str">
        <f>_xlfn.XLOOKUP(_xlfn.XLOOKUP(B394,raw_customers!A:A,raw_customers!F:F),raw_branches!A:A,raw_branches!B:B)</f>
        <v>Lankaran Branch</v>
      </c>
      <c r="G394" s="7">
        <v>91976.84</v>
      </c>
      <c r="H394" s="6">
        <v>21.19</v>
      </c>
      <c r="I394" t="s">
        <v>2383</v>
      </c>
      <c r="J394" t="str">
        <f t="shared" si="6"/>
        <v>Yüksək Risk</v>
      </c>
    </row>
    <row r="395" spans="1:10">
      <c r="A395">
        <v>269</v>
      </c>
      <c r="B395">
        <v>358</v>
      </c>
      <c r="C395" t="str">
        <f>_xlfn.XLOOKUP(B395,raw_customers!A:A,raw_customers!B:B)</f>
        <v>Mehriban Tağıyev</v>
      </c>
      <c r="D395" t="str">
        <f>_xlfn.XLOOKUP(C395,raw_customers!B:B,raw_customers!C:C)</f>
        <v>F</v>
      </c>
      <c r="E395" t="str">
        <f>_xlfn.XLOOKUP(C395,raw_customers!B:B,raw_customers!G:G)</f>
        <v>Retail</v>
      </c>
      <c r="F395" t="str">
        <f>_xlfn.XLOOKUP(_xlfn.XLOOKUP(B395,raw_customers!A:A,raw_customers!F:F),raw_branches!A:A,raw_branches!B:B)</f>
        <v>Ganja Branch</v>
      </c>
      <c r="G395" s="7">
        <v>2976.39</v>
      </c>
      <c r="H395" s="6">
        <v>12.6</v>
      </c>
      <c r="I395" t="s">
        <v>2393</v>
      </c>
      <c r="J395" t="str">
        <f t="shared" si="6"/>
        <v>Default (Batıq)</v>
      </c>
    </row>
    <row r="396" spans="1:10">
      <c r="A396">
        <v>270</v>
      </c>
      <c r="B396">
        <v>367</v>
      </c>
      <c r="C396" t="str">
        <f>_xlfn.XLOOKUP(B396,raw_customers!A:A,raw_customers!B:B)</f>
        <v>Türkan Əliyev</v>
      </c>
      <c r="D396" t="str">
        <f>_xlfn.XLOOKUP(C396,raw_customers!B:B,raw_customers!C:C)</f>
        <v>F</v>
      </c>
      <c r="E396" t="str">
        <f>_xlfn.XLOOKUP(C396,raw_customers!B:B,raw_customers!G:G)</f>
        <v>Premium</v>
      </c>
      <c r="F396" t="str">
        <f>_xlfn.XLOOKUP(_xlfn.XLOOKUP(B396,raw_customers!A:A,raw_customers!F:F),raw_branches!A:A,raw_branches!B:B)</f>
        <v>Sheki Branch</v>
      </c>
      <c r="G396" s="7">
        <v>8588.45</v>
      </c>
      <c r="H396" s="6">
        <v>19.53</v>
      </c>
      <c r="I396" t="s">
        <v>2377</v>
      </c>
      <c r="J396" t="str">
        <f t="shared" si="6"/>
        <v>Yüksək Risk</v>
      </c>
    </row>
    <row r="397" spans="1:10">
      <c r="A397">
        <v>271</v>
      </c>
      <c r="B397">
        <v>974</v>
      </c>
      <c r="C397" t="str">
        <f>_xlfn.XLOOKUP(B397,raw_customers!A:A,raw_customers!B:B)</f>
        <v>Ülviyyə İsmayılov</v>
      </c>
      <c r="D397" t="str">
        <f>_xlfn.XLOOKUP(C397,raw_customers!B:B,raw_customers!C:C)</f>
        <v>F</v>
      </c>
      <c r="E397" t="str">
        <f>_xlfn.XLOOKUP(C397,raw_customers!B:B,raw_customers!G:G)</f>
        <v>SME</v>
      </c>
      <c r="F397" t="str">
        <f>_xlfn.XLOOKUP(_xlfn.XLOOKUP(B397,raw_customers!A:A,raw_customers!F:F),raw_branches!A:A,raw_branches!B:B)</f>
        <v>Sheki Branch</v>
      </c>
      <c r="G397" s="7">
        <v>3924.4</v>
      </c>
      <c r="H397" s="6">
        <v>6.16</v>
      </c>
      <c r="I397" t="s">
        <v>2377</v>
      </c>
      <c r="J397" t="str">
        <f t="shared" si="6"/>
        <v>Aşağı Risk</v>
      </c>
    </row>
    <row r="398" spans="1:10">
      <c r="A398">
        <v>272</v>
      </c>
      <c r="B398">
        <v>468</v>
      </c>
      <c r="C398" t="str">
        <f>_xlfn.XLOOKUP(B398,raw_customers!A:A,raw_customers!B:B)</f>
        <v>Samir Rəhimov</v>
      </c>
      <c r="D398" t="str">
        <f>_xlfn.XLOOKUP(C398,raw_customers!B:B,raw_customers!C:C)</f>
        <v>M</v>
      </c>
      <c r="E398" t="str">
        <f>_xlfn.XLOOKUP(C398,raw_customers!B:B,raw_customers!G:G)</f>
        <v>Retail</v>
      </c>
      <c r="F398" t="str">
        <f>_xlfn.XLOOKUP(_xlfn.XLOOKUP(B398,raw_customers!A:A,raw_customers!F:F),raw_branches!A:A,raw_branches!B:B)</f>
        <v>Lankaran Branch</v>
      </c>
      <c r="G398" s="7">
        <v>23986.76</v>
      </c>
      <c r="H398" s="6">
        <v>21.97</v>
      </c>
      <c r="I398" t="s">
        <v>2377</v>
      </c>
      <c r="J398" t="str">
        <f t="shared" si="6"/>
        <v>Yüksək Risk</v>
      </c>
    </row>
    <row r="399" spans="1:10">
      <c r="A399">
        <v>273</v>
      </c>
      <c r="B399">
        <v>411</v>
      </c>
      <c r="C399" t="str">
        <f>_xlfn.XLOOKUP(B399,raw_customers!A:A,raw_customers!B:B)</f>
        <v>Zaur Novruzov</v>
      </c>
      <c r="D399" t="str">
        <f>_xlfn.XLOOKUP(C399,raw_customers!B:B,raw_customers!C:C)</f>
        <v>M</v>
      </c>
      <c r="E399" t="str">
        <f>_xlfn.XLOOKUP(C399,raw_customers!B:B,raw_customers!G:G)</f>
        <v>Retail</v>
      </c>
      <c r="F399" t="str">
        <f>_xlfn.XLOOKUP(_xlfn.XLOOKUP(B399,raw_customers!A:A,raw_customers!F:F),raw_branches!A:A,raw_branches!B:B)</f>
        <v>Mingachevir Branch</v>
      </c>
      <c r="G399" s="7">
        <v>87721.45</v>
      </c>
      <c r="H399" s="6">
        <v>10.42</v>
      </c>
      <c r="I399" t="s">
        <v>2377</v>
      </c>
      <c r="J399" t="str">
        <f t="shared" si="6"/>
        <v>Aşağı Risk</v>
      </c>
    </row>
    <row r="400" spans="1:10">
      <c r="A400">
        <v>274</v>
      </c>
      <c r="B400">
        <v>142</v>
      </c>
      <c r="C400" t="str">
        <f>_xlfn.XLOOKUP(B400,raw_customers!A:A,raw_customers!B:B)</f>
        <v>Anar Nəbiyev</v>
      </c>
      <c r="D400" t="str">
        <f>_xlfn.XLOOKUP(C400,raw_customers!B:B,raw_customers!C:C)</f>
        <v>M</v>
      </c>
      <c r="E400" t="str">
        <f>_xlfn.XLOOKUP(C400,raw_customers!B:B,raw_customers!G:G)</f>
        <v>Retail</v>
      </c>
      <c r="F400" t="str">
        <f>_xlfn.XLOOKUP(_xlfn.XLOOKUP(B400,raw_customers!A:A,raw_customers!F:F),raw_branches!A:A,raw_branches!B:B)</f>
        <v>Sumgait Branch</v>
      </c>
      <c r="G400" s="7">
        <v>1835.63</v>
      </c>
      <c r="H400" s="6">
        <v>16.07</v>
      </c>
      <c r="I400" t="s">
        <v>2377</v>
      </c>
      <c r="J400" t="str">
        <f t="shared" si="6"/>
        <v>Orta Risk</v>
      </c>
    </row>
    <row r="401" spans="1:10">
      <c r="A401">
        <v>275</v>
      </c>
      <c r="B401">
        <v>705</v>
      </c>
      <c r="C401" t="str">
        <f>_xlfn.XLOOKUP(B401,raw_customers!A:A,raw_customers!B:B)</f>
        <v>Şəbnəm Novruzov</v>
      </c>
      <c r="D401" t="str">
        <f>_xlfn.XLOOKUP(C401,raw_customers!B:B,raw_customers!C:C)</f>
        <v>F</v>
      </c>
      <c r="E401" t="str">
        <f>_xlfn.XLOOKUP(C401,raw_customers!B:B,raw_customers!G:G)</f>
        <v>Premium</v>
      </c>
      <c r="F401" t="str">
        <f>_xlfn.XLOOKUP(_xlfn.XLOOKUP(B401,raw_customers!A:A,raw_customers!F:F),raw_branches!A:A,raw_branches!B:B)</f>
        <v>Sheki Branch</v>
      </c>
      <c r="G401" s="7">
        <v>9327.42</v>
      </c>
      <c r="H401" s="6">
        <v>10.54</v>
      </c>
      <c r="I401" t="s">
        <v>2377</v>
      </c>
      <c r="J401" t="str">
        <f t="shared" si="6"/>
        <v>Aşağı Risk</v>
      </c>
    </row>
    <row r="402" spans="1:10">
      <c r="A402">
        <v>276</v>
      </c>
      <c r="B402">
        <v>530</v>
      </c>
      <c r="C402" t="str">
        <f>_xlfn.XLOOKUP(B402,raw_customers!A:A,raw_customers!B:B)</f>
        <v>Könül Əzizov</v>
      </c>
      <c r="D402" t="str">
        <f>_xlfn.XLOOKUP(C402,raw_customers!B:B,raw_customers!C:C)</f>
        <v>F</v>
      </c>
      <c r="E402" t="str">
        <f>_xlfn.XLOOKUP(C402,raw_customers!B:B,raw_customers!G:G)</f>
        <v>SME</v>
      </c>
      <c r="F402" t="str">
        <f>_xlfn.XLOOKUP(_xlfn.XLOOKUP(B402,raw_customers!A:A,raw_customers!F:F),raw_branches!A:A,raw_branches!B:B)</f>
        <v>Sumgait Branch</v>
      </c>
      <c r="G402" s="7">
        <v>136537.78</v>
      </c>
      <c r="H402" s="6">
        <v>20.39</v>
      </c>
      <c r="I402" t="s">
        <v>2377</v>
      </c>
      <c r="J402" t="str">
        <f t="shared" si="6"/>
        <v>Yüksək Risk</v>
      </c>
    </row>
    <row r="403" spans="1:10">
      <c r="A403">
        <v>277</v>
      </c>
      <c r="B403">
        <v>633</v>
      </c>
      <c r="C403" t="str">
        <f>_xlfn.XLOOKUP(B403,raw_customers!A:A,raw_customers!B:B)</f>
        <v>Vəfa Həsənov</v>
      </c>
      <c r="D403" t="str">
        <f>_xlfn.XLOOKUP(C403,raw_customers!B:B,raw_customers!C:C)</f>
        <v>F</v>
      </c>
      <c r="E403" t="str">
        <f>_xlfn.XLOOKUP(C403,raw_customers!B:B,raw_customers!G:G)</f>
        <v>Premium</v>
      </c>
      <c r="F403" t="str">
        <f>_xlfn.XLOOKUP(_xlfn.XLOOKUP(B403,raw_customers!A:A,raw_customers!F:F),raw_branches!A:A,raw_branches!B:B)</f>
        <v>Baku Central</v>
      </c>
      <c r="G403" s="7">
        <v>5425.68</v>
      </c>
      <c r="H403" s="6">
        <v>18.43</v>
      </c>
      <c r="I403" t="s">
        <v>2377</v>
      </c>
      <c r="J403" t="str">
        <f t="shared" si="6"/>
        <v>Yüksək Risk</v>
      </c>
    </row>
    <row r="404" spans="1:10">
      <c r="A404">
        <v>278</v>
      </c>
      <c r="B404">
        <v>421</v>
      </c>
      <c r="C404" t="str">
        <f>_xlfn.XLOOKUP(B404,raw_customers!A:A,raw_customers!B:B)</f>
        <v>Lalə Nəbiyev</v>
      </c>
      <c r="D404" t="str">
        <f>_xlfn.XLOOKUP(C404,raw_customers!B:B,raw_customers!C:C)</f>
        <v>F</v>
      </c>
      <c r="E404" t="str">
        <f>_xlfn.XLOOKUP(C404,raw_customers!B:B,raw_customers!G:G)</f>
        <v>SME</v>
      </c>
      <c r="F404" t="str">
        <f>_xlfn.XLOOKUP(_xlfn.XLOOKUP(B404,raw_customers!A:A,raw_customers!F:F),raw_branches!A:A,raw_branches!B:B)</f>
        <v>Baku Yasamal</v>
      </c>
      <c r="G404" s="7">
        <v>113552.99</v>
      </c>
      <c r="H404" s="6">
        <v>20.92</v>
      </c>
      <c r="I404" t="s">
        <v>2377</v>
      </c>
      <c r="J404" t="str">
        <f t="shared" si="6"/>
        <v>Yüksək Risk</v>
      </c>
    </row>
    <row r="405" spans="1:10">
      <c r="A405">
        <v>279</v>
      </c>
      <c r="B405">
        <v>429</v>
      </c>
      <c r="C405" t="str">
        <f>_xlfn.XLOOKUP(B405,raw_customers!A:A,raw_customers!B:B)</f>
        <v>Elşən Həsənov</v>
      </c>
      <c r="D405" t="str">
        <f>_xlfn.XLOOKUP(C405,raw_customers!B:B,raw_customers!C:C)</f>
        <v>M</v>
      </c>
      <c r="E405" t="str">
        <f>_xlfn.XLOOKUP(C405,raw_customers!B:B,raw_customers!G:G)</f>
        <v>Retail</v>
      </c>
      <c r="F405" t="str">
        <f>_xlfn.XLOOKUP(_xlfn.XLOOKUP(B405,raw_customers!A:A,raw_customers!F:F),raw_branches!A:A,raw_branches!B:B)</f>
        <v>Mingachevir Branch</v>
      </c>
      <c r="G405" s="7">
        <v>98570.71</v>
      </c>
      <c r="H405" s="6">
        <v>16.45</v>
      </c>
      <c r="I405" t="s">
        <v>2393</v>
      </c>
      <c r="J405" t="str">
        <f t="shared" si="6"/>
        <v>Default (Batıq)</v>
      </c>
    </row>
    <row r="406" spans="1:10">
      <c r="A406">
        <v>280</v>
      </c>
      <c r="B406">
        <v>98</v>
      </c>
      <c r="C406" t="str">
        <f>_xlfn.XLOOKUP(B406,raw_customers!A:A,raw_customers!B:B)</f>
        <v>Türkan Bağırov</v>
      </c>
      <c r="D406" t="str">
        <f>_xlfn.XLOOKUP(C406,raw_customers!B:B,raw_customers!C:C)</f>
        <v>F</v>
      </c>
      <c r="E406" t="str">
        <f>_xlfn.XLOOKUP(C406,raw_customers!B:B,raw_customers!G:G)</f>
        <v>Retail</v>
      </c>
      <c r="F406" t="str">
        <f>_xlfn.XLOOKUP(_xlfn.XLOOKUP(B406,raw_customers!A:A,raw_customers!F:F),raw_branches!A:A,raw_branches!B:B)</f>
        <v>Sumgait Branch</v>
      </c>
      <c r="G406" s="7">
        <v>2631.83</v>
      </c>
      <c r="H406" s="6">
        <v>14.36</v>
      </c>
      <c r="I406" t="s">
        <v>2383</v>
      </c>
      <c r="J406" t="str">
        <f t="shared" si="6"/>
        <v>Orta Risk</v>
      </c>
    </row>
    <row r="407" spans="1:10">
      <c r="A407">
        <v>281</v>
      </c>
      <c r="B407">
        <v>467</v>
      </c>
      <c r="C407" t="str">
        <f>_xlfn.XLOOKUP(B407,raw_customers!A:A,raw_customers!B:B)</f>
        <v>Səbinə Nəbiyev</v>
      </c>
      <c r="D407" t="str">
        <f>_xlfn.XLOOKUP(C407,raw_customers!B:B,raw_customers!C:C)</f>
        <v>F</v>
      </c>
      <c r="E407" t="str">
        <f>_xlfn.XLOOKUP(C407,raw_customers!B:B,raw_customers!G:G)</f>
        <v>Retail</v>
      </c>
      <c r="F407" t="str">
        <f>_xlfn.XLOOKUP(_xlfn.XLOOKUP(B407,raw_customers!A:A,raw_customers!F:F),raw_branches!A:A,raw_branches!B:B)</f>
        <v>Baku Central</v>
      </c>
      <c r="G407" s="7">
        <v>5023.28</v>
      </c>
      <c r="H407" s="6">
        <v>6.4</v>
      </c>
      <c r="I407" t="s">
        <v>2393</v>
      </c>
      <c r="J407" t="str">
        <f t="shared" si="6"/>
        <v>Default (Batıq)</v>
      </c>
    </row>
    <row r="408" spans="1:10">
      <c r="A408">
        <v>282</v>
      </c>
      <c r="B408">
        <v>335</v>
      </c>
      <c r="C408" t="str">
        <f>_xlfn.XLOOKUP(B408,raw_customers!A:A,raw_customers!B:B)</f>
        <v>Könül Rzayev</v>
      </c>
      <c r="D408" t="str">
        <f>_xlfn.XLOOKUP(C408,raw_customers!B:B,raw_customers!C:C)</f>
        <v>F</v>
      </c>
      <c r="E408" t="str">
        <f>_xlfn.XLOOKUP(C408,raw_customers!B:B,raw_customers!G:G)</f>
        <v>SME</v>
      </c>
      <c r="F408" t="str">
        <f>_xlfn.XLOOKUP(_xlfn.XLOOKUP(B408,raw_customers!A:A,raw_customers!F:F),raw_branches!A:A,raw_branches!B:B)</f>
        <v>Baku Yasamal</v>
      </c>
      <c r="G408" s="7">
        <v>116235.83</v>
      </c>
      <c r="H408" s="6">
        <v>10.64</v>
      </c>
      <c r="I408" t="s">
        <v>2377</v>
      </c>
      <c r="J408" t="str">
        <f t="shared" si="6"/>
        <v>Aşağı Risk</v>
      </c>
    </row>
    <row r="409" spans="1:10">
      <c r="A409">
        <v>283</v>
      </c>
      <c r="B409">
        <v>489</v>
      </c>
      <c r="C409" t="str">
        <f>_xlfn.XLOOKUP(B409,raw_customers!A:A,raw_customers!B:B)</f>
        <v>Röya Rzayev</v>
      </c>
      <c r="D409" t="str">
        <f>_xlfn.XLOOKUP(C409,raw_customers!B:B,raw_customers!C:C)</f>
        <v>F</v>
      </c>
      <c r="E409" t="str">
        <f>_xlfn.XLOOKUP(C409,raw_customers!B:B,raw_customers!G:G)</f>
        <v>Premium</v>
      </c>
      <c r="F409" t="str">
        <f>_xlfn.XLOOKUP(_xlfn.XLOOKUP(B409,raw_customers!A:A,raw_customers!F:F),raw_branches!A:A,raw_branches!B:B)</f>
        <v>Mingachevir Branch</v>
      </c>
      <c r="G409" s="7">
        <v>100945.66</v>
      </c>
      <c r="H409" s="6">
        <v>18.5</v>
      </c>
      <c r="I409" t="s">
        <v>2377</v>
      </c>
      <c r="J409" t="str">
        <f t="shared" si="6"/>
        <v>Yüksək Risk</v>
      </c>
    </row>
    <row r="410" spans="1:10">
      <c r="A410">
        <v>284</v>
      </c>
      <c r="B410">
        <v>965</v>
      </c>
      <c r="C410" t="str">
        <f>_xlfn.XLOOKUP(B410,raw_customers!A:A,raw_customers!B:B)</f>
        <v>Şəbnəm Quliyev</v>
      </c>
      <c r="D410" t="str">
        <f>_xlfn.XLOOKUP(C410,raw_customers!B:B,raw_customers!C:C)</f>
        <v>F</v>
      </c>
      <c r="E410" t="str">
        <f>_xlfn.XLOOKUP(C410,raw_customers!B:B,raw_customers!G:G)</f>
        <v>Retail</v>
      </c>
      <c r="F410" t="str">
        <f>_xlfn.XLOOKUP(_xlfn.XLOOKUP(B410,raw_customers!A:A,raw_customers!F:F),raw_branches!A:A,raw_branches!B:B)</f>
        <v>Lankaran Branch</v>
      </c>
      <c r="G410" s="7">
        <v>14861.82</v>
      </c>
      <c r="H410" s="6">
        <v>6.77</v>
      </c>
      <c r="I410" t="s">
        <v>2383</v>
      </c>
      <c r="J410" t="str">
        <f t="shared" si="6"/>
        <v>Aşağı Risk</v>
      </c>
    </row>
    <row r="411" spans="1:10">
      <c r="A411">
        <v>285</v>
      </c>
      <c r="B411">
        <v>994</v>
      </c>
      <c r="C411" t="str">
        <f>_xlfn.XLOOKUP(B411,raw_customers!A:A,raw_customers!B:B)</f>
        <v>Vüqar Novruzov</v>
      </c>
      <c r="D411" t="str">
        <f>_xlfn.XLOOKUP(C411,raw_customers!B:B,raw_customers!C:C)</f>
        <v>M</v>
      </c>
      <c r="E411" t="str">
        <f>_xlfn.XLOOKUP(C411,raw_customers!B:B,raw_customers!G:G)</f>
        <v>Retail</v>
      </c>
      <c r="F411" t="str">
        <f>_xlfn.XLOOKUP(_xlfn.XLOOKUP(B411,raw_customers!A:A,raw_customers!F:F),raw_branches!A:A,raw_branches!B:B)</f>
        <v>Ganja Branch</v>
      </c>
      <c r="G411" s="7">
        <v>1727.59</v>
      </c>
      <c r="H411" s="6">
        <v>12.29</v>
      </c>
      <c r="I411" t="s">
        <v>2377</v>
      </c>
      <c r="J411" t="str">
        <f t="shared" si="6"/>
        <v>Orta Risk</v>
      </c>
    </row>
    <row r="412" spans="1:10">
      <c r="A412">
        <v>286</v>
      </c>
      <c r="B412">
        <v>518</v>
      </c>
      <c r="C412" t="str">
        <f>_xlfn.XLOOKUP(B412,raw_customers!A:A,raw_customers!B:B)</f>
        <v>Zaur Rəhimov</v>
      </c>
      <c r="D412" t="str">
        <f>_xlfn.XLOOKUP(C412,raw_customers!B:B,raw_customers!C:C)</f>
        <v>M</v>
      </c>
      <c r="E412" t="str">
        <f>_xlfn.XLOOKUP(C412,raw_customers!B:B,raw_customers!G:G)</f>
        <v>SME</v>
      </c>
      <c r="F412" t="str">
        <f>_xlfn.XLOOKUP(_xlfn.XLOOKUP(B412,raw_customers!A:A,raw_customers!F:F),raw_branches!A:A,raw_branches!B:B)</f>
        <v>Baku Central</v>
      </c>
      <c r="G412" s="7">
        <v>183609.9</v>
      </c>
      <c r="H412" s="6">
        <v>16.26</v>
      </c>
      <c r="I412" t="s">
        <v>2377</v>
      </c>
      <c r="J412" t="str">
        <f t="shared" si="6"/>
        <v>Orta Risk</v>
      </c>
    </row>
    <row r="413" spans="1:10">
      <c r="A413">
        <v>287</v>
      </c>
      <c r="B413">
        <v>330</v>
      </c>
      <c r="C413" t="str">
        <f>_xlfn.XLOOKUP(B413,raw_customers!A:A,raw_customers!B:B)</f>
        <v>Orxan Tağıyev</v>
      </c>
      <c r="D413" t="str">
        <f>_xlfn.XLOOKUP(C413,raw_customers!B:B,raw_customers!C:C)</f>
        <v>M</v>
      </c>
      <c r="E413" t="str">
        <f>_xlfn.XLOOKUP(C413,raw_customers!B:B,raw_customers!G:G)</f>
        <v>Retail</v>
      </c>
      <c r="F413" t="str">
        <f>_xlfn.XLOOKUP(_xlfn.XLOOKUP(B413,raw_customers!A:A,raw_customers!F:F),raw_branches!A:A,raw_branches!B:B)</f>
        <v>Lankaran Branch</v>
      </c>
      <c r="G413" s="7">
        <v>96093.4</v>
      </c>
      <c r="H413" s="6">
        <v>14.93</v>
      </c>
      <c r="I413" t="s">
        <v>2377</v>
      </c>
      <c r="J413" t="str">
        <f t="shared" si="6"/>
        <v>Orta Risk</v>
      </c>
    </row>
    <row r="414" spans="1:10">
      <c r="A414">
        <v>288</v>
      </c>
      <c r="B414">
        <v>432</v>
      </c>
      <c r="C414" t="str">
        <f>_xlfn.XLOOKUP(B414,raw_customers!A:A,raw_customers!B:B)</f>
        <v>Samir Vəliyev</v>
      </c>
      <c r="D414" t="str">
        <f>_xlfn.XLOOKUP(C414,raw_customers!B:B,raw_customers!C:C)</f>
        <v>M</v>
      </c>
      <c r="E414" t="str">
        <f>_xlfn.XLOOKUP(C414,raw_customers!B:B,raw_customers!G:G)</f>
        <v>SME</v>
      </c>
      <c r="F414" t="str">
        <f>_xlfn.XLOOKUP(_xlfn.XLOOKUP(B414,raw_customers!A:A,raw_customers!F:F),raw_branches!A:A,raw_branches!B:B)</f>
        <v>Baku Central</v>
      </c>
      <c r="G414" s="7">
        <v>91626.03</v>
      </c>
      <c r="H414" s="6">
        <v>8.17</v>
      </c>
      <c r="I414" t="s">
        <v>2383</v>
      </c>
      <c r="J414" t="str">
        <f t="shared" si="6"/>
        <v>Aşağı Risk</v>
      </c>
    </row>
    <row r="415" spans="1:10">
      <c r="A415">
        <v>289</v>
      </c>
      <c r="B415">
        <v>226</v>
      </c>
      <c r="C415" t="str">
        <f>_xlfn.XLOOKUP(B415,raw_customers!A:A,raw_customers!B:B)</f>
        <v>Şəbnəm Tağıyev</v>
      </c>
      <c r="D415" t="str">
        <f>_xlfn.XLOOKUP(C415,raw_customers!B:B,raw_customers!C:C)</f>
        <v>F</v>
      </c>
      <c r="E415" t="str">
        <f>_xlfn.XLOOKUP(C415,raw_customers!B:B,raw_customers!G:G)</f>
        <v>Premium</v>
      </c>
      <c r="F415" t="str">
        <f>_xlfn.XLOOKUP(_xlfn.XLOOKUP(B415,raw_customers!A:A,raw_customers!F:F),raw_branches!A:A,raw_branches!B:B)</f>
        <v>Mingachevir Branch</v>
      </c>
      <c r="G415" s="7">
        <v>36808.45</v>
      </c>
      <c r="H415" s="6">
        <v>6.71</v>
      </c>
      <c r="I415" t="s">
        <v>2383</v>
      </c>
      <c r="J415" t="str">
        <f t="shared" si="6"/>
        <v>Aşağı Risk</v>
      </c>
    </row>
    <row r="416" spans="1:10">
      <c r="A416">
        <v>290</v>
      </c>
      <c r="B416">
        <v>988</v>
      </c>
      <c r="C416" t="str">
        <f>_xlfn.XLOOKUP(B416,raw_customers!A:A,raw_customers!B:B)</f>
        <v>Mehriban Bağırov</v>
      </c>
      <c r="D416" t="str">
        <f>_xlfn.XLOOKUP(C416,raw_customers!B:B,raw_customers!C:C)</f>
        <v>F</v>
      </c>
      <c r="E416" t="str">
        <f>_xlfn.XLOOKUP(C416,raw_customers!B:B,raw_customers!G:G)</f>
        <v>SME</v>
      </c>
      <c r="F416" t="str">
        <f>_xlfn.XLOOKUP(_xlfn.XLOOKUP(B416,raw_customers!A:A,raw_customers!F:F),raw_branches!A:A,raw_branches!B:B)</f>
        <v>Baku Yasamal</v>
      </c>
      <c r="G416" s="7">
        <v>30033.06</v>
      </c>
      <c r="H416" s="6">
        <v>15.51</v>
      </c>
      <c r="I416" t="s">
        <v>2377</v>
      </c>
      <c r="J416" t="str">
        <f t="shared" si="6"/>
        <v>Orta Risk</v>
      </c>
    </row>
    <row r="417" spans="1:10">
      <c r="A417">
        <v>291</v>
      </c>
      <c r="B417">
        <v>935</v>
      </c>
      <c r="C417" t="str">
        <f>_xlfn.XLOOKUP(B417,raw_customers!A:A,raw_customers!B:B)</f>
        <v>Rüfət Sadıqov</v>
      </c>
      <c r="D417" t="str">
        <f>_xlfn.XLOOKUP(C417,raw_customers!B:B,raw_customers!C:C)</f>
        <v>M</v>
      </c>
      <c r="E417" t="str">
        <f>_xlfn.XLOOKUP(C417,raw_customers!B:B,raw_customers!G:G)</f>
        <v>SME</v>
      </c>
      <c r="F417" t="str">
        <f>_xlfn.XLOOKUP(_xlfn.XLOOKUP(B417,raw_customers!A:A,raw_customers!F:F),raw_branches!A:A,raw_branches!B:B)</f>
        <v>Baku Central</v>
      </c>
      <c r="G417" s="7">
        <v>122727.35</v>
      </c>
      <c r="H417" s="6">
        <v>12.65</v>
      </c>
      <c r="I417" t="s">
        <v>2383</v>
      </c>
      <c r="J417" t="str">
        <f t="shared" si="6"/>
        <v>Orta Risk</v>
      </c>
    </row>
    <row r="418" spans="1:10">
      <c r="A418">
        <v>292</v>
      </c>
      <c r="B418">
        <v>361</v>
      </c>
      <c r="C418" t="str">
        <f>_xlfn.XLOOKUP(B418,raw_customers!A:A,raw_customers!B:B)</f>
        <v>Kənan Bağırov</v>
      </c>
      <c r="D418" t="str">
        <f>_xlfn.XLOOKUP(C418,raw_customers!B:B,raw_customers!C:C)</f>
        <v>M</v>
      </c>
      <c r="E418" t="str">
        <f>_xlfn.XLOOKUP(C418,raw_customers!B:B,raw_customers!G:G)</f>
        <v>Retail</v>
      </c>
      <c r="F418" t="str">
        <f>_xlfn.XLOOKUP(_xlfn.XLOOKUP(B418,raw_customers!A:A,raw_customers!F:F),raw_branches!A:A,raw_branches!B:B)</f>
        <v>Sumgait Branch</v>
      </c>
      <c r="G418" s="7">
        <v>113706.49</v>
      </c>
      <c r="H418" s="6">
        <v>11.91</v>
      </c>
      <c r="I418" t="s">
        <v>2377</v>
      </c>
      <c r="J418" t="str">
        <f t="shared" si="6"/>
        <v>Aşağı Risk</v>
      </c>
    </row>
    <row r="419" spans="1:10">
      <c r="A419">
        <v>293</v>
      </c>
      <c r="B419">
        <v>963</v>
      </c>
      <c r="C419" t="str">
        <f>_xlfn.XLOOKUP(B419,raw_customers!A:A,raw_customers!B:B)</f>
        <v>Aysel Rəhimov</v>
      </c>
      <c r="D419" t="str">
        <f>_xlfn.XLOOKUP(C419,raw_customers!B:B,raw_customers!C:C)</f>
        <v>F</v>
      </c>
      <c r="E419" t="str">
        <f>_xlfn.XLOOKUP(C419,raw_customers!B:B,raw_customers!G:G)</f>
        <v>Premium</v>
      </c>
      <c r="F419" t="str">
        <f>_xlfn.XLOOKUP(_xlfn.XLOOKUP(B419,raw_customers!A:A,raw_customers!F:F),raw_branches!A:A,raw_branches!B:B)</f>
        <v>Ganja Branch</v>
      </c>
      <c r="G419" s="7">
        <v>12899.39</v>
      </c>
      <c r="H419" s="6">
        <v>18.46</v>
      </c>
      <c r="I419" t="s">
        <v>2383</v>
      </c>
      <c r="J419" t="str">
        <f t="shared" si="6"/>
        <v>Yüksək Risk</v>
      </c>
    </row>
    <row r="420" spans="1:10">
      <c r="A420">
        <v>294</v>
      </c>
      <c r="B420">
        <v>243</v>
      </c>
      <c r="C420" t="str">
        <f>_xlfn.XLOOKUP(B420,raw_customers!A:A,raw_customers!B:B)</f>
        <v>Ramin Bağırov</v>
      </c>
      <c r="D420" t="str">
        <f>_xlfn.XLOOKUP(C420,raw_customers!B:B,raw_customers!C:C)</f>
        <v>M</v>
      </c>
      <c r="E420" t="str">
        <f>_xlfn.XLOOKUP(C420,raw_customers!B:B,raw_customers!G:G)</f>
        <v>SME</v>
      </c>
      <c r="F420" t="str">
        <f>_xlfn.XLOOKUP(_xlfn.XLOOKUP(B420,raw_customers!A:A,raw_customers!F:F),raw_branches!A:A,raw_branches!B:B)</f>
        <v>Sheki Branch</v>
      </c>
      <c r="G420" s="7">
        <v>13361.86</v>
      </c>
      <c r="H420" s="6">
        <v>12.54</v>
      </c>
      <c r="I420" t="s">
        <v>2377</v>
      </c>
      <c r="J420" t="str">
        <f t="shared" si="6"/>
        <v>Orta Risk</v>
      </c>
    </row>
    <row r="421" spans="1:10">
      <c r="A421">
        <v>295</v>
      </c>
      <c r="B421">
        <v>312</v>
      </c>
      <c r="C421" t="str">
        <f>_xlfn.XLOOKUP(B421,raw_customers!A:A,raw_customers!B:B)</f>
        <v>Nicat Hüseynov</v>
      </c>
      <c r="D421" t="str">
        <f>_xlfn.XLOOKUP(C421,raw_customers!B:B,raw_customers!C:C)</f>
        <v>M</v>
      </c>
      <c r="E421" t="str">
        <f>_xlfn.XLOOKUP(C421,raw_customers!B:B,raw_customers!G:G)</f>
        <v>Retail</v>
      </c>
      <c r="F421" t="str">
        <f>_xlfn.XLOOKUP(_xlfn.XLOOKUP(B421,raw_customers!A:A,raw_customers!F:F),raw_branches!A:A,raw_branches!B:B)</f>
        <v>Sumgait Branch</v>
      </c>
      <c r="G421" s="7">
        <v>57572.84</v>
      </c>
      <c r="H421" s="6">
        <v>7.14</v>
      </c>
      <c r="I421" t="s">
        <v>2377</v>
      </c>
      <c r="J421" t="str">
        <f t="shared" si="6"/>
        <v>Aşağı Risk</v>
      </c>
    </row>
    <row r="422" spans="1:10">
      <c r="A422">
        <v>296</v>
      </c>
      <c r="B422">
        <v>524</v>
      </c>
      <c r="C422" t="str">
        <f>_xlfn.XLOOKUP(B422,raw_customers!A:A,raw_customers!B:B)</f>
        <v>Xəyalə Cəfərov</v>
      </c>
      <c r="D422" t="str">
        <f>_xlfn.XLOOKUP(C422,raw_customers!B:B,raw_customers!C:C)</f>
        <v>F</v>
      </c>
      <c r="E422" t="str">
        <f>_xlfn.XLOOKUP(C422,raw_customers!B:B,raw_customers!G:G)</f>
        <v>Retail</v>
      </c>
      <c r="F422" t="str">
        <f>_xlfn.XLOOKUP(_xlfn.XLOOKUP(B422,raw_customers!A:A,raw_customers!F:F),raw_branches!A:A,raw_branches!B:B)</f>
        <v>Ganja Branch</v>
      </c>
      <c r="G422" s="7">
        <v>147457.61</v>
      </c>
      <c r="H422" s="6">
        <v>10.22</v>
      </c>
      <c r="I422" t="s">
        <v>2383</v>
      </c>
      <c r="J422" t="str">
        <f t="shared" si="6"/>
        <v>Aşağı Risk</v>
      </c>
    </row>
    <row r="423" spans="1:10">
      <c r="A423">
        <v>297</v>
      </c>
      <c r="B423">
        <v>123</v>
      </c>
      <c r="C423" t="str">
        <f>_xlfn.XLOOKUP(B423,raw_customers!A:A,raw_customers!B:B)</f>
        <v>Elşən Kərimov</v>
      </c>
      <c r="D423" t="str">
        <f>_xlfn.XLOOKUP(C423,raw_customers!B:B,raw_customers!C:C)</f>
        <v>M</v>
      </c>
      <c r="E423" t="str">
        <f>_xlfn.XLOOKUP(C423,raw_customers!B:B,raw_customers!G:G)</f>
        <v>Retail</v>
      </c>
      <c r="F423" t="str">
        <f>_xlfn.XLOOKUP(_xlfn.XLOOKUP(B423,raw_customers!A:A,raw_customers!F:F),raw_branches!A:A,raw_branches!B:B)</f>
        <v>Sheki Branch</v>
      </c>
      <c r="G423" s="7">
        <v>100127.23</v>
      </c>
      <c r="H423" s="6">
        <v>18.41</v>
      </c>
      <c r="I423" t="s">
        <v>2383</v>
      </c>
      <c r="J423" t="str">
        <f t="shared" si="6"/>
        <v>Yüksək Risk</v>
      </c>
    </row>
    <row r="424" spans="1:10">
      <c r="A424">
        <v>298</v>
      </c>
      <c r="B424">
        <v>707</v>
      </c>
      <c r="C424" t="str">
        <f>_xlfn.XLOOKUP(B424,raw_customers!A:A,raw_customers!B:B)</f>
        <v>Vüqar Kərimov</v>
      </c>
      <c r="D424" t="str">
        <f>_xlfn.XLOOKUP(C424,raw_customers!B:B,raw_customers!C:C)</f>
        <v>M</v>
      </c>
      <c r="E424" t="str">
        <f>_xlfn.XLOOKUP(C424,raw_customers!B:B,raw_customers!G:G)</f>
        <v>Retail</v>
      </c>
      <c r="F424" t="str">
        <f>_xlfn.XLOOKUP(_xlfn.XLOOKUP(B424,raw_customers!A:A,raw_customers!F:F),raw_branches!A:A,raw_branches!B:B)</f>
        <v>Baku Yasamal</v>
      </c>
      <c r="G424" s="7">
        <v>18404.16</v>
      </c>
      <c r="H424" s="6">
        <v>18.96</v>
      </c>
      <c r="I424" t="s">
        <v>2377</v>
      </c>
      <c r="J424" t="str">
        <f t="shared" si="6"/>
        <v>Yüksək Risk</v>
      </c>
    </row>
    <row r="425" spans="1:10">
      <c r="A425">
        <v>299</v>
      </c>
      <c r="B425">
        <v>952</v>
      </c>
      <c r="C425" t="str">
        <f>_xlfn.XLOOKUP(B425,raw_customers!A:A,raw_customers!B:B)</f>
        <v>Vəfa Bağırov</v>
      </c>
      <c r="D425" t="str">
        <f>_xlfn.XLOOKUP(C425,raw_customers!B:B,raw_customers!C:C)</f>
        <v>F</v>
      </c>
      <c r="E425" t="str">
        <f>_xlfn.XLOOKUP(C425,raw_customers!B:B,raw_customers!G:G)</f>
        <v>Premium</v>
      </c>
      <c r="F425" t="str">
        <f>_xlfn.XLOOKUP(_xlfn.XLOOKUP(B425,raw_customers!A:A,raw_customers!F:F),raw_branches!A:A,raw_branches!B:B)</f>
        <v>Lankaran Branch</v>
      </c>
      <c r="G425" s="7">
        <v>105382.23</v>
      </c>
      <c r="H425" s="6">
        <v>15.98</v>
      </c>
      <c r="I425" t="s">
        <v>2377</v>
      </c>
      <c r="J425" t="str">
        <f t="shared" si="6"/>
        <v>Orta Risk</v>
      </c>
    </row>
    <row r="426" spans="1:10">
      <c r="A426">
        <v>300</v>
      </c>
      <c r="B426">
        <v>519</v>
      </c>
      <c r="C426" t="str">
        <f>_xlfn.XLOOKUP(B426,raw_customers!A:A,raw_customers!B:B)</f>
        <v>Aysel Həsənov</v>
      </c>
      <c r="D426" t="str">
        <f>_xlfn.XLOOKUP(C426,raw_customers!B:B,raw_customers!C:C)</f>
        <v>F</v>
      </c>
      <c r="E426" t="str">
        <f>_xlfn.XLOOKUP(C426,raw_customers!B:B,raw_customers!G:G)</f>
        <v>Retail</v>
      </c>
      <c r="F426" t="str">
        <f>_xlfn.XLOOKUP(_xlfn.XLOOKUP(B426,raw_customers!A:A,raw_customers!F:F),raw_branches!A:A,raw_branches!B:B)</f>
        <v>Ganja Branch</v>
      </c>
      <c r="G426" s="7">
        <v>14527.45</v>
      </c>
      <c r="H426" s="6">
        <v>9.08</v>
      </c>
      <c r="I426" t="s">
        <v>2383</v>
      </c>
      <c r="J426" t="str">
        <f t="shared" si="6"/>
        <v>Aşağı Risk</v>
      </c>
    </row>
    <row r="427" spans="1:10">
      <c r="A427">
        <v>301</v>
      </c>
      <c r="B427">
        <v>813</v>
      </c>
      <c r="C427" t="str">
        <f>_xlfn.XLOOKUP(B427,raw_customers!A:A,raw_customers!B:B)</f>
        <v>Səbinə Musayev</v>
      </c>
      <c r="D427" t="str">
        <f>_xlfn.XLOOKUP(C427,raw_customers!B:B,raw_customers!C:C)</f>
        <v>F</v>
      </c>
      <c r="E427" t="str">
        <f>_xlfn.XLOOKUP(C427,raw_customers!B:B,raw_customers!G:G)</f>
        <v>Retail</v>
      </c>
      <c r="F427" t="str">
        <f>_xlfn.XLOOKUP(_xlfn.XLOOKUP(B427,raw_customers!A:A,raw_customers!F:F),raw_branches!A:A,raw_branches!B:B)</f>
        <v>Baku Central</v>
      </c>
      <c r="G427" s="7">
        <v>849.58</v>
      </c>
      <c r="H427" s="6">
        <v>21.37</v>
      </c>
      <c r="I427" t="s">
        <v>2383</v>
      </c>
      <c r="J427" t="str">
        <f t="shared" si="6"/>
        <v>Yüksək Risk</v>
      </c>
    </row>
    <row r="428" spans="1:10">
      <c r="A428">
        <v>302</v>
      </c>
      <c r="B428">
        <v>919</v>
      </c>
      <c r="C428" t="str">
        <f>_xlfn.XLOOKUP(B428,raw_customers!A:A,raw_customers!B:B)</f>
        <v>Rüfət Rəhimov</v>
      </c>
      <c r="D428" t="str">
        <f>_xlfn.XLOOKUP(C428,raw_customers!B:B,raw_customers!C:C)</f>
        <v>M</v>
      </c>
      <c r="E428" t="str">
        <f>_xlfn.XLOOKUP(C428,raw_customers!B:B,raw_customers!G:G)</f>
        <v>Retail</v>
      </c>
      <c r="F428" t="str">
        <f>_xlfn.XLOOKUP(_xlfn.XLOOKUP(B428,raw_customers!A:A,raw_customers!F:F),raw_branches!A:A,raw_branches!B:B)</f>
        <v>Baku Central</v>
      </c>
      <c r="G428" s="7">
        <v>85077.35</v>
      </c>
      <c r="H428" s="6">
        <v>19.06</v>
      </c>
      <c r="I428" t="s">
        <v>2377</v>
      </c>
      <c r="J428" t="str">
        <f t="shared" si="6"/>
        <v>Yüksək Risk</v>
      </c>
    </row>
    <row r="429" spans="1:10">
      <c r="A429">
        <v>303</v>
      </c>
      <c r="B429">
        <v>537</v>
      </c>
      <c r="C429" t="str">
        <f>_xlfn.XLOOKUP(B429,raw_customers!A:A,raw_customers!B:B)</f>
        <v>Fuad Musayev</v>
      </c>
      <c r="D429" t="str">
        <f>_xlfn.XLOOKUP(C429,raw_customers!B:B,raw_customers!C:C)</f>
        <v>M</v>
      </c>
      <c r="E429" t="str">
        <f>_xlfn.XLOOKUP(C429,raw_customers!B:B,raw_customers!G:G)</f>
        <v>Premium</v>
      </c>
      <c r="F429" t="str">
        <f>_xlfn.XLOOKUP(_xlfn.XLOOKUP(B429,raw_customers!A:A,raw_customers!F:F),raw_branches!A:A,raw_branches!B:B)</f>
        <v>Sheki Branch</v>
      </c>
      <c r="G429" s="7">
        <v>189672.93</v>
      </c>
      <c r="H429" s="6">
        <v>8.26</v>
      </c>
      <c r="I429" t="s">
        <v>2377</v>
      </c>
      <c r="J429" t="str">
        <f t="shared" si="6"/>
        <v>Aşağı Risk</v>
      </c>
    </row>
    <row r="430" spans="1:10">
      <c r="A430">
        <v>304</v>
      </c>
      <c r="B430">
        <v>450</v>
      </c>
      <c r="C430" t="str">
        <f>_xlfn.XLOOKUP(B430,raw_customers!A:A,raw_customers!B:B)</f>
        <v>Səbinə Məmmədov</v>
      </c>
      <c r="D430" t="str">
        <f>_xlfn.XLOOKUP(C430,raw_customers!B:B,raw_customers!C:C)</f>
        <v>F</v>
      </c>
      <c r="E430" t="str">
        <f>_xlfn.XLOOKUP(C430,raw_customers!B:B,raw_customers!G:G)</f>
        <v>Retail</v>
      </c>
      <c r="F430" t="str">
        <f>_xlfn.XLOOKUP(_xlfn.XLOOKUP(B430,raw_customers!A:A,raw_customers!F:F),raw_branches!A:A,raw_branches!B:B)</f>
        <v>Mingachevir Branch</v>
      </c>
      <c r="G430" s="7">
        <v>27921.81</v>
      </c>
      <c r="H430" s="6">
        <v>20.21</v>
      </c>
      <c r="I430" t="s">
        <v>2377</v>
      </c>
      <c r="J430" t="str">
        <f t="shared" si="6"/>
        <v>Yüksək Risk</v>
      </c>
    </row>
    <row r="431" spans="1:10">
      <c r="A431">
        <v>305</v>
      </c>
      <c r="B431">
        <v>528</v>
      </c>
      <c r="C431" t="str">
        <f>_xlfn.XLOOKUP(B431,raw_customers!A:A,raw_customers!B:B)</f>
        <v>Şəbnəm Quliyev</v>
      </c>
      <c r="D431" t="str">
        <f>_xlfn.XLOOKUP(C431,raw_customers!B:B,raw_customers!C:C)</f>
        <v>F</v>
      </c>
      <c r="E431" t="str">
        <f>_xlfn.XLOOKUP(C431,raw_customers!B:B,raw_customers!G:G)</f>
        <v>Retail</v>
      </c>
      <c r="F431" t="str">
        <f>_xlfn.XLOOKUP(_xlfn.XLOOKUP(B431,raw_customers!A:A,raw_customers!F:F),raw_branches!A:A,raw_branches!B:B)</f>
        <v>Sumgait Branch</v>
      </c>
      <c r="G431" s="7">
        <v>7758.36</v>
      </c>
      <c r="H431" s="6">
        <v>18.28</v>
      </c>
      <c r="I431" t="s">
        <v>2377</v>
      </c>
      <c r="J431" t="str">
        <f t="shared" si="6"/>
        <v>Yüksək Risk</v>
      </c>
    </row>
    <row r="432" spans="1:10">
      <c r="A432">
        <v>306</v>
      </c>
      <c r="B432">
        <v>873</v>
      </c>
      <c r="C432" t="str">
        <f>_xlfn.XLOOKUP(B432,raw_customers!A:A,raw_customers!B:B)</f>
        <v>Nərmin Abbasov</v>
      </c>
      <c r="D432" t="str">
        <f>_xlfn.XLOOKUP(C432,raw_customers!B:B,raw_customers!C:C)</f>
        <v>F</v>
      </c>
      <c r="E432" t="str">
        <f>_xlfn.XLOOKUP(C432,raw_customers!B:B,raw_customers!G:G)</f>
        <v>SME</v>
      </c>
      <c r="F432" t="str">
        <f>_xlfn.XLOOKUP(_xlfn.XLOOKUP(B432,raw_customers!A:A,raw_customers!F:F),raw_branches!A:A,raw_branches!B:B)</f>
        <v>Sheki Branch</v>
      </c>
      <c r="G432" s="2">
        <v>149706</v>
      </c>
      <c r="H432" s="6">
        <v>6.01</v>
      </c>
      <c r="I432" t="s">
        <v>2377</v>
      </c>
      <c r="J432" t="str">
        <f t="shared" si="6"/>
        <v>Aşağı Risk</v>
      </c>
    </row>
    <row r="433" spans="1:10">
      <c r="A433">
        <v>307</v>
      </c>
      <c r="B433">
        <v>504</v>
      </c>
      <c r="C433" t="str">
        <f>_xlfn.XLOOKUP(B433,raw_customers!A:A,raw_customers!B:B)</f>
        <v>Rüfət Vəliyev</v>
      </c>
      <c r="D433" t="str">
        <f>_xlfn.XLOOKUP(C433,raw_customers!B:B,raw_customers!C:C)</f>
        <v>M</v>
      </c>
      <c r="E433" t="str">
        <f>_xlfn.XLOOKUP(C433,raw_customers!B:B,raw_customers!G:G)</f>
        <v>SME</v>
      </c>
      <c r="F433" t="str">
        <f>_xlfn.XLOOKUP(_xlfn.XLOOKUP(B433,raw_customers!A:A,raw_customers!F:F),raw_branches!A:A,raw_branches!B:B)</f>
        <v>Lankaran Branch</v>
      </c>
      <c r="G433" s="7">
        <v>20560.68</v>
      </c>
      <c r="H433" s="6">
        <v>14.76</v>
      </c>
      <c r="I433" t="s">
        <v>2383</v>
      </c>
      <c r="J433" t="str">
        <f t="shared" si="6"/>
        <v>Orta Risk</v>
      </c>
    </row>
    <row r="434" spans="1:10">
      <c r="A434">
        <v>308</v>
      </c>
      <c r="B434">
        <v>324</v>
      </c>
      <c r="C434" t="str">
        <f>_xlfn.XLOOKUP(B434,raw_customers!A:A,raw_customers!B:B)</f>
        <v>Fərid Novruzov</v>
      </c>
      <c r="D434" t="str">
        <f>_xlfn.XLOOKUP(C434,raw_customers!B:B,raw_customers!C:C)</f>
        <v>M</v>
      </c>
      <c r="E434" t="str">
        <f>_xlfn.XLOOKUP(C434,raw_customers!B:B,raw_customers!G:G)</f>
        <v>SME</v>
      </c>
      <c r="F434" t="str">
        <f>_xlfn.XLOOKUP(_xlfn.XLOOKUP(B434,raw_customers!A:A,raw_customers!F:F),raw_branches!A:A,raw_branches!B:B)</f>
        <v>Sheki Branch</v>
      </c>
      <c r="G434" s="7">
        <v>132955.18</v>
      </c>
      <c r="H434" s="6">
        <v>7.33</v>
      </c>
      <c r="I434" t="s">
        <v>2377</v>
      </c>
      <c r="J434" t="str">
        <f t="shared" si="6"/>
        <v>Aşağı Risk</v>
      </c>
    </row>
    <row r="435" spans="1:10">
      <c r="A435">
        <v>309</v>
      </c>
      <c r="B435">
        <v>701</v>
      </c>
      <c r="C435" t="str">
        <f>_xlfn.XLOOKUP(B435,raw_customers!A:A,raw_customers!B:B)</f>
        <v>Nicat Sadıqov</v>
      </c>
      <c r="D435" t="str">
        <f>_xlfn.XLOOKUP(C435,raw_customers!B:B,raw_customers!C:C)</f>
        <v>M</v>
      </c>
      <c r="E435" t="str">
        <f>_xlfn.XLOOKUP(C435,raw_customers!B:B,raw_customers!G:G)</f>
        <v>Retail</v>
      </c>
      <c r="F435" t="str">
        <f>_xlfn.XLOOKUP(_xlfn.XLOOKUP(B435,raw_customers!A:A,raw_customers!F:F),raw_branches!A:A,raw_branches!B:B)</f>
        <v>Ganja Branch</v>
      </c>
      <c r="G435" s="7">
        <v>46509.46</v>
      </c>
      <c r="H435" s="6">
        <v>13.49</v>
      </c>
      <c r="I435" t="s">
        <v>2377</v>
      </c>
      <c r="J435" t="str">
        <f t="shared" si="6"/>
        <v>Orta Risk</v>
      </c>
    </row>
    <row r="436" spans="1:10">
      <c r="A436">
        <v>310</v>
      </c>
      <c r="B436">
        <v>323</v>
      </c>
      <c r="C436" t="str">
        <f>_xlfn.XLOOKUP(B436,raw_customers!A:A,raw_customers!B:B)</f>
        <v>Günel Quliyev</v>
      </c>
      <c r="D436" t="str">
        <f>_xlfn.XLOOKUP(C436,raw_customers!B:B,raw_customers!C:C)</f>
        <v>F</v>
      </c>
      <c r="E436" t="str">
        <f>_xlfn.XLOOKUP(C436,raw_customers!B:B,raw_customers!G:G)</f>
        <v>Retail</v>
      </c>
      <c r="F436" t="str">
        <f>_xlfn.XLOOKUP(_xlfn.XLOOKUP(B436,raw_customers!A:A,raw_customers!F:F),raw_branches!A:A,raw_branches!B:B)</f>
        <v>Sumgait Branch</v>
      </c>
      <c r="G436" s="7">
        <v>2242.67</v>
      </c>
      <c r="H436" s="6">
        <v>11.75</v>
      </c>
      <c r="I436" t="s">
        <v>2377</v>
      </c>
      <c r="J436" t="str">
        <f t="shared" si="6"/>
        <v>Aşağı Risk</v>
      </c>
    </row>
    <row r="437" spans="1:10">
      <c r="A437">
        <v>311</v>
      </c>
      <c r="B437">
        <v>684</v>
      </c>
      <c r="C437" t="str">
        <f>_xlfn.XLOOKUP(B437,raw_customers!A:A,raw_customers!B:B)</f>
        <v>Ülviyyə Cəfərov</v>
      </c>
      <c r="D437" t="str">
        <f>_xlfn.XLOOKUP(C437,raw_customers!B:B,raw_customers!C:C)</f>
        <v>F</v>
      </c>
      <c r="E437" t="str">
        <f>_xlfn.XLOOKUP(C437,raw_customers!B:B,raw_customers!G:G)</f>
        <v>Premium</v>
      </c>
      <c r="F437" t="str">
        <f>_xlfn.XLOOKUP(_xlfn.XLOOKUP(B437,raw_customers!A:A,raw_customers!F:F),raw_branches!A:A,raw_branches!B:B)</f>
        <v>Mingachevir Branch</v>
      </c>
      <c r="G437" s="7">
        <v>187835.28</v>
      </c>
      <c r="H437" s="6">
        <v>7.28</v>
      </c>
      <c r="I437" t="s">
        <v>2377</v>
      </c>
      <c r="J437" t="str">
        <f t="shared" si="6"/>
        <v>Aşağı Risk</v>
      </c>
    </row>
    <row r="438" spans="1:10">
      <c r="A438">
        <v>312</v>
      </c>
      <c r="B438">
        <v>190</v>
      </c>
      <c r="C438" t="str">
        <f>_xlfn.XLOOKUP(B438,raw_customers!A:A,raw_customers!B:B)</f>
        <v>Səbinə Hüseynov</v>
      </c>
      <c r="D438" t="str">
        <f>_xlfn.XLOOKUP(C438,raw_customers!B:B,raw_customers!C:C)</f>
        <v>F</v>
      </c>
      <c r="E438" t="str">
        <f>_xlfn.XLOOKUP(C438,raw_customers!B:B,raw_customers!G:G)</f>
        <v>Retail</v>
      </c>
      <c r="F438" t="str">
        <f>_xlfn.XLOOKUP(_xlfn.XLOOKUP(B438,raw_customers!A:A,raw_customers!F:F),raw_branches!A:A,raw_branches!B:B)</f>
        <v>Baku Yasamal</v>
      </c>
      <c r="G438" s="7">
        <v>30530.18</v>
      </c>
      <c r="H438" s="6">
        <v>15.71</v>
      </c>
      <c r="I438" t="s">
        <v>2377</v>
      </c>
      <c r="J438" t="str">
        <f t="shared" si="6"/>
        <v>Orta Risk</v>
      </c>
    </row>
    <row r="439" spans="1:10">
      <c r="A439">
        <v>313</v>
      </c>
      <c r="B439">
        <v>903</v>
      </c>
      <c r="C439" t="str">
        <f>_xlfn.XLOOKUP(B439,raw_customers!A:A,raw_customers!B:B)</f>
        <v>Leyla Rəhimov</v>
      </c>
      <c r="D439" t="str">
        <f>_xlfn.XLOOKUP(C439,raw_customers!B:B,raw_customers!C:C)</f>
        <v>F</v>
      </c>
      <c r="E439" t="str">
        <f>_xlfn.XLOOKUP(C439,raw_customers!B:B,raw_customers!G:G)</f>
        <v>Retail</v>
      </c>
      <c r="F439" t="str">
        <f>_xlfn.XLOOKUP(_xlfn.XLOOKUP(B439,raw_customers!A:A,raw_customers!F:F),raw_branches!A:A,raw_branches!B:B)</f>
        <v>Sumgait Branch</v>
      </c>
      <c r="G439" s="7">
        <v>8141.01</v>
      </c>
      <c r="H439" s="6">
        <v>15.93</v>
      </c>
      <c r="I439" t="s">
        <v>2377</v>
      </c>
      <c r="J439" t="str">
        <f t="shared" si="6"/>
        <v>Orta Risk</v>
      </c>
    </row>
    <row r="440" spans="1:10">
      <c r="A440">
        <v>314</v>
      </c>
      <c r="B440">
        <v>46</v>
      </c>
      <c r="C440" t="str">
        <f>_xlfn.XLOOKUP(B440,raw_customers!A:A,raw_customers!B:B)</f>
        <v>Aysel Rzayev</v>
      </c>
      <c r="D440" t="str">
        <f>_xlfn.XLOOKUP(C440,raw_customers!B:B,raw_customers!C:C)</f>
        <v>F</v>
      </c>
      <c r="E440" t="str">
        <f>_xlfn.XLOOKUP(C440,raw_customers!B:B,raw_customers!G:G)</f>
        <v>SME</v>
      </c>
      <c r="F440" t="str">
        <f>_xlfn.XLOOKUP(_xlfn.XLOOKUP(B440,raw_customers!A:A,raw_customers!F:F),raw_branches!A:A,raw_branches!B:B)</f>
        <v>Mingachevir Branch</v>
      </c>
      <c r="G440" s="7">
        <v>6725.73</v>
      </c>
      <c r="H440" s="6">
        <v>21.45</v>
      </c>
      <c r="I440" t="s">
        <v>2377</v>
      </c>
      <c r="J440" t="str">
        <f t="shared" si="6"/>
        <v>Yüksək Risk</v>
      </c>
    </row>
    <row r="441" spans="1:10">
      <c r="A441">
        <v>315</v>
      </c>
      <c r="B441">
        <v>569</v>
      </c>
      <c r="C441" t="str">
        <f>_xlfn.XLOOKUP(B441,raw_customers!A:A,raw_customers!B:B)</f>
        <v>Elvin Əliyev</v>
      </c>
      <c r="D441" t="str">
        <f>_xlfn.XLOOKUP(C441,raw_customers!B:B,raw_customers!C:C)</f>
        <v>M</v>
      </c>
      <c r="E441" t="str">
        <f>_xlfn.XLOOKUP(C441,raw_customers!B:B,raw_customers!G:G)</f>
        <v>Retail</v>
      </c>
      <c r="F441" t="str">
        <f>_xlfn.XLOOKUP(_xlfn.XLOOKUP(B441,raw_customers!A:A,raw_customers!F:F),raw_branches!A:A,raw_branches!B:B)</f>
        <v>Ganja Branch</v>
      </c>
      <c r="G441" s="7">
        <v>98729.56</v>
      </c>
      <c r="H441" s="6">
        <v>5.79</v>
      </c>
      <c r="I441" t="s">
        <v>2377</v>
      </c>
      <c r="J441" t="str">
        <f t="shared" si="6"/>
        <v>Aşağı Risk</v>
      </c>
    </row>
    <row r="442" spans="1:10">
      <c r="A442">
        <v>316</v>
      </c>
      <c r="B442">
        <v>998</v>
      </c>
      <c r="C442" t="str">
        <f>_xlfn.XLOOKUP(B442,raw_customers!A:A,raw_customers!B:B)</f>
        <v>Sevinc Sadıqov</v>
      </c>
      <c r="D442" t="str">
        <f>_xlfn.XLOOKUP(C442,raw_customers!B:B,raw_customers!C:C)</f>
        <v>F</v>
      </c>
      <c r="E442" t="str">
        <f>_xlfn.XLOOKUP(C442,raw_customers!B:B,raw_customers!G:G)</f>
        <v>Premium</v>
      </c>
      <c r="F442" t="str">
        <f>_xlfn.XLOOKUP(_xlfn.XLOOKUP(B442,raw_customers!A:A,raw_customers!F:F),raw_branches!A:A,raw_branches!B:B)</f>
        <v>Lankaran Branch</v>
      </c>
      <c r="G442" s="7">
        <v>6884.57</v>
      </c>
      <c r="H442" s="6">
        <v>18.03</v>
      </c>
      <c r="I442" t="s">
        <v>2393</v>
      </c>
      <c r="J442" t="str">
        <f t="shared" si="6"/>
        <v>Default (Batıq)</v>
      </c>
    </row>
    <row r="443" spans="1:10">
      <c r="A443">
        <v>317</v>
      </c>
      <c r="B443">
        <v>465</v>
      </c>
      <c r="C443" t="str">
        <f>_xlfn.XLOOKUP(B443,raw_customers!A:A,raw_customers!B:B)</f>
        <v>Vəfa Musayev</v>
      </c>
      <c r="D443" t="str">
        <f>_xlfn.XLOOKUP(C443,raw_customers!B:B,raw_customers!C:C)</f>
        <v>F</v>
      </c>
      <c r="E443" t="str">
        <f>_xlfn.XLOOKUP(C443,raw_customers!B:B,raw_customers!G:G)</f>
        <v>Retail</v>
      </c>
      <c r="F443" t="str">
        <f>_xlfn.XLOOKUP(_xlfn.XLOOKUP(B443,raw_customers!A:A,raw_customers!F:F),raw_branches!A:A,raw_branches!B:B)</f>
        <v>Lankaran Branch</v>
      </c>
      <c r="G443" s="7">
        <v>8192.75</v>
      </c>
      <c r="H443" s="6">
        <v>10.42</v>
      </c>
      <c r="I443" t="s">
        <v>2383</v>
      </c>
      <c r="J443" t="str">
        <f t="shared" si="6"/>
        <v>Aşağı Risk</v>
      </c>
    </row>
    <row r="444" spans="1:10">
      <c r="A444">
        <v>318</v>
      </c>
      <c r="B444">
        <v>729</v>
      </c>
      <c r="C444" t="str">
        <f>_xlfn.XLOOKUP(B444,raw_customers!A:A,raw_customers!B:B)</f>
        <v>Röya Hüseynov</v>
      </c>
      <c r="D444" t="str">
        <f>_xlfn.XLOOKUP(C444,raw_customers!B:B,raw_customers!C:C)</f>
        <v>F</v>
      </c>
      <c r="E444" t="str">
        <f>_xlfn.XLOOKUP(C444,raw_customers!B:B,raw_customers!G:G)</f>
        <v>Retail</v>
      </c>
      <c r="F444" t="str">
        <f>_xlfn.XLOOKUP(_xlfn.XLOOKUP(B444,raw_customers!A:A,raw_customers!F:F),raw_branches!A:A,raw_branches!B:B)</f>
        <v>Baku Yasamal</v>
      </c>
      <c r="G444" s="7">
        <v>5590.36</v>
      </c>
      <c r="H444" s="6">
        <v>6.73</v>
      </c>
      <c r="I444" t="s">
        <v>2383</v>
      </c>
      <c r="J444" t="str">
        <f t="shared" si="6"/>
        <v>Aşağı Risk</v>
      </c>
    </row>
    <row r="445" spans="1:10">
      <c r="A445">
        <v>319</v>
      </c>
      <c r="B445">
        <v>303</v>
      </c>
      <c r="C445" t="str">
        <f>_xlfn.XLOOKUP(B445,raw_customers!A:A,raw_customers!B:B)</f>
        <v>Rəşad Quliyev</v>
      </c>
      <c r="D445" t="str">
        <f>_xlfn.XLOOKUP(C445,raw_customers!B:B,raw_customers!C:C)</f>
        <v>M</v>
      </c>
      <c r="E445" t="str">
        <f>_xlfn.XLOOKUP(C445,raw_customers!B:B,raw_customers!G:G)</f>
        <v>Retail</v>
      </c>
      <c r="F445" t="str">
        <f>_xlfn.XLOOKUP(_xlfn.XLOOKUP(B445,raw_customers!A:A,raw_customers!F:F),raw_branches!A:A,raw_branches!B:B)</f>
        <v>Lankaran Branch</v>
      </c>
      <c r="G445" s="7">
        <v>149639.1</v>
      </c>
      <c r="H445" s="6">
        <v>13.19</v>
      </c>
      <c r="I445" t="s">
        <v>2393</v>
      </c>
      <c r="J445" t="str">
        <f t="shared" si="6"/>
        <v>Default (Batıq)</v>
      </c>
    </row>
    <row r="446" spans="1:10">
      <c r="A446">
        <v>320</v>
      </c>
      <c r="B446">
        <v>464</v>
      </c>
      <c r="C446" t="str">
        <f>_xlfn.XLOOKUP(B446,raw_customers!A:A,raw_customers!B:B)</f>
        <v>Türkan Həsənov</v>
      </c>
      <c r="D446" t="str">
        <f>_xlfn.XLOOKUP(C446,raw_customers!B:B,raw_customers!C:C)</f>
        <v>F</v>
      </c>
      <c r="E446" t="str">
        <f>_xlfn.XLOOKUP(C446,raw_customers!B:B,raw_customers!G:G)</f>
        <v>SME</v>
      </c>
      <c r="F446" t="str">
        <f>_xlfn.XLOOKUP(_xlfn.XLOOKUP(B446,raw_customers!A:A,raw_customers!F:F),raw_branches!A:A,raw_branches!B:B)</f>
        <v>Mingachevir Branch</v>
      </c>
      <c r="G446" s="7">
        <v>7877.82</v>
      </c>
      <c r="H446" s="6">
        <v>16.7</v>
      </c>
      <c r="I446" t="s">
        <v>2377</v>
      </c>
      <c r="J446" t="str">
        <f t="shared" si="6"/>
        <v>Orta Risk</v>
      </c>
    </row>
    <row r="447" spans="1:10">
      <c r="A447">
        <v>321</v>
      </c>
      <c r="B447">
        <v>510</v>
      </c>
      <c r="C447" t="str">
        <f>_xlfn.XLOOKUP(B447,raw_customers!A:A,raw_customers!B:B)</f>
        <v>Fərid Məmmədov</v>
      </c>
      <c r="D447" t="str">
        <f>_xlfn.XLOOKUP(C447,raw_customers!B:B,raw_customers!C:C)</f>
        <v>M</v>
      </c>
      <c r="E447" t="str">
        <f>_xlfn.XLOOKUP(C447,raw_customers!B:B,raw_customers!G:G)</f>
        <v>SME</v>
      </c>
      <c r="F447" t="str">
        <f>_xlfn.XLOOKUP(_xlfn.XLOOKUP(B447,raw_customers!A:A,raw_customers!F:F),raw_branches!A:A,raw_branches!B:B)</f>
        <v>Baku Central</v>
      </c>
      <c r="G447" s="7">
        <v>14999.82</v>
      </c>
      <c r="H447" s="6">
        <v>9.87</v>
      </c>
      <c r="I447" t="s">
        <v>2377</v>
      </c>
      <c r="J447" t="str">
        <f t="shared" si="6"/>
        <v>Aşağı Risk</v>
      </c>
    </row>
    <row r="448" spans="1:10">
      <c r="A448">
        <v>322</v>
      </c>
      <c r="B448">
        <v>65</v>
      </c>
      <c r="C448" t="str">
        <f>_xlfn.XLOOKUP(B448,raw_customers!A:A,raw_customers!B:B)</f>
        <v>Rəşad Nəbiyev</v>
      </c>
      <c r="D448" t="str">
        <f>_xlfn.XLOOKUP(C448,raw_customers!B:B,raw_customers!C:C)</f>
        <v>M</v>
      </c>
      <c r="E448" t="str">
        <f>_xlfn.XLOOKUP(C448,raw_customers!B:B,raw_customers!G:G)</f>
        <v>Retail</v>
      </c>
      <c r="F448" t="str">
        <f>_xlfn.XLOOKUP(_xlfn.XLOOKUP(B448,raw_customers!A:A,raw_customers!F:F),raw_branches!A:A,raw_branches!B:B)</f>
        <v>Baku Yasamal</v>
      </c>
      <c r="G448" s="7">
        <v>56838.94</v>
      </c>
      <c r="H448" s="6">
        <v>5.87</v>
      </c>
      <c r="I448" t="s">
        <v>2377</v>
      </c>
      <c r="J448" t="str">
        <f t="shared" si="6"/>
        <v>Aşağı Risk</v>
      </c>
    </row>
    <row r="449" spans="1:10">
      <c r="A449">
        <v>323</v>
      </c>
      <c r="B449">
        <v>995</v>
      </c>
      <c r="C449" t="str">
        <f>_xlfn.XLOOKUP(B449,raw_customers!A:A,raw_customers!B:B)</f>
        <v>Elvin Abbasov</v>
      </c>
      <c r="D449" t="str">
        <f>_xlfn.XLOOKUP(C449,raw_customers!B:B,raw_customers!C:C)</f>
        <v>M</v>
      </c>
      <c r="E449" t="str">
        <f>_xlfn.XLOOKUP(C449,raw_customers!B:B,raw_customers!G:G)</f>
        <v>Retail</v>
      </c>
      <c r="F449" t="str">
        <f>_xlfn.XLOOKUP(_xlfn.XLOOKUP(B449,raw_customers!A:A,raw_customers!F:F),raw_branches!A:A,raw_branches!B:B)</f>
        <v>Sumgait Branch</v>
      </c>
      <c r="G449" s="7">
        <v>12913.36</v>
      </c>
      <c r="H449" s="6">
        <v>17.52</v>
      </c>
      <c r="I449" t="s">
        <v>2377</v>
      </c>
      <c r="J449" t="str">
        <f t="shared" si="6"/>
        <v>Orta Risk</v>
      </c>
    </row>
    <row r="450" spans="1:10">
      <c r="A450">
        <v>324</v>
      </c>
      <c r="B450">
        <v>370</v>
      </c>
      <c r="C450" t="str">
        <f>_xlfn.XLOOKUP(B450,raw_customers!A:A,raw_customers!B:B)</f>
        <v>Ramin Orucov</v>
      </c>
      <c r="D450" t="str">
        <f>_xlfn.XLOOKUP(C450,raw_customers!B:B,raw_customers!C:C)</f>
        <v>M</v>
      </c>
      <c r="E450" t="str">
        <f>_xlfn.XLOOKUP(C450,raw_customers!B:B,raw_customers!G:G)</f>
        <v>Retail</v>
      </c>
      <c r="F450" t="str">
        <f>_xlfn.XLOOKUP(_xlfn.XLOOKUP(B450,raw_customers!A:A,raw_customers!F:F),raw_branches!A:A,raw_branches!B:B)</f>
        <v>Sumgait Branch</v>
      </c>
      <c r="G450" s="7">
        <v>7285.76</v>
      </c>
      <c r="H450" s="6">
        <v>9.26</v>
      </c>
      <c r="I450" t="s">
        <v>2377</v>
      </c>
      <c r="J450" t="str">
        <f t="shared" si="6"/>
        <v>Aşağı Risk</v>
      </c>
    </row>
    <row r="451" spans="1:10">
      <c r="A451">
        <v>325</v>
      </c>
      <c r="B451">
        <v>547</v>
      </c>
      <c r="C451" t="str">
        <f>_xlfn.XLOOKUP(B451,raw_customers!A:A,raw_customers!B:B)</f>
        <v>Şəbnəm Kərimov</v>
      </c>
      <c r="D451" t="str">
        <f>_xlfn.XLOOKUP(C451,raw_customers!B:B,raw_customers!C:C)</f>
        <v>F</v>
      </c>
      <c r="E451" t="str">
        <f>_xlfn.XLOOKUP(C451,raw_customers!B:B,raw_customers!G:G)</f>
        <v>Retail</v>
      </c>
      <c r="F451" t="str">
        <f>_xlfn.XLOOKUP(_xlfn.XLOOKUP(B451,raw_customers!A:A,raw_customers!F:F),raw_branches!A:A,raw_branches!B:B)</f>
        <v>Mingachevir Branch</v>
      </c>
      <c r="G451" s="7">
        <v>6433.75</v>
      </c>
      <c r="H451" s="6">
        <v>20.98</v>
      </c>
      <c r="I451" t="s">
        <v>2383</v>
      </c>
      <c r="J451" t="str">
        <f t="shared" ref="J451:J514" si="7">IF(I451="Default","Default (Batıq)",IF(H451&gt;=18,"Yüksək Risk",IF(H451&gt;=12,"Orta Risk","Aşağı Risk")))</f>
        <v>Yüksək Risk</v>
      </c>
    </row>
    <row r="452" spans="1:10">
      <c r="A452">
        <v>326</v>
      </c>
      <c r="B452">
        <v>42</v>
      </c>
      <c r="C452" t="str">
        <f>_xlfn.XLOOKUP(B452,raw_customers!A:A,raw_customers!B:B)</f>
        <v>Fuad Kərimov</v>
      </c>
      <c r="D452" t="str">
        <f>_xlfn.XLOOKUP(C452,raw_customers!B:B,raw_customers!C:C)</f>
        <v>M</v>
      </c>
      <c r="E452" t="str">
        <f>_xlfn.XLOOKUP(C452,raw_customers!B:B,raw_customers!G:G)</f>
        <v>Retail</v>
      </c>
      <c r="F452" t="str">
        <f>_xlfn.XLOOKUP(_xlfn.XLOOKUP(B452,raw_customers!A:A,raw_customers!F:F),raw_branches!A:A,raw_branches!B:B)</f>
        <v>Sheki Branch</v>
      </c>
      <c r="G452" s="7">
        <v>8026.2</v>
      </c>
      <c r="H452" s="6">
        <v>15.23</v>
      </c>
      <c r="I452" t="s">
        <v>2377</v>
      </c>
      <c r="J452" t="str">
        <f t="shared" si="7"/>
        <v>Orta Risk</v>
      </c>
    </row>
    <row r="453" spans="1:10">
      <c r="A453">
        <v>327</v>
      </c>
      <c r="B453">
        <v>995</v>
      </c>
      <c r="C453" t="str">
        <f>_xlfn.XLOOKUP(B453,raw_customers!A:A,raw_customers!B:B)</f>
        <v>Elvin Abbasov</v>
      </c>
      <c r="D453" t="str">
        <f>_xlfn.XLOOKUP(C453,raw_customers!B:B,raw_customers!C:C)</f>
        <v>M</v>
      </c>
      <c r="E453" t="str">
        <f>_xlfn.XLOOKUP(C453,raw_customers!B:B,raw_customers!G:G)</f>
        <v>Retail</v>
      </c>
      <c r="F453" t="str">
        <f>_xlfn.XLOOKUP(_xlfn.XLOOKUP(B453,raw_customers!A:A,raw_customers!F:F),raw_branches!A:A,raw_branches!B:B)</f>
        <v>Sumgait Branch</v>
      </c>
      <c r="G453" s="7">
        <v>7926.19</v>
      </c>
      <c r="H453" s="6">
        <v>9.43</v>
      </c>
      <c r="I453" t="s">
        <v>2377</v>
      </c>
      <c r="J453" t="str">
        <f t="shared" si="7"/>
        <v>Aşağı Risk</v>
      </c>
    </row>
    <row r="454" spans="1:10">
      <c r="A454">
        <v>328</v>
      </c>
      <c r="B454">
        <v>744</v>
      </c>
      <c r="C454" t="str">
        <f>_xlfn.XLOOKUP(B454,raw_customers!A:A,raw_customers!B:B)</f>
        <v>Ramin Nəbiyev</v>
      </c>
      <c r="D454" t="str">
        <f>_xlfn.XLOOKUP(C454,raw_customers!B:B,raw_customers!C:C)</f>
        <v>M</v>
      </c>
      <c r="E454" t="str">
        <f>_xlfn.XLOOKUP(C454,raw_customers!B:B,raw_customers!G:G)</f>
        <v>Premium</v>
      </c>
      <c r="F454" t="str">
        <f>_xlfn.XLOOKUP(_xlfn.XLOOKUP(B454,raw_customers!A:A,raw_customers!F:F),raw_branches!A:A,raw_branches!B:B)</f>
        <v>Sumgait Branch</v>
      </c>
      <c r="G454" s="7">
        <v>79806.12</v>
      </c>
      <c r="H454" s="6">
        <v>11.83</v>
      </c>
      <c r="I454" t="s">
        <v>2377</v>
      </c>
      <c r="J454" t="str">
        <f t="shared" si="7"/>
        <v>Aşağı Risk</v>
      </c>
    </row>
    <row r="455" spans="1:10">
      <c r="A455">
        <v>329</v>
      </c>
      <c r="B455">
        <v>592</v>
      </c>
      <c r="C455" t="str">
        <f>_xlfn.XLOOKUP(B455,raw_customers!A:A,raw_customers!B:B)</f>
        <v>Murad Abbasov</v>
      </c>
      <c r="D455" t="str">
        <f>_xlfn.XLOOKUP(C455,raw_customers!B:B,raw_customers!C:C)</f>
        <v>M</v>
      </c>
      <c r="E455" t="str">
        <f>_xlfn.XLOOKUP(C455,raw_customers!B:B,raw_customers!G:G)</f>
        <v>SME</v>
      </c>
      <c r="F455" t="str">
        <f>_xlfn.XLOOKUP(_xlfn.XLOOKUP(B455,raw_customers!A:A,raw_customers!F:F),raw_branches!A:A,raw_branches!B:B)</f>
        <v>Sheki Branch</v>
      </c>
      <c r="G455" s="7">
        <v>13704.46</v>
      </c>
      <c r="H455" s="6">
        <v>14.71</v>
      </c>
      <c r="I455" t="s">
        <v>2377</v>
      </c>
      <c r="J455" t="str">
        <f t="shared" si="7"/>
        <v>Orta Risk</v>
      </c>
    </row>
    <row r="456" spans="1:10">
      <c r="A456">
        <v>330</v>
      </c>
      <c r="B456">
        <v>155</v>
      </c>
      <c r="C456" t="str">
        <f>_xlfn.XLOOKUP(B456,raw_customers!A:A,raw_customers!B:B)</f>
        <v>Kamran Bağırov</v>
      </c>
      <c r="D456" t="str">
        <f>_xlfn.XLOOKUP(C456,raw_customers!B:B,raw_customers!C:C)</f>
        <v>M</v>
      </c>
      <c r="E456" t="str">
        <f>_xlfn.XLOOKUP(C456,raw_customers!B:B,raw_customers!G:G)</f>
        <v>Retail</v>
      </c>
      <c r="F456" t="str">
        <f>_xlfn.XLOOKUP(_xlfn.XLOOKUP(B456,raw_customers!A:A,raw_customers!F:F),raw_branches!A:A,raw_branches!B:B)</f>
        <v>Sheki Branch</v>
      </c>
      <c r="G456" s="7">
        <v>5738.34</v>
      </c>
      <c r="H456" s="6">
        <v>14.44</v>
      </c>
      <c r="I456" t="s">
        <v>2377</v>
      </c>
      <c r="J456" t="str">
        <f t="shared" si="7"/>
        <v>Orta Risk</v>
      </c>
    </row>
    <row r="457" spans="1:10">
      <c r="A457">
        <v>331</v>
      </c>
      <c r="B457">
        <v>993</v>
      </c>
      <c r="C457" t="str">
        <f>_xlfn.XLOOKUP(B457,raw_customers!A:A,raw_customers!B:B)</f>
        <v>Elşən Sadıqov</v>
      </c>
      <c r="D457" t="str">
        <f>_xlfn.XLOOKUP(C457,raw_customers!B:B,raw_customers!C:C)</f>
        <v>M</v>
      </c>
      <c r="E457" t="str">
        <f>_xlfn.XLOOKUP(C457,raw_customers!B:B,raw_customers!G:G)</f>
        <v>Premium</v>
      </c>
      <c r="F457" t="str">
        <f>_xlfn.XLOOKUP(_xlfn.XLOOKUP(B457,raw_customers!A:A,raw_customers!F:F),raw_branches!A:A,raw_branches!B:B)</f>
        <v>Sheki Branch</v>
      </c>
      <c r="G457" s="7">
        <v>14503.71</v>
      </c>
      <c r="H457" s="6">
        <v>5.04</v>
      </c>
      <c r="I457" t="s">
        <v>2377</v>
      </c>
      <c r="J457" t="str">
        <f t="shared" si="7"/>
        <v>Aşağı Risk</v>
      </c>
    </row>
    <row r="458" spans="1:10">
      <c r="A458">
        <v>332</v>
      </c>
      <c r="B458">
        <v>912</v>
      </c>
      <c r="C458" t="str">
        <f>_xlfn.XLOOKUP(B458,raw_customers!A:A,raw_customers!B:B)</f>
        <v>Fərid Hüseynov</v>
      </c>
      <c r="D458" t="str">
        <f>_xlfn.XLOOKUP(C458,raw_customers!B:B,raw_customers!C:C)</f>
        <v>M</v>
      </c>
      <c r="E458" t="str">
        <f>_xlfn.XLOOKUP(C458,raw_customers!B:B,raw_customers!G:G)</f>
        <v>Retail</v>
      </c>
      <c r="F458" t="str">
        <f>_xlfn.XLOOKUP(_xlfn.XLOOKUP(B458,raw_customers!A:A,raw_customers!F:F),raw_branches!A:A,raw_branches!B:B)</f>
        <v>Mingachevir Branch</v>
      </c>
      <c r="G458" s="7">
        <v>25843.26</v>
      </c>
      <c r="H458" s="6">
        <v>12.78</v>
      </c>
      <c r="I458" t="s">
        <v>2377</v>
      </c>
      <c r="J458" t="str">
        <f t="shared" si="7"/>
        <v>Orta Risk</v>
      </c>
    </row>
    <row r="459" spans="1:10">
      <c r="A459">
        <v>333</v>
      </c>
      <c r="B459">
        <v>909</v>
      </c>
      <c r="C459" t="str">
        <f>_xlfn.XLOOKUP(B459,raw_customers!A:A,raw_customers!B:B)</f>
        <v>Elvin Əzizov</v>
      </c>
      <c r="D459" t="str">
        <f>_xlfn.XLOOKUP(C459,raw_customers!B:B,raw_customers!C:C)</f>
        <v>M</v>
      </c>
      <c r="E459" t="str">
        <f>_xlfn.XLOOKUP(C459,raw_customers!B:B,raw_customers!G:G)</f>
        <v>Retail</v>
      </c>
      <c r="F459" t="str">
        <f>_xlfn.XLOOKUP(_xlfn.XLOOKUP(B459,raw_customers!A:A,raw_customers!F:F),raw_branches!A:A,raw_branches!B:B)</f>
        <v>Mingachevir Branch</v>
      </c>
      <c r="G459" s="7">
        <v>2141.85</v>
      </c>
      <c r="H459" s="6">
        <v>14.87</v>
      </c>
      <c r="I459" t="s">
        <v>2377</v>
      </c>
      <c r="J459" t="str">
        <f t="shared" si="7"/>
        <v>Orta Risk</v>
      </c>
    </row>
    <row r="460" spans="1:10">
      <c r="A460">
        <v>334</v>
      </c>
      <c r="B460">
        <v>30</v>
      </c>
      <c r="C460" t="str">
        <f>_xlfn.XLOOKUP(B460,raw_customers!A:A,raw_customers!B:B)</f>
        <v>Toğrul Məmmədov</v>
      </c>
      <c r="D460" t="str">
        <f>_xlfn.XLOOKUP(C460,raw_customers!B:B,raw_customers!C:C)</f>
        <v>M</v>
      </c>
      <c r="E460" t="str">
        <f>_xlfn.XLOOKUP(C460,raw_customers!B:B,raw_customers!G:G)</f>
        <v>Retail</v>
      </c>
      <c r="F460" t="str">
        <f>_xlfn.XLOOKUP(_xlfn.XLOOKUP(B460,raw_customers!A:A,raw_customers!F:F),raw_branches!A:A,raw_branches!B:B)</f>
        <v>Mingachevir Branch</v>
      </c>
      <c r="G460" s="7">
        <v>2571.2</v>
      </c>
      <c r="H460" s="6">
        <v>8.25</v>
      </c>
      <c r="I460" t="s">
        <v>2383</v>
      </c>
      <c r="J460" t="str">
        <f t="shared" si="7"/>
        <v>Aşağı Risk</v>
      </c>
    </row>
    <row r="461" spans="1:10">
      <c r="A461">
        <v>335</v>
      </c>
      <c r="B461">
        <v>710</v>
      </c>
      <c r="C461" t="str">
        <f>_xlfn.XLOOKUP(B461,raw_customers!A:A,raw_customers!B:B)</f>
        <v>Emin Tağıyev</v>
      </c>
      <c r="D461" t="str">
        <f>_xlfn.XLOOKUP(C461,raw_customers!B:B,raw_customers!C:C)</f>
        <v>M</v>
      </c>
      <c r="E461" t="str">
        <f>_xlfn.XLOOKUP(C461,raw_customers!B:B,raw_customers!G:G)</f>
        <v>Retail</v>
      </c>
      <c r="F461" t="str">
        <f>_xlfn.XLOOKUP(_xlfn.XLOOKUP(B461,raw_customers!A:A,raw_customers!F:F),raw_branches!A:A,raw_branches!B:B)</f>
        <v>Ganja Branch</v>
      </c>
      <c r="G461" s="7">
        <v>193228.89</v>
      </c>
      <c r="H461" s="6">
        <v>20.05</v>
      </c>
      <c r="I461" t="s">
        <v>2377</v>
      </c>
      <c r="J461" t="str">
        <f t="shared" si="7"/>
        <v>Yüksək Risk</v>
      </c>
    </row>
    <row r="462" spans="1:10">
      <c r="A462">
        <v>336</v>
      </c>
      <c r="B462">
        <v>408</v>
      </c>
      <c r="C462" t="str">
        <f>_xlfn.XLOOKUP(B462,raw_customers!A:A,raw_customers!B:B)</f>
        <v>Fuad Sadıqov</v>
      </c>
      <c r="D462" t="str">
        <f>_xlfn.XLOOKUP(C462,raw_customers!B:B,raw_customers!C:C)</f>
        <v>M</v>
      </c>
      <c r="E462" t="str">
        <f>_xlfn.XLOOKUP(C462,raw_customers!B:B,raw_customers!G:G)</f>
        <v>Retail</v>
      </c>
      <c r="F462" t="str">
        <f>_xlfn.XLOOKUP(_xlfn.XLOOKUP(B462,raw_customers!A:A,raw_customers!F:F),raw_branches!A:A,raw_branches!B:B)</f>
        <v>Ganja Branch</v>
      </c>
      <c r="G462" s="7">
        <v>32468.18</v>
      </c>
      <c r="H462" s="6">
        <v>14.2</v>
      </c>
      <c r="I462" t="s">
        <v>2377</v>
      </c>
      <c r="J462" t="str">
        <f t="shared" si="7"/>
        <v>Orta Risk</v>
      </c>
    </row>
    <row r="463" spans="1:10">
      <c r="A463">
        <v>337</v>
      </c>
      <c r="B463">
        <v>63</v>
      </c>
      <c r="C463" t="str">
        <f>_xlfn.XLOOKUP(B463,raw_customers!A:A,raw_customers!B:B)</f>
        <v>Ceyhun Rəhimov</v>
      </c>
      <c r="D463" t="str">
        <f>_xlfn.XLOOKUP(C463,raw_customers!B:B,raw_customers!C:C)</f>
        <v>M</v>
      </c>
      <c r="E463" t="str">
        <f>_xlfn.XLOOKUP(C463,raw_customers!B:B,raw_customers!G:G)</f>
        <v>Retail</v>
      </c>
      <c r="F463" t="str">
        <f>_xlfn.XLOOKUP(_xlfn.XLOOKUP(B463,raw_customers!A:A,raw_customers!F:F),raw_branches!A:A,raw_branches!B:B)</f>
        <v>Sumgait Branch</v>
      </c>
      <c r="G463" s="7">
        <v>8157.91</v>
      </c>
      <c r="H463" s="6">
        <v>7.3</v>
      </c>
      <c r="I463" t="s">
        <v>2383</v>
      </c>
      <c r="J463" t="str">
        <f t="shared" si="7"/>
        <v>Aşağı Risk</v>
      </c>
    </row>
    <row r="464" spans="1:10">
      <c r="A464">
        <v>338</v>
      </c>
      <c r="B464">
        <v>784</v>
      </c>
      <c r="C464" t="str">
        <f>_xlfn.XLOOKUP(B464,raw_customers!A:A,raw_customers!B:B)</f>
        <v>Zaur Novruzov</v>
      </c>
      <c r="D464" t="str">
        <f>_xlfn.XLOOKUP(C464,raw_customers!B:B,raw_customers!C:C)</f>
        <v>M</v>
      </c>
      <c r="E464" t="str">
        <f>_xlfn.XLOOKUP(C464,raw_customers!B:B,raw_customers!G:G)</f>
        <v>Retail</v>
      </c>
      <c r="F464" t="str">
        <f>_xlfn.XLOOKUP(_xlfn.XLOOKUP(B464,raw_customers!A:A,raw_customers!F:F),raw_branches!A:A,raw_branches!B:B)</f>
        <v>Ganja Branch</v>
      </c>
      <c r="G464" s="7">
        <v>61860.9</v>
      </c>
      <c r="H464" s="6">
        <v>18.85</v>
      </c>
      <c r="I464" t="s">
        <v>2393</v>
      </c>
      <c r="J464" t="str">
        <f t="shared" si="7"/>
        <v>Default (Batıq)</v>
      </c>
    </row>
    <row r="465" spans="1:10">
      <c r="A465">
        <v>339</v>
      </c>
      <c r="B465">
        <v>973</v>
      </c>
      <c r="C465" t="str">
        <f>_xlfn.XLOOKUP(B465,raw_customers!A:A,raw_customers!B:B)</f>
        <v>Kənan Orucov</v>
      </c>
      <c r="D465" t="str">
        <f>_xlfn.XLOOKUP(C465,raw_customers!B:B,raw_customers!C:C)</f>
        <v>M</v>
      </c>
      <c r="E465" t="str">
        <f>_xlfn.XLOOKUP(C465,raw_customers!B:B,raw_customers!G:G)</f>
        <v>Retail</v>
      </c>
      <c r="F465" t="str">
        <f>_xlfn.XLOOKUP(_xlfn.XLOOKUP(B465,raw_customers!A:A,raw_customers!F:F),raw_branches!A:A,raw_branches!B:B)</f>
        <v>Sheki Branch</v>
      </c>
      <c r="G465" s="7">
        <v>3666.28</v>
      </c>
      <c r="H465" s="6">
        <v>17.04</v>
      </c>
      <c r="I465" t="s">
        <v>2377</v>
      </c>
      <c r="J465" t="str">
        <f t="shared" si="7"/>
        <v>Orta Risk</v>
      </c>
    </row>
    <row r="466" spans="1:10">
      <c r="A466">
        <v>340</v>
      </c>
      <c r="B466">
        <v>260</v>
      </c>
      <c r="C466" t="str">
        <f>_xlfn.XLOOKUP(B466,raw_customers!A:A,raw_customers!B:B)</f>
        <v>Ülviyyə Kərimov</v>
      </c>
      <c r="D466" t="str">
        <f>_xlfn.XLOOKUP(C466,raw_customers!B:B,raw_customers!C:C)</f>
        <v>F</v>
      </c>
      <c r="E466" t="str">
        <f>_xlfn.XLOOKUP(C466,raw_customers!B:B,raw_customers!G:G)</f>
        <v>Premium</v>
      </c>
      <c r="F466" t="str">
        <f>_xlfn.XLOOKUP(_xlfn.XLOOKUP(B466,raw_customers!A:A,raw_customers!F:F),raw_branches!A:A,raw_branches!B:B)</f>
        <v>Ganja Branch</v>
      </c>
      <c r="G466" s="7">
        <v>154993.13</v>
      </c>
      <c r="H466" s="6">
        <v>15.22</v>
      </c>
      <c r="I466" t="s">
        <v>2377</v>
      </c>
      <c r="J466" t="str">
        <f t="shared" si="7"/>
        <v>Orta Risk</v>
      </c>
    </row>
    <row r="467" spans="1:10">
      <c r="A467">
        <v>341</v>
      </c>
      <c r="B467">
        <v>847</v>
      </c>
      <c r="C467" t="str">
        <f>_xlfn.XLOOKUP(B467,raw_customers!A:A,raw_customers!B:B)</f>
        <v>Vəfa Rzayev</v>
      </c>
      <c r="D467" t="str">
        <f>_xlfn.XLOOKUP(C467,raw_customers!B:B,raw_customers!C:C)</f>
        <v>F</v>
      </c>
      <c r="E467" t="str">
        <f>_xlfn.XLOOKUP(C467,raw_customers!B:B,raw_customers!G:G)</f>
        <v>Premium</v>
      </c>
      <c r="F467" t="str">
        <f>_xlfn.XLOOKUP(_xlfn.XLOOKUP(B467,raw_customers!A:A,raw_customers!F:F),raw_branches!A:A,raw_branches!B:B)</f>
        <v>Sumgait Branch</v>
      </c>
      <c r="G467" s="7">
        <v>14937.71</v>
      </c>
      <c r="H467" s="6">
        <v>8.32</v>
      </c>
      <c r="I467" t="s">
        <v>2383</v>
      </c>
      <c r="J467" t="str">
        <f t="shared" si="7"/>
        <v>Aşağı Risk</v>
      </c>
    </row>
    <row r="468" spans="1:10">
      <c r="A468">
        <v>342</v>
      </c>
      <c r="B468">
        <v>527</v>
      </c>
      <c r="C468" t="str">
        <f>_xlfn.XLOOKUP(B468,raw_customers!A:A,raw_customers!B:B)</f>
        <v>Lalə Sadıqov</v>
      </c>
      <c r="D468" t="str">
        <f>_xlfn.XLOOKUP(C468,raw_customers!B:B,raw_customers!C:C)</f>
        <v>F</v>
      </c>
      <c r="E468" t="str">
        <f>_xlfn.XLOOKUP(C468,raw_customers!B:B,raw_customers!G:G)</f>
        <v>Premium</v>
      </c>
      <c r="F468" t="str">
        <f>_xlfn.XLOOKUP(_xlfn.XLOOKUP(B468,raw_customers!A:A,raw_customers!F:F),raw_branches!A:A,raw_branches!B:B)</f>
        <v>Baku Central</v>
      </c>
      <c r="G468" s="7">
        <v>37409.77</v>
      </c>
      <c r="H468" s="6">
        <v>21.52</v>
      </c>
      <c r="I468" t="s">
        <v>2377</v>
      </c>
      <c r="J468" t="str">
        <f t="shared" si="7"/>
        <v>Yüksək Risk</v>
      </c>
    </row>
    <row r="469" spans="1:10">
      <c r="A469">
        <v>343</v>
      </c>
      <c r="B469">
        <v>828</v>
      </c>
      <c r="C469" t="str">
        <f>_xlfn.XLOOKUP(B469,raw_customers!A:A,raw_customers!B:B)</f>
        <v>Ceyhun Musayev</v>
      </c>
      <c r="D469" t="str">
        <f>_xlfn.XLOOKUP(C469,raw_customers!B:B,raw_customers!C:C)</f>
        <v>M</v>
      </c>
      <c r="E469" t="str">
        <f>_xlfn.XLOOKUP(C469,raw_customers!B:B,raw_customers!G:G)</f>
        <v>Retail</v>
      </c>
      <c r="F469" t="str">
        <f>_xlfn.XLOOKUP(_xlfn.XLOOKUP(B469,raw_customers!A:A,raw_customers!F:F),raw_branches!A:A,raw_branches!B:B)</f>
        <v>Sumgait Branch</v>
      </c>
      <c r="G469" s="2">
        <v>27814</v>
      </c>
      <c r="H469" s="6">
        <v>6.74</v>
      </c>
      <c r="I469" t="s">
        <v>2377</v>
      </c>
      <c r="J469" t="str">
        <f t="shared" si="7"/>
        <v>Aşağı Risk</v>
      </c>
    </row>
    <row r="470" spans="1:10">
      <c r="A470">
        <v>344</v>
      </c>
      <c r="B470">
        <v>685</v>
      </c>
      <c r="C470" t="str">
        <f>_xlfn.XLOOKUP(B470,raw_customers!A:A,raw_customers!B:B)</f>
        <v>Xəyalə Vəliyev</v>
      </c>
      <c r="D470" t="str">
        <f>_xlfn.XLOOKUP(C470,raw_customers!B:B,raw_customers!C:C)</f>
        <v>F</v>
      </c>
      <c r="E470" t="str">
        <f>_xlfn.XLOOKUP(C470,raw_customers!B:B,raw_customers!G:G)</f>
        <v>Retail</v>
      </c>
      <c r="F470" t="str">
        <f>_xlfn.XLOOKUP(_xlfn.XLOOKUP(B470,raw_customers!A:A,raw_customers!F:F),raw_branches!A:A,raw_branches!B:B)</f>
        <v>Sumgait Branch</v>
      </c>
      <c r="G470" s="7">
        <v>13442.32</v>
      </c>
      <c r="H470" s="6">
        <v>13.73</v>
      </c>
      <c r="I470" t="s">
        <v>2377</v>
      </c>
      <c r="J470" t="str">
        <f t="shared" si="7"/>
        <v>Orta Risk</v>
      </c>
    </row>
    <row r="471" spans="1:10">
      <c r="A471">
        <v>345</v>
      </c>
      <c r="B471">
        <v>631</v>
      </c>
      <c r="C471" t="str">
        <f>_xlfn.XLOOKUP(B471,raw_customers!A:A,raw_customers!B:B)</f>
        <v>Orxan Hüseynov</v>
      </c>
      <c r="D471" t="str">
        <f>_xlfn.XLOOKUP(C471,raw_customers!B:B,raw_customers!C:C)</f>
        <v>M</v>
      </c>
      <c r="E471" t="str">
        <f>_xlfn.XLOOKUP(C471,raw_customers!B:B,raw_customers!G:G)</f>
        <v>Retail</v>
      </c>
      <c r="F471" t="str">
        <f>_xlfn.XLOOKUP(_xlfn.XLOOKUP(B471,raw_customers!A:A,raw_customers!F:F),raw_branches!A:A,raw_branches!B:B)</f>
        <v>Sheki Branch</v>
      </c>
      <c r="G471" s="7">
        <v>2044.72</v>
      </c>
      <c r="H471" s="6">
        <v>5.17</v>
      </c>
      <c r="I471" t="s">
        <v>2383</v>
      </c>
      <c r="J471" t="str">
        <f t="shared" si="7"/>
        <v>Aşağı Risk</v>
      </c>
    </row>
    <row r="472" spans="1:10">
      <c r="A472">
        <v>346</v>
      </c>
      <c r="B472">
        <v>885</v>
      </c>
      <c r="C472" t="str">
        <f>_xlfn.XLOOKUP(B472,raw_customers!A:A,raw_customers!B:B)</f>
        <v>Zaur Əzizov</v>
      </c>
      <c r="D472" t="str">
        <f>_xlfn.XLOOKUP(C472,raw_customers!B:B,raw_customers!C:C)</f>
        <v>M</v>
      </c>
      <c r="E472" t="str">
        <f>_xlfn.XLOOKUP(C472,raw_customers!B:B,raw_customers!G:G)</f>
        <v>Retail</v>
      </c>
      <c r="F472" t="str">
        <f>_xlfn.XLOOKUP(_xlfn.XLOOKUP(B472,raw_customers!A:A,raw_customers!F:F),raw_branches!A:A,raw_branches!B:B)</f>
        <v>Ganja Branch</v>
      </c>
      <c r="G472" s="7">
        <v>32982.03</v>
      </c>
      <c r="H472" s="6">
        <v>16.68</v>
      </c>
      <c r="I472" t="s">
        <v>2383</v>
      </c>
      <c r="J472" t="str">
        <f t="shared" si="7"/>
        <v>Orta Risk</v>
      </c>
    </row>
    <row r="473" spans="1:10">
      <c r="A473">
        <v>347</v>
      </c>
      <c r="B473">
        <v>215</v>
      </c>
      <c r="C473" t="str">
        <f>_xlfn.XLOOKUP(B473,raw_customers!A:A,raw_customers!B:B)</f>
        <v>Vüqar Nəbiyev</v>
      </c>
      <c r="D473" t="str">
        <f>_xlfn.XLOOKUP(C473,raw_customers!B:B,raw_customers!C:C)</f>
        <v>M</v>
      </c>
      <c r="E473" t="str">
        <f>_xlfn.XLOOKUP(C473,raw_customers!B:B,raw_customers!G:G)</f>
        <v>SME</v>
      </c>
      <c r="F473" t="str">
        <f>_xlfn.XLOOKUP(_xlfn.XLOOKUP(B473,raw_customers!A:A,raw_customers!F:F),raw_branches!A:A,raw_branches!B:B)</f>
        <v>Baku Central</v>
      </c>
      <c r="G473" s="7">
        <v>28265.94</v>
      </c>
      <c r="H473" s="6">
        <v>8.05</v>
      </c>
      <c r="I473" t="s">
        <v>2377</v>
      </c>
      <c r="J473" t="str">
        <f t="shared" si="7"/>
        <v>Aşağı Risk</v>
      </c>
    </row>
    <row r="474" spans="1:10">
      <c r="A474">
        <v>348</v>
      </c>
      <c r="B474">
        <v>756</v>
      </c>
      <c r="C474" t="str">
        <f>_xlfn.XLOOKUP(B474,raw_customers!A:A,raw_customers!B:B)</f>
        <v>Şəbnəm Vəliyev</v>
      </c>
      <c r="D474" t="str">
        <f>_xlfn.XLOOKUP(C474,raw_customers!B:B,raw_customers!C:C)</f>
        <v>F</v>
      </c>
      <c r="E474" t="str">
        <f>_xlfn.XLOOKUP(C474,raw_customers!B:B,raw_customers!G:G)</f>
        <v>Premium</v>
      </c>
      <c r="F474" t="str">
        <f>_xlfn.XLOOKUP(_xlfn.XLOOKUP(B474,raw_customers!A:A,raw_customers!F:F),raw_branches!A:A,raw_branches!B:B)</f>
        <v>Sumgait Branch</v>
      </c>
      <c r="G474" s="7">
        <v>2452.34</v>
      </c>
      <c r="H474" s="6">
        <v>6.25</v>
      </c>
      <c r="I474" t="s">
        <v>2377</v>
      </c>
      <c r="J474" t="str">
        <f t="shared" si="7"/>
        <v>Aşağı Risk</v>
      </c>
    </row>
    <row r="475" spans="1:10">
      <c r="A475">
        <v>349</v>
      </c>
      <c r="B475">
        <v>584</v>
      </c>
      <c r="C475" t="str">
        <f>_xlfn.XLOOKUP(B475,raw_customers!A:A,raw_customers!B:B)</f>
        <v>Kamran Əliyev</v>
      </c>
      <c r="D475" t="str">
        <f>_xlfn.XLOOKUP(C475,raw_customers!B:B,raw_customers!C:C)</f>
        <v>M</v>
      </c>
      <c r="E475" t="str">
        <f>_xlfn.XLOOKUP(C475,raw_customers!B:B,raw_customers!G:G)</f>
        <v>SME</v>
      </c>
      <c r="F475" t="str">
        <f>_xlfn.XLOOKUP(_xlfn.XLOOKUP(B475,raw_customers!A:A,raw_customers!F:F),raw_branches!A:A,raw_branches!B:B)</f>
        <v>Baku Central</v>
      </c>
      <c r="G475" s="7">
        <v>88037.08</v>
      </c>
      <c r="H475" s="6">
        <v>7.26</v>
      </c>
      <c r="I475" t="s">
        <v>2377</v>
      </c>
      <c r="J475" t="str">
        <f t="shared" si="7"/>
        <v>Aşağı Risk</v>
      </c>
    </row>
    <row r="476" spans="1:10">
      <c r="A476">
        <v>350</v>
      </c>
      <c r="B476">
        <v>793</v>
      </c>
      <c r="C476" t="str">
        <f>_xlfn.XLOOKUP(B476,raw_customers!A:A,raw_customers!B:B)</f>
        <v>Günel Rzayev</v>
      </c>
      <c r="D476" t="str">
        <f>_xlfn.XLOOKUP(C476,raw_customers!B:B,raw_customers!C:C)</f>
        <v>F</v>
      </c>
      <c r="E476" t="str">
        <f>_xlfn.XLOOKUP(C476,raw_customers!B:B,raw_customers!G:G)</f>
        <v>SME</v>
      </c>
      <c r="F476" t="str">
        <f>_xlfn.XLOOKUP(_xlfn.XLOOKUP(B476,raw_customers!A:A,raw_customers!F:F),raw_branches!A:A,raw_branches!B:B)</f>
        <v>Lankaran Branch</v>
      </c>
      <c r="G476" s="7">
        <v>7629.45</v>
      </c>
      <c r="H476" s="6">
        <v>7.83</v>
      </c>
      <c r="I476" t="s">
        <v>2377</v>
      </c>
      <c r="J476" t="str">
        <f t="shared" si="7"/>
        <v>Aşağı Risk</v>
      </c>
    </row>
    <row r="477" spans="1:10">
      <c r="A477">
        <v>351</v>
      </c>
      <c r="B477">
        <v>472</v>
      </c>
      <c r="C477" t="str">
        <f>_xlfn.XLOOKUP(B477,raw_customers!A:A,raw_customers!B:B)</f>
        <v>Könül Əliyev</v>
      </c>
      <c r="D477" t="str">
        <f>_xlfn.XLOOKUP(C477,raw_customers!B:B,raw_customers!C:C)</f>
        <v>F</v>
      </c>
      <c r="E477" t="str">
        <f>_xlfn.XLOOKUP(C477,raw_customers!B:B,raw_customers!G:G)</f>
        <v>Retail</v>
      </c>
      <c r="F477" t="str">
        <f>_xlfn.XLOOKUP(_xlfn.XLOOKUP(B477,raw_customers!A:A,raw_customers!F:F),raw_branches!A:A,raw_branches!B:B)</f>
        <v>Lankaran Branch</v>
      </c>
      <c r="G477" s="7">
        <v>10245.75</v>
      </c>
      <c r="H477" s="6">
        <v>17.71</v>
      </c>
      <c r="I477" t="s">
        <v>2377</v>
      </c>
      <c r="J477" t="str">
        <f t="shared" si="7"/>
        <v>Orta Risk</v>
      </c>
    </row>
    <row r="478" spans="1:10">
      <c r="A478">
        <v>352</v>
      </c>
      <c r="B478">
        <v>472</v>
      </c>
      <c r="C478" t="str">
        <f>_xlfn.XLOOKUP(B478,raw_customers!A:A,raw_customers!B:B)</f>
        <v>Könül Əliyev</v>
      </c>
      <c r="D478" t="str">
        <f>_xlfn.XLOOKUP(C478,raw_customers!B:B,raw_customers!C:C)</f>
        <v>F</v>
      </c>
      <c r="E478" t="str">
        <f>_xlfn.XLOOKUP(C478,raw_customers!B:B,raw_customers!G:G)</f>
        <v>Retail</v>
      </c>
      <c r="F478" t="str">
        <f>_xlfn.XLOOKUP(_xlfn.XLOOKUP(B478,raw_customers!A:A,raw_customers!F:F),raw_branches!A:A,raw_branches!B:B)</f>
        <v>Lankaran Branch</v>
      </c>
      <c r="G478" s="7">
        <v>44907.6</v>
      </c>
      <c r="H478" s="6">
        <v>15.85</v>
      </c>
      <c r="I478" t="s">
        <v>2377</v>
      </c>
      <c r="J478" t="str">
        <f t="shared" si="7"/>
        <v>Orta Risk</v>
      </c>
    </row>
    <row r="479" spans="1:10">
      <c r="A479">
        <v>353</v>
      </c>
      <c r="B479">
        <v>43</v>
      </c>
      <c r="C479" t="str">
        <f>_xlfn.XLOOKUP(B479,raw_customers!A:A,raw_customers!B:B)</f>
        <v>Nicat İsmayılov</v>
      </c>
      <c r="D479" t="str">
        <f>_xlfn.XLOOKUP(C479,raw_customers!B:B,raw_customers!C:C)</f>
        <v>M</v>
      </c>
      <c r="E479" t="str">
        <f>_xlfn.XLOOKUP(C479,raw_customers!B:B,raw_customers!G:G)</f>
        <v>Premium</v>
      </c>
      <c r="F479" t="str">
        <f>_xlfn.XLOOKUP(_xlfn.XLOOKUP(B479,raw_customers!A:A,raw_customers!F:F),raw_branches!A:A,raw_branches!B:B)</f>
        <v>Lankaran Branch</v>
      </c>
      <c r="G479" s="7">
        <v>3429.86</v>
      </c>
      <c r="H479" s="6">
        <v>16.37</v>
      </c>
      <c r="I479" t="s">
        <v>2377</v>
      </c>
      <c r="J479" t="str">
        <f t="shared" si="7"/>
        <v>Orta Risk</v>
      </c>
    </row>
    <row r="480" spans="1:10">
      <c r="A480">
        <v>354</v>
      </c>
      <c r="B480">
        <v>107</v>
      </c>
      <c r="C480" t="str">
        <f>_xlfn.XLOOKUP(B480,raw_customers!A:A,raw_customers!B:B)</f>
        <v>Ramin Sadıqov</v>
      </c>
      <c r="D480" t="str">
        <f>_xlfn.XLOOKUP(C480,raw_customers!B:B,raw_customers!C:C)</f>
        <v>M</v>
      </c>
      <c r="E480" t="str">
        <f>_xlfn.XLOOKUP(C480,raw_customers!B:B,raw_customers!G:G)</f>
        <v>Retail</v>
      </c>
      <c r="F480" t="str">
        <f>_xlfn.XLOOKUP(_xlfn.XLOOKUP(B480,raw_customers!A:A,raw_customers!F:F),raw_branches!A:A,raw_branches!B:B)</f>
        <v>Baku Yasamal</v>
      </c>
      <c r="G480" s="7">
        <v>64935.8</v>
      </c>
      <c r="H480" s="6">
        <v>18.16</v>
      </c>
      <c r="I480" t="s">
        <v>2377</v>
      </c>
      <c r="J480" t="str">
        <f t="shared" si="7"/>
        <v>Yüksək Risk</v>
      </c>
    </row>
    <row r="481" spans="1:10">
      <c r="A481">
        <v>355</v>
      </c>
      <c r="B481">
        <v>174</v>
      </c>
      <c r="C481" t="str">
        <f>_xlfn.XLOOKUP(B481,raw_customers!A:A,raw_customers!B:B)</f>
        <v>Murad Sadıqov</v>
      </c>
      <c r="D481" t="str">
        <f>_xlfn.XLOOKUP(C481,raw_customers!B:B,raw_customers!C:C)</f>
        <v>M</v>
      </c>
      <c r="E481" t="str">
        <f>_xlfn.XLOOKUP(C481,raw_customers!B:B,raw_customers!G:G)</f>
        <v>Premium</v>
      </c>
      <c r="F481" t="str">
        <f>_xlfn.XLOOKUP(_xlfn.XLOOKUP(B481,raw_customers!A:A,raw_customers!F:F),raw_branches!A:A,raw_branches!B:B)</f>
        <v>Mingachevir Branch</v>
      </c>
      <c r="G481" s="7">
        <v>173197.56</v>
      </c>
      <c r="H481" s="6">
        <v>12.19</v>
      </c>
      <c r="I481" t="s">
        <v>2377</v>
      </c>
      <c r="J481" t="str">
        <f t="shared" si="7"/>
        <v>Orta Risk</v>
      </c>
    </row>
    <row r="482" spans="1:10">
      <c r="A482">
        <v>356</v>
      </c>
      <c r="B482">
        <v>446</v>
      </c>
      <c r="C482" t="str">
        <f>_xlfn.XLOOKUP(B482,raw_customers!A:A,raw_customers!B:B)</f>
        <v>Fuad Vəliyev</v>
      </c>
      <c r="D482" t="str">
        <f>_xlfn.XLOOKUP(C482,raw_customers!B:B,raw_customers!C:C)</f>
        <v>M</v>
      </c>
      <c r="E482" t="str">
        <f>_xlfn.XLOOKUP(C482,raw_customers!B:B,raw_customers!G:G)</f>
        <v>Retail</v>
      </c>
      <c r="F482" t="str">
        <f>_xlfn.XLOOKUP(_xlfn.XLOOKUP(B482,raw_customers!A:A,raw_customers!F:F),raw_branches!A:A,raw_branches!B:B)</f>
        <v>Ganja Branch</v>
      </c>
      <c r="G482" s="7">
        <v>32677.23</v>
      </c>
      <c r="H482" s="6">
        <v>12.28</v>
      </c>
      <c r="I482" t="s">
        <v>2383</v>
      </c>
      <c r="J482" t="str">
        <f t="shared" si="7"/>
        <v>Orta Risk</v>
      </c>
    </row>
    <row r="483" spans="1:10">
      <c r="A483">
        <v>357</v>
      </c>
      <c r="B483">
        <v>490</v>
      </c>
      <c r="C483" t="str">
        <f>_xlfn.XLOOKUP(B483,raw_customers!A:A,raw_customers!B:B)</f>
        <v>Toğrul Musayev</v>
      </c>
      <c r="D483" t="str">
        <f>_xlfn.XLOOKUP(C483,raw_customers!B:B,raw_customers!C:C)</f>
        <v>M</v>
      </c>
      <c r="E483" t="str">
        <f>_xlfn.XLOOKUP(C483,raw_customers!B:B,raw_customers!G:G)</f>
        <v>Premium</v>
      </c>
      <c r="F483" t="str">
        <f>_xlfn.XLOOKUP(_xlfn.XLOOKUP(B483,raw_customers!A:A,raw_customers!F:F),raw_branches!A:A,raw_branches!B:B)</f>
        <v>Ganja Branch</v>
      </c>
      <c r="G483" s="7">
        <v>82621.44</v>
      </c>
      <c r="H483" s="6">
        <v>6.48</v>
      </c>
      <c r="I483" t="s">
        <v>2383</v>
      </c>
      <c r="J483" t="str">
        <f t="shared" si="7"/>
        <v>Aşağı Risk</v>
      </c>
    </row>
    <row r="484" spans="1:10">
      <c r="A484">
        <v>358</v>
      </c>
      <c r="B484">
        <v>319</v>
      </c>
      <c r="C484" t="str">
        <f>_xlfn.XLOOKUP(B484,raw_customers!A:A,raw_customers!B:B)</f>
        <v>Samir Bağırov</v>
      </c>
      <c r="D484" t="str">
        <f>_xlfn.XLOOKUP(C484,raw_customers!B:B,raw_customers!C:C)</f>
        <v>M</v>
      </c>
      <c r="E484" t="str">
        <f>_xlfn.XLOOKUP(C484,raw_customers!B:B,raw_customers!G:G)</f>
        <v>Retail</v>
      </c>
      <c r="F484" t="str">
        <f>_xlfn.XLOOKUP(_xlfn.XLOOKUP(B484,raw_customers!A:A,raw_customers!F:F),raw_branches!A:A,raw_branches!B:B)</f>
        <v>Sumgait Branch</v>
      </c>
      <c r="G484" s="7">
        <v>35765.16</v>
      </c>
      <c r="H484" s="6">
        <v>10.2</v>
      </c>
      <c r="I484" t="s">
        <v>2377</v>
      </c>
      <c r="J484" t="str">
        <f t="shared" si="7"/>
        <v>Aşağı Risk</v>
      </c>
    </row>
    <row r="485" spans="1:10">
      <c r="A485">
        <v>359</v>
      </c>
      <c r="B485">
        <v>466</v>
      </c>
      <c r="C485" t="str">
        <f>_xlfn.XLOOKUP(B485,raw_customers!A:A,raw_customers!B:B)</f>
        <v>Rüfət Orucov</v>
      </c>
      <c r="D485" t="str">
        <f>_xlfn.XLOOKUP(C485,raw_customers!B:B,raw_customers!C:C)</f>
        <v>M</v>
      </c>
      <c r="E485" t="str">
        <f>_xlfn.XLOOKUP(C485,raw_customers!B:B,raw_customers!G:G)</f>
        <v>SME</v>
      </c>
      <c r="F485" t="str">
        <f>_xlfn.XLOOKUP(_xlfn.XLOOKUP(B485,raw_customers!A:A,raw_customers!F:F),raw_branches!A:A,raw_branches!B:B)</f>
        <v>Baku Yasamal</v>
      </c>
      <c r="G485" s="7">
        <v>2502.34</v>
      </c>
      <c r="H485" s="6">
        <v>21.57</v>
      </c>
      <c r="I485" t="s">
        <v>2377</v>
      </c>
      <c r="J485" t="str">
        <f t="shared" si="7"/>
        <v>Yüksək Risk</v>
      </c>
    </row>
    <row r="486" spans="1:10">
      <c r="A486">
        <v>360</v>
      </c>
      <c r="B486">
        <v>934</v>
      </c>
      <c r="C486" t="str">
        <f>_xlfn.XLOOKUP(B486,raw_customers!A:A,raw_customers!B:B)</f>
        <v>Xəyalə Məmmədov</v>
      </c>
      <c r="D486" t="str">
        <f>_xlfn.XLOOKUP(C486,raw_customers!B:B,raw_customers!C:C)</f>
        <v>F</v>
      </c>
      <c r="E486" t="str">
        <f>_xlfn.XLOOKUP(C486,raw_customers!B:B,raw_customers!G:G)</f>
        <v>Retail</v>
      </c>
      <c r="F486" t="str">
        <f>_xlfn.XLOOKUP(_xlfn.XLOOKUP(B486,raw_customers!A:A,raw_customers!F:F),raw_branches!A:A,raw_branches!B:B)</f>
        <v>Baku Yasamal</v>
      </c>
      <c r="G486" s="7">
        <v>29291.4</v>
      </c>
      <c r="H486" s="6">
        <v>18.58</v>
      </c>
      <c r="I486" t="s">
        <v>2377</v>
      </c>
      <c r="J486" t="str">
        <f t="shared" si="7"/>
        <v>Yüksək Risk</v>
      </c>
    </row>
    <row r="487" spans="1:10">
      <c r="A487">
        <v>361</v>
      </c>
      <c r="B487">
        <v>337</v>
      </c>
      <c r="C487" t="str">
        <f>_xlfn.XLOOKUP(B487,raw_customers!A:A,raw_customers!B:B)</f>
        <v>Nərmin Əliyev</v>
      </c>
      <c r="D487" t="str">
        <f>_xlfn.XLOOKUP(C487,raw_customers!B:B,raw_customers!C:C)</f>
        <v>F</v>
      </c>
      <c r="E487" t="str">
        <f>_xlfn.XLOOKUP(C487,raw_customers!B:B,raw_customers!G:G)</f>
        <v>Retail</v>
      </c>
      <c r="F487" t="str">
        <f>_xlfn.XLOOKUP(_xlfn.XLOOKUP(B487,raw_customers!A:A,raw_customers!F:F),raw_branches!A:A,raw_branches!B:B)</f>
        <v>Baku Yasamal</v>
      </c>
      <c r="G487" s="7">
        <v>3152.26</v>
      </c>
      <c r="H487" s="6">
        <v>15.98</v>
      </c>
      <c r="I487" t="s">
        <v>2383</v>
      </c>
      <c r="J487" t="str">
        <f t="shared" si="7"/>
        <v>Orta Risk</v>
      </c>
    </row>
    <row r="488" spans="1:10">
      <c r="A488">
        <v>362</v>
      </c>
      <c r="B488">
        <v>546</v>
      </c>
      <c r="C488" t="str">
        <f>_xlfn.XLOOKUP(B488,raw_customers!A:A,raw_customers!B:B)</f>
        <v>Fuad Hüseynov</v>
      </c>
      <c r="D488" t="str">
        <f>_xlfn.XLOOKUP(C488,raw_customers!B:B,raw_customers!C:C)</f>
        <v>M</v>
      </c>
      <c r="E488" t="str">
        <f>_xlfn.XLOOKUP(C488,raw_customers!B:B,raw_customers!G:G)</f>
        <v>Retail</v>
      </c>
      <c r="F488" t="str">
        <f>_xlfn.XLOOKUP(_xlfn.XLOOKUP(B488,raw_customers!A:A,raw_customers!F:F),raw_branches!A:A,raw_branches!B:B)</f>
        <v>Mingachevir Branch</v>
      </c>
      <c r="G488" s="7">
        <v>9330.55</v>
      </c>
      <c r="H488" s="6">
        <v>7.17</v>
      </c>
      <c r="I488" t="s">
        <v>2383</v>
      </c>
      <c r="J488" t="str">
        <f t="shared" si="7"/>
        <v>Aşağı Risk</v>
      </c>
    </row>
    <row r="489" spans="1:10">
      <c r="A489">
        <v>363</v>
      </c>
      <c r="B489">
        <v>517</v>
      </c>
      <c r="C489" t="str">
        <f>_xlfn.XLOOKUP(B489,raw_customers!A:A,raw_customers!B:B)</f>
        <v>Röya Cəfərov</v>
      </c>
      <c r="D489" t="str">
        <f>_xlfn.XLOOKUP(C489,raw_customers!B:B,raw_customers!C:C)</f>
        <v>F</v>
      </c>
      <c r="E489" t="str">
        <f>_xlfn.XLOOKUP(C489,raw_customers!B:B,raw_customers!G:G)</f>
        <v>Premium</v>
      </c>
      <c r="F489" t="str">
        <f>_xlfn.XLOOKUP(_xlfn.XLOOKUP(B489,raw_customers!A:A,raw_customers!F:F),raw_branches!A:A,raw_branches!B:B)</f>
        <v>Lankaran Branch</v>
      </c>
      <c r="G489" s="7">
        <v>12199.67</v>
      </c>
      <c r="H489" s="6">
        <v>10.55</v>
      </c>
      <c r="I489" t="s">
        <v>2383</v>
      </c>
      <c r="J489" t="str">
        <f t="shared" si="7"/>
        <v>Aşağı Risk</v>
      </c>
    </row>
    <row r="490" spans="1:10">
      <c r="A490">
        <v>364</v>
      </c>
      <c r="B490">
        <v>433</v>
      </c>
      <c r="C490" t="str">
        <f>_xlfn.XLOOKUP(B490,raw_customers!A:A,raw_customers!B:B)</f>
        <v>Ceyhun Abbasov</v>
      </c>
      <c r="D490" t="str">
        <f>_xlfn.XLOOKUP(C490,raw_customers!B:B,raw_customers!C:C)</f>
        <v>M</v>
      </c>
      <c r="E490" t="str">
        <f>_xlfn.XLOOKUP(C490,raw_customers!B:B,raw_customers!G:G)</f>
        <v>Retail</v>
      </c>
      <c r="F490" t="str">
        <f>_xlfn.XLOOKUP(_xlfn.XLOOKUP(B490,raw_customers!A:A,raw_customers!F:F),raw_branches!A:A,raw_branches!B:B)</f>
        <v>Baku Yasamal</v>
      </c>
      <c r="G490" s="7">
        <v>165169.6</v>
      </c>
      <c r="H490" s="6">
        <v>12.6</v>
      </c>
      <c r="I490" t="s">
        <v>2377</v>
      </c>
      <c r="J490" t="str">
        <f t="shared" si="7"/>
        <v>Orta Risk</v>
      </c>
    </row>
    <row r="491" spans="1:10">
      <c r="A491">
        <v>365</v>
      </c>
      <c r="B491">
        <v>720</v>
      </c>
      <c r="C491" t="str">
        <f>_xlfn.XLOOKUP(B491,raw_customers!A:A,raw_customers!B:B)</f>
        <v>Xəyalə Əzizov</v>
      </c>
      <c r="D491" t="str">
        <f>_xlfn.XLOOKUP(C491,raw_customers!B:B,raw_customers!C:C)</f>
        <v>F</v>
      </c>
      <c r="E491" t="str">
        <f>_xlfn.XLOOKUP(C491,raw_customers!B:B,raw_customers!G:G)</f>
        <v>Retail</v>
      </c>
      <c r="F491" t="str">
        <f>_xlfn.XLOOKUP(_xlfn.XLOOKUP(B491,raw_customers!A:A,raw_customers!F:F),raw_branches!A:A,raw_branches!B:B)</f>
        <v>Baku Central</v>
      </c>
      <c r="G491" s="7">
        <v>10174.98</v>
      </c>
      <c r="H491" s="6">
        <v>7.5</v>
      </c>
      <c r="I491" t="s">
        <v>2393</v>
      </c>
      <c r="J491" t="str">
        <f t="shared" si="7"/>
        <v>Default (Batıq)</v>
      </c>
    </row>
    <row r="492" spans="1:10">
      <c r="A492">
        <v>366</v>
      </c>
      <c r="B492">
        <v>221</v>
      </c>
      <c r="C492" t="str">
        <f>_xlfn.XLOOKUP(B492,raw_customers!A:A,raw_customers!B:B)</f>
        <v>Orxan Həsənov</v>
      </c>
      <c r="D492" t="str">
        <f>_xlfn.XLOOKUP(C492,raw_customers!B:B,raw_customers!C:C)</f>
        <v>M</v>
      </c>
      <c r="E492" t="str">
        <f>_xlfn.XLOOKUP(C492,raw_customers!B:B,raw_customers!G:G)</f>
        <v>Retail</v>
      </c>
      <c r="F492" t="str">
        <f>_xlfn.XLOOKUP(_xlfn.XLOOKUP(B492,raw_customers!A:A,raw_customers!F:F),raw_branches!A:A,raw_branches!B:B)</f>
        <v>Mingachevir Branch</v>
      </c>
      <c r="G492" s="7">
        <v>182691.36</v>
      </c>
      <c r="H492" s="6">
        <v>20.73</v>
      </c>
      <c r="I492" t="s">
        <v>2383</v>
      </c>
      <c r="J492" t="str">
        <f t="shared" si="7"/>
        <v>Yüksək Risk</v>
      </c>
    </row>
    <row r="493" spans="1:10">
      <c r="A493">
        <v>367</v>
      </c>
      <c r="B493">
        <v>370</v>
      </c>
      <c r="C493" t="str">
        <f>_xlfn.XLOOKUP(B493,raw_customers!A:A,raw_customers!B:B)</f>
        <v>Ramin Orucov</v>
      </c>
      <c r="D493" t="str">
        <f>_xlfn.XLOOKUP(C493,raw_customers!B:B,raw_customers!C:C)</f>
        <v>M</v>
      </c>
      <c r="E493" t="str">
        <f>_xlfn.XLOOKUP(C493,raw_customers!B:B,raw_customers!G:G)</f>
        <v>Retail</v>
      </c>
      <c r="F493" t="str">
        <f>_xlfn.XLOOKUP(_xlfn.XLOOKUP(B493,raw_customers!A:A,raw_customers!F:F),raw_branches!A:A,raw_branches!B:B)</f>
        <v>Sumgait Branch</v>
      </c>
      <c r="G493" s="7">
        <v>13916.72</v>
      </c>
      <c r="H493" s="6">
        <v>6.01</v>
      </c>
      <c r="I493" t="s">
        <v>2377</v>
      </c>
      <c r="J493" t="str">
        <f t="shared" si="7"/>
        <v>Aşağı Risk</v>
      </c>
    </row>
    <row r="494" spans="1:10">
      <c r="A494">
        <v>368</v>
      </c>
      <c r="B494">
        <v>60</v>
      </c>
      <c r="C494" t="str">
        <f>_xlfn.XLOOKUP(B494,raw_customers!A:A,raw_customers!B:B)</f>
        <v>Emin Musayev</v>
      </c>
      <c r="D494" t="str">
        <f>_xlfn.XLOOKUP(C494,raw_customers!B:B,raw_customers!C:C)</f>
        <v>M</v>
      </c>
      <c r="E494" t="str">
        <f>_xlfn.XLOOKUP(C494,raw_customers!B:B,raw_customers!G:G)</f>
        <v>Premium</v>
      </c>
      <c r="F494" t="str">
        <f>_xlfn.XLOOKUP(_xlfn.XLOOKUP(B494,raw_customers!A:A,raw_customers!F:F),raw_branches!A:A,raw_branches!B:B)</f>
        <v>Lankaran Branch</v>
      </c>
      <c r="G494" s="7">
        <v>141258.85</v>
      </c>
      <c r="H494" s="6">
        <v>10.71</v>
      </c>
      <c r="I494" t="s">
        <v>2383</v>
      </c>
      <c r="J494" t="str">
        <f t="shared" si="7"/>
        <v>Aşağı Risk</v>
      </c>
    </row>
    <row r="495" spans="1:10">
      <c r="A495">
        <v>369</v>
      </c>
      <c r="B495">
        <v>360</v>
      </c>
      <c r="C495" t="str">
        <f>_xlfn.XLOOKUP(B495,raw_customers!A:A,raw_customers!B:B)</f>
        <v>Rüfət Əliyev</v>
      </c>
      <c r="D495" t="str">
        <f>_xlfn.XLOOKUP(C495,raw_customers!B:B,raw_customers!C:C)</f>
        <v>M</v>
      </c>
      <c r="E495" t="str">
        <f>_xlfn.XLOOKUP(C495,raw_customers!B:B,raw_customers!G:G)</f>
        <v>SME</v>
      </c>
      <c r="F495" t="str">
        <f>_xlfn.XLOOKUP(_xlfn.XLOOKUP(B495,raw_customers!A:A,raw_customers!F:F),raw_branches!A:A,raw_branches!B:B)</f>
        <v>Ganja Branch</v>
      </c>
      <c r="G495" s="7">
        <v>22121.03</v>
      </c>
      <c r="H495" s="6">
        <v>17.45</v>
      </c>
      <c r="I495" t="s">
        <v>2377</v>
      </c>
      <c r="J495" t="str">
        <f t="shared" si="7"/>
        <v>Orta Risk</v>
      </c>
    </row>
    <row r="496" spans="1:10">
      <c r="A496">
        <v>370</v>
      </c>
      <c r="B496">
        <v>20</v>
      </c>
      <c r="C496" t="str">
        <f>_xlfn.XLOOKUP(B496,raw_customers!A:A,raw_customers!B:B)</f>
        <v>Elşən Əzizov</v>
      </c>
      <c r="D496" t="str">
        <f>_xlfn.XLOOKUP(C496,raw_customers!B:B,raw_customers!C:C)</f>
        <v>M</v>
      </c>
      <c r="E496" t="str">
        <f>_xlfn.XLOOKUP(C496,raw_customers!B:B,raw_customers!G:G)</f>
        <v>Retail</v>
      </c>
      <c r="F496" t="str">
        <f>_xlfn.XLOOKUP(_xlfn.XLOOKUP(B496,raw_customers!A:A,raw_customers!F:F),raw_branches!A:A,raw_branches!B:B)</f>
        <v>Mingachevir Branch</v>
      </c>
      <c r="G496" s="7">
        <v>6668.75</v>
      </c>
      <c r="H496" s="6">
        <v>14.88</v>
      </c>
      <c r="I496" t="s">
        <v>2377</v>
      </c>
      <c r="J496" t="str">
        <f t="shared" si="7"/>
        <v>Orta Risk</v>
      </c>
    </row>
    <row r="497" spans="1:10">
      <c r="A497">
        <v>371</v>
      </c>
      <c r="B497">
        <v>98</v>
      </c>
      <c r="C497" t="str">
        <f>_xlfn.XLOOKUP(B497,raw_customers!A:A,raw_customers!B:B)</f>
        <v>Türkan Bağırov</v>
      </c>
      <c r="D497" t="str">
        <f>_xlfn.XLOOKUP(C497,raw_customers!B:B,raw_customers!C:C)</f>
        <v>F</v>
      </c>
      <c r="E497" t="str">
        <f>_xlfn.XLOOKUP(C497,raw_customers!B:B,raw_customers!G:G)</f>
        <v>Retail</v>
      </c>
      <c r="F497" t="str">
        <f>_xlfn.XLOOKUP(_xlfn.XLOOKUP(B497,raw_customers!A:A,raw_customers!F:F),raw_branches!A:A,raw_branches!B:B)</f>
        <v>Sumgait Branch</v>
      </c>
      <c r="G497" s="7">
        <v>14334.83</v>
      </c>
      <c r="H497" s="6">
        <v>18.01</v>
      </c>
      <c r="I497" t="s">
        <v>2383</v>
      </c>
      <c r="J497" t="str">
        <f t="shared" si="7"/>
        <v>Yüksək Risk</v>
      </c>
    </row>
    <row r="498" spans="1:10">
      <c r="A498">
        <v>372</v>
      </c>
      <c r="B498">
        <v>898</v>
      </c>
      <c r="C498" t="str">
        <f>_xlfn.XLOOKUP(B498,raw_customers!A:A,raw_customers!B:B)</f>
        <v>Fərid Novruzov</v>
      </c>
      <c r="D498" t="str">
        <f>_xlfn.XLOOKUP(C498,raw_customers!B:B,raw_customers!C:C)</f>
        <v>M</v>
      </c>
      <c r="E498" t="str">
        <f>_xlfn.XLOOKUP(C498,raw_customers!B:B,raw_customers!G:G)</f>
        <v>SME</v>
      </c>
      <c r="F498" t="str">
        <f>_xlfn.XLOOKUP(_xlfn.XLOOKUP(B498,raw_customers!A:A,raw_customers!F:F),raw_branches!A:A,raw_branches!B:B)</f>
        <v>Baku Central</v>
      </c>
      <c r="G498" s="7">
        <v>36334.81</v>
      </c>
      <c r="H498" s="6">
        <v>8</v>
      </c>
      <c r="I498" t="s">
        <v>2377</v>
      </c>
      <c r="J498" t="str">
        <f t="shared" si="7"/>
        <v>Aşağı Risk</v>
      </c>
    </row>
    <row r="499" spans="1:10">
      <c r="A499">
        <v>373</v>
      </c>
      <c r="B499">
        <v>663</v>
      </c>
      <c r="C499" t="str">
        <f>_xlfn.XLOOKUP(B499,raw_customers!A:A,raw_customers!B:B)</f>
        <v>Fərid Rzayev</v>
      </c>
      <c r="D499" t="str">
        <f>_xlfn.XLOOKUP(C499,raw_customers!B:B,raw_customers!C:C)</f>
        <v>M</v>
      </c>
      <c r="E499" t="str">
        <f>_xlfn.XLOOKUP(C499,raw_customers!B:B,raw_customers!G:G)</f>
        <v>Retail</v>
      </c>
      <c r="F499" t="str">
        <f>_xlfn.XLOOKUP(_xlfn.XLOOKUP(B499,raw_customers!A:A,raw_customers!F:F),raw_branches!A:A,raw_branches!B:B)</f>
        <v>Sheki Branch</v>
      </c>
      <c r="G499" s="7">
        <v>27745.42</v>
      </c>
      <c r="H499" s="6">
        <v>13.76</v>
      </c>
      <c r="I499" t="s">
        <v>2383</v>
      </c>
      <c r="J499" t="str">
        <f t="shared" si="7"/>
        <v>Orta Risk</v>
      </c>
    </row>
    <row r="500" spans="1:10">
      <c r="A500">
        <v>374</v>
      </c>
      <c r="B500">
        <v>390</v>
      </c>
      <c r="C500" t="str">
        <f>_xlfn.XLOOKUP(B500,raw_customers!A:A,raw_customers!B:B)</f>
        <v>Ülviyyə Tağıyev</v>
      </c>
      <c r="D500" t="str">
        <f>_xlfn.XLOOKUP(C500,raw_customers!B:B,raw_customers!C:C)</f>
        <v>F</v>
      </c>
      <c r="E500" t="str">
        <f>_xlfn.XLOOKUP(C500,raw_customers!B:B,raw_customers!G:G)</f>
        <v>Retail</v>
      </c>
      <c r="F500" t="str">
        <f>_xlfn.XLOOKUP(_xlfn.XLOOKUP(B500,raw_customers!A:A,raw_customers!F:F),raw_branches!A:A,raw_branches!B:B)</f>
        <v>Sumgait Branch</v>
      </c>
      <c r="G500" s="7">
        <v>99130.05</v>
      </c>
      <c r="H500" s="6">
        <v>15.88</v>
      </c>
      <c r="I500" t="s">
        <v>2377</v>
      </c>
      <c r="J500" t="str">
        <f t="shared" si="7"/>
        <v>Orta Risk</v>
      </c>
    </row>
    <row r="501" spans="1:10">
      <c r="A501">
        <v>375</v>
      </c>
      <c r="B501">
        <v>13</v>
      </c>
      <c r="C501" t="str">
        <f>_xlfn.XLOOKUP(B501,raw_customers!A:A,raw_customers!B:B)</f>
        <v>Elşən Bağırov</v>
      </c>
      <c r="D501" t="str">
        <f>_xlfn.XLOOKUP(C501,raw_customers!B:B,raw_customers!C:C)</f>
        <v>M</v>
      </c>
      <c r="E501" t="str">
        <f>_xlfn.XLOOKUP(C501,raw_customers!B:B,raw_customers!G:G)</f>
        <v>SME</v>
      </c>
      <c r="F501" t="str">
        <f>_xlfn.XLOOKUP(_xlfn.XLOOKUP(B501,raw_customers!A:A,raw_customers!F:F),raw_branches!A:A,raw_branches!B:B)</f>
        <v>Ganja Branch</v>
      </c>
      <c r="G501" s="7">
        <v>11517.18</v>
      </c>
      <c r="H501" s="6">
        <v>18.18</v>
      </c>
      <c r="I501" t="s">
        <v>2393</v>
      </c>
      <c r="J501" t="str">
        <f t="shared" si="7"/>
        <v>Default (Batıq)</v>
      </c>
    </row>
    <row r="502" spans="1:10">
      <c r="A502">
        <v>376</v>
      </c>
      <c r="B502">
        <v>109</v>
      </c>
      <c r="C502" t="str">
        <f>_xlfn.XLOOKUP(B502,raw_customers!A:A,raw_customers!B:B)</f>
        <v>Aynur Musayev</v>
      </c>
      <c r="D502" t="str">
        <f>_xlfn.XLOOKUP(C502,raw_customers!B:B,raw_customers!C:C)</f>
        <v>F</v>
      </c>
      <c r="E502" t="str">
        <f>_xlfn.XLOOKUP(C502,raw_customers!B:B,raw_customers!G:G)</f>
        <v>Retail</v>
      </c>
      <c r="F502" t="str">
        <f>_xlfn.XLOOKUP(_xlfn.XLOOKUP(B502,raw_customers!A:A,raw_customers!F:F),raw_branches!A:A,raw_branches!B:B)</f>
        <v>Ganja Branch</v>
      </c>
      <c r="G502" s="7">
        <v>2213.62</v>
      </c>
      <c r="H502" s="6">
        <v>11.2</v>
      </c>
      <c r="I502" t="s">
        <v>2377</v>
      </c>
      <c r="J502" t="str">
        <f t="shared" si="7"/>
        <v>Aşağı Risk</v>
      </c>
    </row>
    <row r="503" spans="1:10">
      <c r="A503">
        <v>377</v>
      </c>
      <c r="B503">
        <v>682</v>
      </c>
      <c r="C503" t="str">
        <f>_xlfn.XLOOKUP(B503,raw_customers!A:A,raw_customers!B:B)</f>
        <v>Günel Kərimov</v>
      </c>
      <c r="D503" t="str">
        <f>_xlfn.XLOOKUP(C503,raw_customers!B:B,raw_customers!C:C)</f>
        <v>F</v>
      </c>
      <c r="E503" t="str">
        <f>_xlfn.XLOOKUP(C503,raw_customers!B:B,raw_customers!G:G)</f>
        <v>Retail</v>
      </c>
      <c r="F503" t="str">
        <f>_xlfn.XLOOKUP(_xlfn.XLOOKUP(B503,raw_customers!A:A,raw_customers!F:F),raw_branches!A:A,raw_branches!B:B)</f>
        <v>Sumgait Branch</v>
      </c>
      <c r="G503" s="7">
        <v>708.57</v>
      </c>
      <c r="H503" s="6">
        <v>6.64</v>
      </c>
      <c r="I503" t="s">
        <v>2377</v>
      </c>
      <c r="J503" t="str">
        <f t="shared" si="7"/>
        <v>Aşağı Risk</v>
      </c>
    </row>
    <row r="504" spans="1:10">
      <c r="A504">
        <v>378</v>
      </c>
      <c r="B504">
        <v>67</v>
      </c>
      <c r="C504" t="str">
        <f>_xlfn.XLOOKUP(B504,raw_customers!A:A,raw_customers!B:B)</f>
        <v>Murad Abbasov</v>
      </c>
      <c r="D504" t="str">
        <f>_xlfn.XLOOKUP(C504,raw_customers!B:B,raw_customers!C:C)</f>
        <v>M</v>
      </c>
      <c r="E504" t="str">
        <f>_xlfn.XLOOKUP(C504,raw_customers!B:B,raw_customers!G:G)</f>
        <v>SME</v>
      </c>
      <c r="F504" t="str">
        <f>_xlfn.XLOOKUP(_xlfn.XLOOKUP(B504,raw_customers!A:A,raw_customers!F:F),raw_branches!A:A,raw_branches!B:B)</f>
        <v>Lankaran Branch</v>
      </c>
      <c r="G504" s="7">
        <v>39521.04</v>
      </c>
      <c r="H504" s="6">
        <v>19.54</v>
      </c>
      <c r="I504" t="s">
        <v>2383</v>
      </c>
      <c r="J504" t="str">
        <f t="shared" si="7"/>
        <v>Yüksək Risk</v>
      </c>
    </row>
    <row r="505" spans="1:10">
      <c r="A505">
        <v>379</v>
      </c>
      <c r="B505">
        <v>786</v>
      </c>
      <c r="C505" t="str">
        <f>_xlfn.XLOOKUP(B505,raw_customers!A:A,raw_customers!B:B)</f>
        <v>Vüqar Hüseynov</v>
      </c>
      <c r="D505" t="str">
        <f>_xlfn.XLOOKUP(C505,raw_customers!B:B,raw_customers!C:C)</f>
        <v>M</v>
      </c>
      <c r="E505" t="str">
        <f>_xlfn.XLOOKUP(C505,raw_customers!B:B,raw_customers!G:G)</f>
        <v>Retail</v>
      </c>
      <c r="F505" t="str">
        <f>_xlfn.XLOOKUP(_xlfn.XLOOKUP(B505,raw_customers!A:A,raw_customers!F:F),raw_branches!A:A,raw_branches!B:B)</f>
        <v>Lankaran Branch</v>
      </c>
      <c r="G505" s="7">
        <v>97109.45</v>
      </c>
      <c r="H505" s="6">
        <v>12.22</v>
      </c>
      <c r="I505" t="s">
        <v>2377</v>
      </c>
      <c r="J505" t="str">
        <f t="shared" si="7"/>
        <v>Orta Risk</v>
      </c>
    </row>
    <row r="506" spans="1:10">
      <c r="A506">
        <v>380</v>
      </c>
      <c r="B506">
        <v>386</v>
      </c>
      <c r="C506" t="str">
        <f>_xlfn.XLOOKUP(B506,raw_customers!A:A,raw_customers!B:B)</f>
        <v>Lalə Tağıyev</v>
      </c>
      <c r="D506" t="str">
        <f>_xlfn.XLOOKUP(C506,raw_customers!B:B,raw_customers!C:C)</f>
        <v>F</v>
      </c>
      <c r="E506" t="str">
        <f>_xlfn.XLOOKUP(C506,raw_customers!B:B,raw_customers!G:G)</f>
        <v>SME</v>
      </c>
      <c r="F506" t="str">
        <f>_xlfn.XLOOKUP(_xlfn.XLOOKUP(B506,raw_customers!A:A,raw_customers!F:F),raw_branches!A:A,raw_branches!B:B)</f>
        <v>Lankaran Branch</v>
      </c>
      <c r="G506" s="7">
        <v>19620.98</v>
      </c>
      <c r="H506" s="6">
        <v>13.55</v>
      </c>
      <c r="I506" t="s">
        <v>2377</v>
      </c>
      <c r="J506" t="str">
        <f t="shared" si="7"/>
        <v>Orta Risk</v>
      </c>
    </row>
    <row r="507" spans="1:10">
      <c r="A507">
        <v>381</v>
      </c>
      <c r="B507">
        <v>981</v>
      </c>
      <c r="C507" t="str">
        <f>_xlfn.XLOOKUP(B507,raw_customers!A:A,raw_customers!B:B)</f>
        <v>Günel Vəliyev</v>
      </c>
      <c r="D507" t="str">
        <f>_xlfn.XLOOKUP(C507,raw_customers!B:B,raw_customers!C:C)</f>
        <v>F</v>
      </c>
      <c r="E507" t="str">
        <f>_xlfn.XLOOKUP(C507,raw_customers!B:B,raw_customers!G:G)</f>
        <v>Retail</v>
      </c>
      <c r="F507" t="str">
        <f>_xlfn.XLOOKUP(_xlfn.XLOOKUP(B507,raw_customers!A:A,raw_customers!F:F),raw_branches!A:A,raw_branches!B:B)</f>
        <v>Sumgait Branch</v>
      </c>
      <c r="G507" s="7">
        <v>19889.42</v>
      </c>
      <c r="H507" s="6">
        <v>5.28</v>
      </c>
      <c r="I507" t="s">
        <v>2377</v>
      </c>
      <c r="J507" t="str">
        <f t="shared" si="7"/>
        <v>Aşağı Risk</v>
      </c>
    </row>
    <row r="508" spans="1:10">
      <c r="A508">
        <v>382</v>
      </c>
      <c r="B508">
        <v>95</v>
      </c>
      <c r="C508" t="str">
        <f>_xlfn.XLOOKUP(B508,raw_customers!A:A,raw_customers!B:B)</f>
        <v>Vüqar Cəfərov</v>
      </c>
      <c r="D508" t="str">
        <f>_xlfn.XLOOKUP(C508,raw_customers!B:B,raw_customers!C:C)</f>
        <v>M</v>
      </c>
      <c r="E508" t="str">
        <f>_xlfn.XLOOKUP(C508,raw_customers!B:B,raw_customers!G:G)</f>
        <v>SME</v>
      </c>
      <c r="F508" t="str">
        <f>_xlfn.XLOOKUP(_xlfn.XLOOKUP(B508,raw_customers!A:A,raw_customers!F:F),raw_branches!A:A,raw_branches!B:B)</f>
        <v>Ganja Branch</v>
      </c>
      <c r="G508" s="7">
        <v>101976.77</v>
      </c>
      <c r="H508" s="6">
        <v>16.16</v>
      </c>
      <c r="I508" t="s">
        <v>2377</v>
      </c>
      <c r="J508" t="str">
        <f t="shared" si="7"/>
        <v>Orta Risk</v>
      </c>
    </row>
    <row r="509" spans="1:10">
      <c r="A509">
        <v>383</v>
      </c>
      <c r="B509">
        <v>155</v>
      </c>
      <c r="C509" t="str">
        <f>_xlfn.XLOOKUP(B509,raw_customers!A:A,raw_customers!B:B)</f>
        <v>Kamran Bağırov</v>
      </c>
      <c r="D509" t="str">
        <f>_xlfn.XLOOKUP(C509,raw_customers!B:B,raw_customers!C:C)</f>
        <v>M</v>
      </c>
      <c r="E509" t="str">
        <f>_xlfn.XLOOKUP(C509,raw_customers!B:B,raw_customers!G:G)</f>
        <v>Retail</v>
      </c>
      <c r="F509" t="str">
        <f>_xlfn.XLOOKUP(_xlfn.XLOOKUP(B509,raw_customers!A:A,raw_customers!F:F),raw_branches!A:A,raw_branches!B:B)</f>
        <v>Sheki Branch</v>
      </c>
      <c r="G509" s="7">
        <v>63699.8</v>
      </c>
      <c r="H509" s="6">
        <v>19.17</v>
      </c>
      <c r="I509" t="s">
        <v>2393</v>
      </c>
      <c r="J509" t="str">
        <f t="shared" si="7"/>
        <v>Default (Batıq)</v>
      </c>
    </row>
    <row r="510" spans="1:10">
      <c r="A510">
        <v>384</v>
      </c>
      <c r="B510">
        <v>21</v>
      </c>
      <c r="C510" t="str">
        <f>_xlfn.XLOOKUP(B510,raw_customers!A:A,raw_customers!B:B)</f>
        <v>Sevinc Sadıqov</v>
      </c>
      <c r="D510" t="str">
        <f>_xlfn.XLOOKUP(C510,raw_customers!B:B,raw_customers!C:C)</f>
        <v>F</v>
      </c>
      <c r="E510" t="str">
        <f>_xlfn.XLOOKUP(C510,raw_customers!B:B,raw_customers!G:G)</f>
        <v>Premium</v>
      </c>
      <c r="F510" t="str">
        <f>_xlfn.XLOOKUP(_xlfn.XLOOKUP(B510,raw_customers!A:A,raw_customers!F:F),raw_branches!A:A,raw_branches!B:B)</f>
        <v>Sheki Branch</v>
      </c>
      <c r="G510" s="7">
        <v>36550.12</v>
      </c>
      <c r="H510" s="6">
        <v>15.09</v>
      </c>
      <c r="I510" t="s">
        <v>2377</v>
      </c>
      <c r="J510" t="str">
        <f t="shared" si="7"/>
        <v>Orta Risk</v>
      </c>
    </row>
    <row r="511" spans="1:10">
      <c r="A511">
        <v>385</v>
      </c>
      <c r="B511">
        <v>357</v>
      </c>
      <c r="C511" t="str">
        <f>_xlfn.XLOOKUP(B511,raw_customers!A:A,raw_customers!B:B)</f>
        <v>Leyla Rzayev</v>
      </c>
      <c r="D511" t="str">
        <f>_xlfn.XLOOKUP(C511,raw_customers!B:B,raw_customers!C:C)</f>
        <v>F</v>
      </c>
      <c r="E511" t="str">
        <f>_xlfn.XLOOKUP(C511,raw_customers!B:B,raw_customers!G:G)</f>
        <v>SME</v>
      </c>
      <c r="F511" t="str">
        <f>_xlfn.XLOOKUP(_xlfn.XLOOKUP(B511,raw_customers!A:A,raw_customers!F:F),raw_branches!A:A,raw_branches!B:B)</f>
        <v>Sumgait Branch</v>
      </c>
      <c r="G511" s="7">
        <v>35886.69</v>
      </c>
      <c r="H511" s="6">
        <v>17.58</v>
      </c>
      <c r="I511" t="s">
        <v>2383</v>
      </c>
      <c r="J511" t="str">
        <f t="shared" si="7"/>
        <v>Orta Risk</v>
      </c>
    </row>
    <row r="512" spans="1:10">
      <c r="A512">
        <v>386</v>
      </c>
      <c r="B512">
        <v>410</v>
      </c>
      <c r="C512" t="str">
        <f>_xlfn.XLOOKUP(B512,raw_customers!A:A,raw_customers!B:B)</f>
        <v>Leyla Tağıyev</v>
      </c>
      <c r="D512" t="str">
        <f>_xlfn.XLOOKUP(C512,raw_customers!B:B,raw_customers!C:C)</f>
        <v>F</v>
      </c>
      <c r="E512" t="str">
        <f>_xlfn.XLOOKUP(C512,raw_customers!B:B,raw_customers!G:G)</f>
        <v>SME</v>
      </c>
      <c r="F512" t="str">
        <f>_xlfn.XLOOKUP(_xlfn.XLOOKUP(B512,raw_customers!A:A,raw_customers!F:F),raw_branches!A:A,raw_branches!B:B)</f>
        <v>Sheki Branch</v>
      </c>
      <c r="G512" s="7">
        <v>27213.44</v>
      </c>
      <c r="H512" s="6">
        <v>10.03</v>
      </c>
      <c r="I512" t="s">
        <v>2377</v>
      </c>
      <c r="J512" t="str">
        <f t="shared" si="7"/>
        <v>Aşağı Risk</v>
      </c>
    </row>
    <row r="513" spans="1:10">
      <c r="A513">
        <v>387</v>
      </c>
      <c r="B513">
        <v>518</v>
      </c>
      <c r="C513" t="str">
        <f>_xlfn.XLOOKUP(B513,raw_customers!A:A,raw_customers!B:B)</f>
        <v>Zaur Rəhimov</v>
      </c>
      <c r="D513" t="str">
        <f>_xlfn.XLOOKUP(C513,raw_customers!B:B,raw_customers!C:C)</f>
        <v>M</v>
      </c>
      <c r="E513" t="str">
        <f>_xlfn.XLOOKUP(C513,raw_customers!B:B,raw_customers!G:G)</f>
        <v>SME</v>
      </c>
      <c r="F513" t="str">
        <f>_xlfn.XLOOKUP(_xlfn.XLOOKUP(B513,raw_customers!A:A,raw_customers!F:F),raw_branches!A:A,raw_branches!B:B)</f>
        <v>Baku Central</v>
      </c>
      <c r="G513" s="7">
        <v>129109.15</v>
      </c>
      <c r="H513" s="6">
        <v>11.82</v>
      </c>
      <c r="I513" t="s">
        <v>2377</v>
      </c>
      <c r="J513" t="str">
        <f t="shared" si="7"/>
        <v>Aşağı Risk</v>
      </c>
    </row>
    <row r="514" spans="1:10">
      <c r="A514">
        <v>388</v>
      </c>
      <c r="B514">
        <v>371</v>
      </c>
      <c r="C514" t="str">
        <f>_xlfn.XLOOKUP(B514,raw_customers!A:A,raw_customers!B:B)</f>
        <v>Aynur Nəbiyev</v>
      </c>
      <c r="D514" t="str">
        <f>_xlfn.XLOOKUP(C514,raw_customers!B:B,raw_customers!C:C)</f>
        <v>F</v>
      </c>
      <c r="E514" t="str">
        <f>_xlfn.XLOOKUP(C514,raw_customers!B:B,raw_customers!G:G)</f>
        <v>Premium</v>
      </c>
      <c r="F514" t="str">
        <f>_xlfn.XLOOKUP(_xlfn.XLOOKUP(B514,raw_customers!A:A,raw_customers!F:F),raw_branches!A:A,raw_branches!B:B)</f>
        <v>Baku Yasamal</v>
      </c>
      <c r="G514" s="7">
        <v>101727.13</v>
      </c>
      <c r="H514" s="6">
        <v>17.32</v>
      </c>
      <c r="I514" t="s">
        <v>2377</v>
      </c>
      <c r="J514" t="str">
        <f t="shared" si="7"/>
        <v>Orta Risk</v>
      </c>
    </row>
    <row r="515" spans="1:10">
      <c r="A515">
        <v>389</v>
      </c>
      <c r="B515">
        <v>452</v>
      </c>
      <c r="C515" t="str">
        <f>_xlfn.XLOOKUP(B515,raw_customers!A:A,raw_customers!B:B)</f>
        <v>Rəşad Sadıqov</v>
      </c>
      <c r="D515" t="str">
        <f>_xlfn.XLOOKUP(C515,raw_customers!B:B,raw_customers!C:C)</f>
        <v>M</v>
      </c>
      <c r="E515" t="str">
        <f>_xlfn.XLOOKUP(C515,raw_customers!B:B,raw_customers!G:G)</f>
        <v>SME</v>
      </c>
      <c r="F515" t="str">
        <f>_xlfn.XLOOKUP(_xlfn.XLOOKUP(B515,raw_customers!A:A,raw_customers!F:F),raw_branches!A:A,raw_branches!B:B)</f>
        <v>Baku Central</v>
      </c>
      <c r="G515" s="7">
        <v>125307.44</v>
      </c>
      <c r="H515" s="6">
        <v>11.73</v>
      </c>
      <c r="I515" t="s">
        <v>2377</v>
      </c>
      <c r="J515" t="str">
        <f t="shared" ref="J515:J578" si="8">IF(I515="Default","Default (Batıq)",IF(H515&gt;=18,"Yüksək Risk",IF(H515&gt;=12,"Orta Risk","Aşağı Risk")))</f>
        <v>Aşağı Risk</v>
      </c>
    </row>
    <row r="516" spans="1:10">
      <c r="A516">
        <v>390</v>
      </c>
      <c r="B516">
        <v>999</v>
      </c>
      <c r="C516" t="str">
        <f>_xlfn.XLOOKUP(B516,raw_customers!A:A,raw_customers!B:B)</f>
        <v>Toğrul Məmmədov</v>
      </c>
      <c r="D516" t="str">
        <f>_xlfn.XLOOKUP(C516,raw_customers!B:B,raw_customers!C:C)</f>
        <v>M</v>
      </c>
      <c r="E516" t="str">
        <f>_xlfn.XLOOKUP(C516,raw_customers!B:B,raw_customers!G:G)</f>
        <v>Retail</v>
      </c>
      <c r="F516" t="str">
        <f>_xlfn.XLOOKUP(_xlfn.XLOOKUP(B516,raw_customers!A:A,raw_customers!F:F),raw_branches!A:A,raw_branches!B:B)</f>
        <v>Sheki Branch</v>
      </c>
      <c r="G516" s="7">
        <v>5360.38</v>
      </c>
      <c r="H516" s="6">
        <v>8.3</v>
      </c>
      <c r="I516" t="s">
        <v>2377</v>
      </c>
      <c r="J516" t="str">
        <f t="shared" si="8"/>
        <v>Aşağı Risk</v>
      </c>
    </row>
    <row r="517" spans="1:10">
      <c r="A517">
        <v>391</v>
      </c>
      <c r="B517">
        <v>827</v>
      </c>
      <c r="C517" t="str">
        <f>_xlfn.XLOOKUP(B517,raw_customers!A:A,raw_customers!B:B)</f>
        <v>Fərid Əzizov</v>
      </c>
      <c r="D517" t="str">
        <f>_xlfn.XLOOKUP(C517,raw_customers!B:B,raw_customers!C:C)</f>
        <v>M</v>
      </c>
      <c r="E517" t="str">
        <f>_xlfn.XLOOKUP(C517,raw_customers!B:B,raw_customers!G:G)</f>
        <v>SME</v>
      </c>
      <c r="F517" t="str">
        <f>_xlfn.XLOOKUP(_xlfn.XLOOKUP(B517,raw_customers!A:A,raw_customers!F:F),raw_branches!A:A,raw_branches!B:B)</f>
        <v>Ganja Branch</v>
      </c>
      <c r="G517" s="7">
        <v>27483.96</v>
      </c>
      <c r="H517" s="6">
        <v>10.7</v>
      </c>
      <c r="I517" t="s">
        <v>2377</v>
      </c>
      <c r="J517" t="str">
        <f t="shared" si="8"/>
        <v>Aşağı Risk</v>
      </c>
    </row>
    <row r="518" spans="1:10">
      <c r="A518">
        <v>392</v>
      </c>
      <c r="B518">
        <v>958</v>
      </c>
      <c r="C518" t="str">
        <f>_xlfn.XLOOKUP(B518,raw_customers!A:A,raw_customers!B:B)</f>
        <v>Ceyhun Əzizov</v>
      </c>
      <c r="D518" t="str">
        <f>_xlfn.XLOOKUP(C518,raw_customers!B:B,raw_customers!C:C)</f>
        <v>M</v>
      </c>
      <c r="E518" t="str">
        <f>_xlfn.XLOOKUP(C518,raw_customers!B:B,raw_customers!G:G)</f>
        <v>Retail</v>
      </c>
      <c r="F518" t="str">
        <f>_xlfn.XLOOKUP(_xlfn.XLOOKUP(B518,raw_customers!A:A,raw_customers!F:F),raw_branches!A:A,raw_branches!B:B)</f>
        <v>Baku Central</v>
      </c>
      <c r="G518" s="7">
        <v>89850.45</v>
      </c>
      <c r="H518" s="6">
        <v>21.85</v>
      </c>
      <c r="I518" t="s">
        <v>2383</v>
      </c>
      <c r="J518" t="str">
        <f t="shared" si="8"/>
        <v>Yüksək Risk</v>
      </c>
    </row>
    <row r="519" spans="1:10">
      <c r="A519">
        <v>393</v>
      </c>
      <c r="B519">
        <v>948</v>
      </c>
      <c r="C519" t="str">
        <f>_xlfn.XLOOKUP(B519,raw_customers!A:A,raw_customers!B:B)</f>
        <v>Rəşad Novruzov</v>
      </c>
      <c r="D519" t="str">
        <f>_xlfn.XLOOKUP(C519,raw_customers!B:B,raw_customers!C:C)</f>
        <v>M</v>
      </c>
      <c r="E519" t="str">
        <f>_xlfn.XLOOKUP(C519,raw_customers!B:B,raw_customers!G:G)</f>
        <v>SME</v>
      </c>
      <c r="F519" t="str">
        <f>_xlfn.XLOOKUP(_xlfn.XLOOKUP(B519,raw_customers!A:A,raw_customers!F:F),raw_branches!A:A,raw_branches!B:B)</f>
        <v>Sheki Branch</v>
      </c>
      <c r="G519" s="7">
        <v>13885.08</v>
      </c>
      <c r="H519" s="6">
        <v>7.41</v>
      </c>
      <c r="I519" t="s">
        <v>2377</v>
      </c>
      <c r="J519" t="str">
        <f t="shared" si="8"/>
        <v>Aşağı Risk</v>
      </c>
    </row>
    <row r="520" spans="1:10">
      <c r="A520">
        <v>394</v>
      </c>
      <c r="B520">
        <v>669</v>
      </c>
      <c r="C520" t="str">
        <f>_xlfn.XLOOKUP(B520,raw_customers!A:A,raw_customers!B:B)</f>
        <v>Vüqar İsmayılov</v>
      </c>
      <c r="D520" t="str">
        <f>_xlfn.XLOOKUP(C520,raw_customers!B:B,raw_customers!C:C)</f>
        <v>M</v>
      </c>
      <c r="E520" t="str">
        <f>_xlfn.XLOOKUP(C520,raw_customers!B:B,raw_customers!G:G)</f>
        <v>Retail</v>
      </c>
      <c r="F520" t="str">
        <f>_xlfn.XLOOKUP(_xlfn.XLOOKUP(B520,raw_customers!A:A,raw_customers!F:F),raw_branches!A:A,raw_branches!B:B)</f>
        <v>Ganja Branch</v>
      </c>
      <c r="G520" s="7">
        <v>37874.38</v>
      </c>
      <c r="H520" s="6">
        <v>5.72</v>
      </c>
      <c r="I520" t="s">
        <v>2393</v>
      </c>
      <c r="J520" t="str">
        <f t="shared" si="8"/>
        <v>Default (Batıq)</v>
      </c>
    </row>
    <row r="521" spans="1:10">
      <c r="A521">
        <v>395</v>
      </c>
      <c r="B521">
        <v>994</v>
      </c>
      <c r="C521" t="str">
        <f>_xlfn.XLOOKUP(B521,raw_customers!A:A,raw_customers!B:B)</f>
        <v>Vüqar Novruzov</v>
      </c>
      <c r="D521" t="str">
        <f>_xlfn.XLOOKUP(C521,raw_customers!B:B,raw_customers!C:C)</f>
        <v>M</v>
      </c>
      <c r="E521" t="str">
        <f>_xlfn.XLOOKUP(C521,raw_customers!B:B,raw_customers!G:G)</f>
        <v>Retail</v>
      </c>
      <c r="F521" t="str">
        <f>_xlfn.XLOOKUP(_xlfn.XLOOKUP(B521,raw_customers!A:A,raw_customers!F:F),raw_branches!A:A,raw_branches!B:B)</f>
        <v>Ganja Branch</v>
      </c>
      <c r="G521" s="7">
        <v>32073.81</v>
      </c>
      <c r="H521" s="6">
        <v>7.65</v>
      </c>
      <c r="I521" t="s">
        <v>2377</v>
      </c>
      <c r="J521" t="str">
        <f t="shared" si="8"/>
        <v>Aşağı Risk</v>
      </c>
    </row>
    <row r="522" spans="1:10">
      <c r="A522">
        <v>396</v>
      </c>
      <c r="B522">
        <v>63</v>
      </c>
      <c r="C522" t="str">
        <f>_xlfn.XLOOKUP(B522,raw_customers!A:A,raw_customers!B:B)</f>
        <v>Ceyhun Rəhimov</v>
      </c>
      <c r="D522" t="str">
        <f>_xlfn.XLOOKUP(C522,raw_customers!B:B,raw_customers!C:C)</f>
        <v>M</v>
      </c>
      <c r="E522" t="str">
        <f>_xlfn.XLOOKUP(C522,raw_customers!B:B,raw_customers!G:G)</f>
        <v>Retail</v>
      </c>
      <c r="F522" t="str">
        <f>_xlfn.XLOOKUP(_xlfn.XLOOKUP(B522,raw_customers!A:A,raw_customers!F:F),raw_branches!A:A,raw_branches!B:B)</f>
        <v>Sumgait Branch</v>
      </c>
      <c r="G522" s="7">
        <v>1147.93</v>
      </c>
      <c r="H522" s="6">
        <v>18.13</v>
      </c>
      <c r="I522" t="s">
        <v>2377</v>
      </c>
      <c r="J522" t="str">
        <f t="shared" si="8"/>
        <v>Yüksək Risk</v>
      </c>
    </row>
    <row r="523" spans="1:10">
      <c r="A523">
        <v>397</v>
      </c>
      <c r="B523">
        <v>420</v>
      </c>
      <c r="C523" t="str">
        <f>_xlfn.XLOOKUP(B523,raw_customers!A:A,raw_customers!B:B)</f>
        <v>Aynur Bağırov</v>
      </c>
      <c r="D523" t="str">
        <f>_xlfn.XLOOKUP(C523,raw_customers!B:B,raw_customers!C:C)</f>
        <v>F</v>
      </c>
      <c r="E523" t="str">
        <f>_xlfn.XLOOKUP(C523,raw_customers!B:B,raw_customers!G:G)</f>
        <v>Retail</v>
      </c>
      <c r="F523" t="str">
        <f>_xlfn.XLOOKUP(_xlfn.XLOOKUP(B523,raw_customers!A:A,raw_customers!F:F),raw_branches!A:A,raw_branches!B:B)</f>
        <v>Sumgait Branch</v>
      </c>
      <c r="G523" s="7">
        <v>37090.39</v>
      </c>
      <c r="H523" s="6">
        <v>7.03</v>
      </c>
      <c r="I523" t="s">
        <v>2377</v>
      </c>
      <c r="J523" t="str">
        <f t="shared" si="8"/>
        <v>Aşağı Risk</v>
      </c>
    </row>
    <row r="524" spans="1:10">
      <c r="A524">
        <v>398</v>
      </c>
      <c r="B524">
        <v>582</v>
      </c>
      <c r="C524" t="str">
        <f>_xlfn.XLOOKUP(B524,raw_customers!A:A,raw_customers!B:B)</f>
        <v>Samir Bağırov</v>
      </c>
      <c r="D524" t="str">
        <f>_xlfn.XLOOKUP(C524,raw_customers!B:B,raw_customers!C:C)</f>
        <v>M</v>
      </c>
      <c r="E524" t="str">
        <f>_xlfn.XLOOKUP(C524,raw_customers!B:B,raw_customers!G:G)</f>
        <v>Retail</v>
      </c>
      <c r="F524" t="str">
        <f>_xlfn.XLOOKUP(_xlfn.XLOOKUP(B524,raw_customers!A:A,raw_customers!F:F),raw_branches!A:A,raw_branches!B:B)</f>
        <v>Baku Central</v>
      </c>
      <c r="G524" s="7">
        <v>3286.37</v>
      </c>
      <c r="H524" s="6">
        <v>20.42</v>
      </c>
      <c r="I524" t="s">
        <v>2377</v>
      </c>
      <c r="J524" t="str">
        <f t="shared" si="8"/>
        <v>Yüksək Risk</v>
      </c>
    </row>
    <row r="525" spans="1:10">
      <c r="A525">
        <v>399</v>
      </c>
      <c r="B525">
        <v>808</v>
      </c>
      <c r="C525" t="str">
        <f>_xlfn.XLOOKUP(B525,raw_customers!A:A,raw_customers!B:B)</f>
        <v>Samir Quliyev</v>
      </c>
      <c r="D525" t="str">
        <f>_xlfn.XLOOKUP(C525,raw_customers!B:B,raw_customers!C:C)</f>
        <v>M</v>
      </c>
      <c r="E525" t="str">
        <f>_xlfn.XLOOKUP(C525,raw_customers!B:B,raw_customers!G:G)</f>
        <v>Premium</v>
      </c>
      <c r="F525" t="str">
        <f>_xlfn.XLOOKUP(_xlfn.XLOOKUP(B525,raw_customers!A:A,raw_customers!F:F),raw_branches!A:A,raw_branches!B:B)</f>
        <v>Mingachevir Branch</v>
      </c>
      <c r="G525" s="7">
        <v>22727.17</v>
      </c>
      <c r="H525" s="6">
        <v>21.44</v>
      </c>
      <c r="I525" t="s">
        <v>2377</v>
      </c>
      <c r="J525" t="str">
        <f t="shared" si="8"/>
        <v>Yüksək Risk</v>
      </c>
    </row>
    <row r="526" spans="1:10">
      <c r="A526">
        <v>400</v>
      </c>
      <c r="B526">
        <v>393</v>
      </c>
      <c r="C526" t="str">
        <f>_xlfn.XLOOKUP(B526,raw_customers!A:A,raw_customers!B:B)</f>
        <v>Elvin Hüseynov</v>
      </c>
      <c r="D526" t="str">
        <f>_xlfn.XLOOKUP(C526,raw_customers!B:B,raw_customers!C:C)</f>
        <v>M</v>
      </c>
      <c r="E526" t="str">
        <f>_xlfn.XLOOKUP(C526,raw_customers!B:B,raw_customers!G:G)</f>
        <v>SME</v>
      </c>
      <c r="F526" t="str">
        <f>_xlfn.XLOOKUP(_xlfn.XLOOKUP(B526,raw_customers!A:A,raw_customers!F:F),raw_branches!A:A,raw_branches!B:B)</f>
        <v>Sumgait Branch</v>
      </c>
      <c r="G526" s="7">
        <v>3527.72</v>
      </c>
      <c r="H526" s="6">
        <v>12.86</v>
      </c>
      <c r="I526" t="s">
        <v>2383</v>
      </c>
      <c r="J526" t="str">
        <f t="shared" si="8"/>
        <v>Orta Risk</v>
      </c>
    </row>
    <row r="527" spans="1:10">
      <c r="A527">
        <v>401</v>
      </c>
      <c r="B527">
        <v>843</v>
      </c>
      <c r="C527" t="str">
        <f>_xlfn.XLOOKUP(B527,raw_customers!A:A,raw_customers!B:B)</f>
        <v>Səbinə Tağıyev</v>
      </c>
      <c r="D527" t="str">
        <f>_xlfn.XLOOKUP(C527,raw_customers!B:B,raw_customers!C:C)</f>
        <v>F</v>
      </c>
      <c r="E527" t="str">
        <f>_xlfn.XLOOKUP(C527,raw_customers!B:B,raw_customers!G:G)</f>
        <v>Retail</v>
      </c>
      <c r="F527" t="str">
        <f>_xlfn.XLOOKUP(_xlfn.XLOOKUP(B527,raw_customers!A:A,raw_customers!F:F),raw_branches!A:A,raw_branches!B:B)</f>
        <v>Baku Yasamal</v>
      </c>
      <c r="G527" s="7">
        <v>2035.73</v>
      </c>
      <c r="H527" s="6">
        <v>8.85</v>
      </c>
      <c r="I527" t="s">
        <v>2377</v>
      </c>
      <c r="J527" t="str">
        <f t="shared" si="8"/>
        <v>Aşağı Risk</v>
      </c>
    </row>
    <row r="528" spans="1:10">
      <c r="A528">
        <v>402</v>
      </c>
      <c r="B528">
        <v>916</v>
      </c>
      <c r="C528" t="str">
        <f>_xlfn.XLOOKUP(B528,raw_customers!A:A,raw_customers!B:B)</f>
        <v>Zaur Əliyev</v>
      </c>
      <c r="D528" t="str">
        <f>_xlfn.XLOOKUP(C528,raw_customers!B:B,raw_customers!C:C)</f>
        <v>M</v>
      </c>
      <c r="E528" t="str">
        <f>_xlfn.XLOOKUP(C528,raw_customers!B:B,raw_customers!G:G)</f>
        <v>Retail</v>
      </c>
      <c r="F528" t="str">
        <f>_xlfn.XLOOKUP(_xlfn.XLOOKUP(B528,raw_customers!A:A,raw_customers!F:F),raw_branches!A:A,raw_branches!B:B)</f>
        <v>Sheki Branch</v>
      </c>
      <c r="G528" s="7">
        <v>10004.13</v>
      </c>
      <c r="H528" s="6">
        <v>21.36</v>
      </c>
      <c r="I528" t="s">
        <v>2377</v>
      </c>
      <c r="J528" t="str">
        <f t="shared" si="8"/>
        <v>Yüksək Risk</v>
      </c>
    </row>
    <row r="529" spans="1:10">
      <c r="A529">
        <v>403</v>
      </c>
      <c r="B529">
        <v>337</v>
      </c>
      <c r="C529" t="str">
        <f>_xlfn.XLOOKUP(B529,raw_customers!A:A,raw_customers!B:B)</f>
        <v>Nərmin Əliyev</v>
      </c>
      <c r="D529" t="str">
        <f>_xlfn.XLOOKUP(C529,raw_customers!B:B,raw_customers!C:C)</f>
        <v>F</v>
      </c>
      <c r="E529" t="str">
        <f>_xlfn.XLOOKUP(C529,raw_customers!B:B,raw_customers!G:G)</f>
        <v>Retail</v>
      </c>
      <c r="F529" t="str">
        <f>_xlfn.XLOOKUP(_xlfn.XLOOKUP(B529,raw_customers!A:A,raw_customers!F:F),raw_branches!A:A,raw_branches!B:B)</f>
        <v>Baku Yasamal</v>
      </c>
      <c r="G529" s="7">
        <v>72416.86</v>
      </c>
      <c r="H529" s="6">
        <v>16.23</v>
      </c>
      <c r="I529" t="s">
        <v>2377</v>
      </c>
      <c r="J529" t="str">
        <f t="shared" si="8"/>
        <v>Orta Risk</v>
      </c>
    </row>
    <row r="530" spans="1:10">
      <c r="A530">
        <v>404</v>
      </c>
      <c r="B530">
        <v>302</v>
      </c>
      <c r="C530" t="str">
        <f>_xlfn.XLOOKUP(B530,raw_customers!A:A,raw_customers!B:B)</f>
        <v>Vüqar Orucov</v>
      </c>
      <c r="D530" t="str">
        <f>_xlfn.XLOOKUP(C530,raw_customers!B:B,raw_customers!C:C)</f>
        <v>M</v>
      </c>
      <c r="E530" t="str">
        <f>_xlfn.XLOOKUP(C530,raw_customers!B:B,raw_customers!G:G)</f>
        <v>Retail</v>
      </c>
      <c r="F530" t="str">
        <f>_xlfn.XLOOKUP(_xlfn.XLOOKUP(B530,raw_customers!A:A,raw_customers!F:F),raw_branches!A:A,raw_branches!B:B)</f>
        <v>Baku Yasamal</v>
      </c>
      <c r="G530" s="7">
        <v>22019.8</v>
      </c>
      <c r="H530" s="6">
        <v>17.37</v>
      </c>
      <c r="I530" t="s">
        <v>2377</v>
      </c>
      <c r="J530" t="str">
        <f t="shared" si="8"/>
        <v>Orta Risk</v>
      </c>
    </row>
    <row r="531" spans="1:10">
      <c r="A531">
        <v>405</v>
      </c>
      <c r="B531">
        <v>95</v>
      </c>
      <c r="C531" t="str">
        <f>_xlfn.XLOOKUP(B531,raw_customers!A:A,raw_customers!B:B)</f>
        <v>Vüqar Cəfərov</v>
      </c>
      <c r="D531" t="str">
        <f>_xlfn.XLOOKUP(C531,raw_customers!B:B,raw_customers!C:C)</f>
        <v>M</v>
      </c>
      <c r="E531" t="str">
        <f>_xlfn.XLOOKUP(C531,raw_customers!B:B,raw_customers!G:G)</f>
        <v>SME</v>
      </c>
      <c r="F531" t="str">
        <f>_xlfn.XLOOKUP(_xlfn.XLOOKUP(B531,raw_customers!A:A,raw_customers!F:F),raw_branches!A:A,raw_branches!B:B)</f>
        <v>Ganja Branch</v>
      </c>
      <c r="G531" s="7">
        <v>2595.35</v>
      </c>
      <c r="H531" s="6">
        <v>5.58</v>
      </c>
      <c r="I531" t="s">
        <v>2393</v>
      </c>
      <c r="J531" t="str">
        <f t="shared" si="8"/>
        <v>Default (Batıq)</v>
      </c>
    </row>
    <row r="532" spans="1:10">
      <c r="A532">
        <v>406</v>
      </c>
      <c r="B532">
        <v>765</v>
      </c>
      <c r="C532" t="str">
        <f>_xlfn.XLOOKUP(B532,raw_customers!A:A,raw_customers!B:B)</f>
        <v>Sevinc Sadıqov</v>
      </c>
      <c r="D532" t="str">
        <f>_xlfn.XLOOKUP(C532,raw_customers!B:B,raw_customers!C:C)</f>
        <v>F</v>
      </c>
      <c r="E532" t="str">
        <f>_xlfn.XLOOKUP(C532,raw_customers!B:B,raw_customers!G:G)</f>
        <v>Premium</v>
      </c>
      <c r="F532" t="str">
        <f>_xlfn.XLOOKUP(_xlfn.XLOOKUP(B532,raw_customers!A:A,raw_customers!F:F),raw_branches!A:A,raw_branches!B:B)</f>
        <v>Lankaran Branch</v>
      </c>
      <c r="G532" s="7">
        <v>14769.74</v>
      </c>
      <c r="H532" s="6">
        <v>6.95</v>
      </c>
      <c r="I532" t="s">
        <v>2377</v>
      </c>
      <c r="J532" t="str">
        <f t="shared" si="8"/>
        <v>Aşağı Risk</v>
      </c>
    </row>
    <row r="533" spans="1:10">
      <c r="A533">
        <v>407</v>
      </c>
      <c r="B533">
        <v>554</v>
      </c>
      <c r="C533" t="str">
        <f>_xlfn.XLOOKUP(B533,raw_customers!A:A,raw_customers!B:B)</f>
        <v>Səbinə Bağırov</v>
      </c>
      <c r="D533" t="str">
        <f>_xlfn.XLOOKUP(C533,raw_customers!B:B,raw_customers!C:C)</f>
        <v>F</v>
      </c>
      <c r="E533" t="str">
        <f>_xlfn.XLOOKUP(C533,raw_customers!B:B,raw_customers!G:G)</f>
        <v>SME</v>
      </c>
      <c r="F533" t="str">
        <f>_xlfn.XLOOKUP(_xlfn.XLOOKUP(B533,raw_customers!A:A,raw_customers!F:F),raw_branches!A:A,raw_branches!B:B)</f>
        <v>Sheki Branch</v>
      </c>
      <c r="G533" s="7">
        <v>167831.77</v>
      </c>
      <c r="H533" s="6">
        <v>12.11</v>
      </c>
      <c r="I533" t="s">
        <v>2377</v>
      </c>
      <c r="J533" t="str">
        <f t="shared" si="8"/>
        <v>Orta Risk</v>
      </c>
    </row>
    <row r="534" spans="1:10">
      <c r="A534">
        <v>408</v>
      </c>
      <c r="B534">
        <v>600</v>
      </c>
      <c r="C534" t="str">
        <f>_xlfn.XLOOKUP(B534,raw_customers!A:A,raw_customers!B:B)</f>
        <v>Samir Musayev</v>
      </c>
      <c r="D534" t="str">
        <f>_xlfn.XLOOKUP(C534,raw_customers!B:B,raw_customers!C:C)</f>
        <v>M</v>
      </c>
      <c r="E534" t="str">
        <f>_xlfn.XLOOKUP(C534,raw_customers!B:B,raw_customers!G:G)</f>
        <v>Premium</v>
      </c>
      <c r="F534" t="str">
        <f>_xlfn.XLOOKUP(_xlfn.XLOOKUP(B534,raw_customers!A:A,raw_customers!F:F),raw_branches!A:A,raw_branches!B:B)</f>
        <v>Ganja Branch</v>
      </c>
      <c r="G534" s="7">
        <v>9563.88</v>
      </c>
      <c r="H534" s="6">
        <v>20.96</v>
      </c>
      <c r="I534" t="s">
        <v>2377</v>
      </c>
      <c r="J534" t="str">
        <f t="shared" si="8"/>
        <v>Yüksək Risk</v>
      </c>
    </row>
    <row r="535" spans="1:10">
      <c r="A535">
        <v>409</v>
      </c>
      <c r="B535">
        <v>177</v>
      </c>
      <c r="C535" t="str">
        <f>_xlfn.XLOOKUP(B535,raw_customers!A:A,raw_customers!B:B)</f>
        <v>Xəyalə Əzizov</v>
      </c>
      <c r="D535" t="str">
        <f>_xlfn.XLOOKUP(C535,raw_customers!B:B,raw_customers!C:C)</f>
        <v>F</v>
      </c>
      <c r="E535" t="str">
        <f>_xlfn.XLOOKUP(C535,raw_customers!B:B,raw_customers!G:G)</f>
        <v>Retail</v>
      </c>
      <c r="F535" t="str">
        <f>_xlfn.XLOOKUP(_xlfn.XLOOKUP(B535,raw_customers!A:A,raw_customers!F:F),raw_branches!A:A,raw_branches!B:B)</f>
        <v>Baku Central</v>
      </c>
      <c r="G535" s="7">
        <v>199498.07</v>
      </c>
      <c r="H535" s="6">
        <v>8.97</v>
      </c>
      <c r="I535" t="s">
        <v>2377</v>
      </c>
      <c r="J535" t="str">
        <f t="shared" si="8"/>
        <v>Aşağı Risk</v>
      </c>
    </row>
    <row r="536" spans="1:10">
      <c r="A536">
        <v>410</v>
      </c>
      <c r="B536">
        <v>133</v>
      </c>
      <c r="C536" t="str">
        <f>_xlfn.XLOOKUP(B536,raw_customers!A:A,raw_customers!B:B)</f>
        <v>Emin Bağırov</v>
      </c>
      <c r="D536" t="str">
        <f>_xlfn.XLOOKUP(C536,raw_customers!B:B,raw_customers!C:C)</f>
        <v>M</v>
      </c>
      <c r="E536" t="str">
        <f>_xlfn.XLOOKUP(C536,raw_customers!B:B,raw_customers!G:G)</f>
        <v>SME</v>
      </c>
      <c r="F536" t="str">
        <f>_xlfn.XLOOKUP(_xlfn.XLOOKUP(B536,raw_customers!A:A,raw_customers!F:F),raw_branches!A:A,raw_branches!B:B)</f>
        <v>Lankaran Branch</v>
      </c>
      <c r="G536" s="2">
        <v>32802</v>
      </c>
      <c r="H536" s="6">
        <v>5.25</v>
      </c>
      <c r="I536" t="s">
        <v>2383</v>
      </c>
      <c r="J536" t="str">
        <f t="shared" si="8"/>
        <v>Aşağı Risk</v>
      </c>
    </row>
    <row r="537" spans="1:10">
      <c r="A537">
        <v>411</v>
      </c>
      <c r="B537">
        <v>315</v>
      </c>
      <c r="C537" t="str">
        <f>_xlfn.XLOOKUP(B537,raw_customers!A:A,raw_customers!B:B)</f>
        <v>Nicat Əzizov</v>
      </c>
      <c r="D537" t="str">
        <f>_xlfn.XLOOKUP(C537,raw_customers!B:B,raw_customers!C:C)</f>
        <v>M</v>
      </c>
      <c r="E537" t="str">
        <f>_xlfn.XLOOKUP(C537,raw_customers!B:B,raw_customers!G:G)</f>
        <v>Retail</v>
      </c>
      <c r="F537" t="str">
        <f>_xlfn.XLOOKUP(_xlfn.XLOOKUP(B537,raw_customers!A:A,raw_customers!F:F),raw_branches!A:A,raw_branches!B:B)</f>
        <v>Mingachevir Branch</v>
      </c>
      <c r="G537" s="7">
        <v>16992.19</v>
      </c>
      <c r="H537" s="6">
        <v>8.5</v>
      </c>
      <c r="I537" t="s">
        <v>2377</v>
      </c>
      <c r="J537" t="str">
        <f t="shared" si="8"/>
        <v>Aşağı Risk</v>
      </c>
    </row>
    <row r="538" spans="1:10">
      <c r="A538">
        <v>412</v>
      </c>
      <c r="B538">
        <v>140</v>
      </c>
      <c r="C538" t="str">
        <f>_xlfn.XLOOKUP(B538,raw_customers!A:A,raw_customers!B:B)</f>
        <v>Emin Quliyev</v>
      </c>
      <c r="D538" t="str">
        <f>_xlfn.XLOOKUP(C538,raw_customers!B:B,raw_customers!C:C)</f>
        <v>M</v>
      </c>
      <c r="E538" t="str">
        <f>_xlfn.XLOOKUP(C538,raw_customers!B:B,raw_customers!G:G)</f>
        <v>Retail</v>
      </c>
      <c r="F538" t="str">
        <f>_xlfn.XLOOKUP(_xlfn.XLOOKUP(B538,raw_customers!A:A,raw_customers!F:F),raw_branches!A:A,raw_branches!B:B)</f>
        <v>Baku Central</v>
      </c>
      <c r="G538" s="7">
        <v>110255.4</v>
      </c>
      <c r="H538" s="6">
        <v>15.64</v>
      </c>
      <c r="I538" t="s">
        <v>2383</v>
      </c>
      <c r="J538" t="str">
        <f t="shared" si="8"/>
        <v>Orta Risk</v>
      </c>
    </row>
    <row r="539" spans="1:10">
      <c r="A539">
        <v>413</v>
      </c>
      <c r="B539">
        <v>742</v>
      </c>
      <c r="C539" t="str">
        <f>_xlfn.XLOOKUP(B539,raw_customers!A:A,raw_customers!B:B)</f>
        <v>Aynur Tağıyev</v>
      </c>
      <c r="D539" t="str">
        <f>_xlfn.XLOOKUP(C539,raw_customers!B:B,raw_customers!C:C)</f>
        <v>F</v>
      </c>
      <c r="E539" t="str">
        <f>_xlfn.XLOOKUP(C539,raw_customers!B:B,raw_customers!G:G)</f>
        <v>Retail</v>
      </c>
      <c r="F539" t="str">
        <f>_xlfn.XLOOKUP(_xlfn.XLOOKUP(B539,raw_customers!A:A,raw_customers!F:F),raw_branches!A:A,raw_branches!B:B)</f>
        <v>Ganja Branch</v>
      </c>
      <c r="G539" s="7">
        <v>1530.75</v>
      </c>
      <c r="H539" s="6">
        <v>13.25</v>
      </c>
      <c r="I539" t="s">
        <v>2377</v>
      </c>
      <c r="J539" t="str">
        <f t="shared" si="8"/>
        <v>Orta Risk</v>
      </c>
    </row>
    <row r="540" spans="1:10">
      <c r="A540">
        <v>414</v>
      </c>
      <c r="B540">
        <v>237</v>
      </c>
      <c r="C540" t="str">
        <f>_xlfn.XLOOKUP(B540,raw_customers!A:A,raw_customers!B:B)</f>
        <v>Elvin Kərimov</v>
      </c>
      <c r="D540" t="str">
        <f>_xlfn.XLOOKUP(C540,raw_customers!B:B,raw_customers!C:C)</f>
        <v>M</v>
      </c>
      <c r="E540" t="str">
        <f>_xlfn.XLOOKUP(C540,raw_customers!B:B,raw_customers!G:G)</f>
        <v>Premium</v>
      </c>
      <c r="F540" t="str">
        <f>_xlfn.XLOOKUP(_xlfn.XLOOKUP(B540,raw_customers!A:A,raw_customers!F:F),raw_branches!A:A,raw_branches!B:B)</f>
        <v>Sumgait Branch</v>
      </c>
      <c r="G540" s="7">
        <v>77242.63</v>
      </c>
      <c r="H540" s="6">
        <v>15.93</v>
      </c>
      <c r="I540" t="s">
        <v>2383</v>
      </c>
      <c r="J540" t="str">
        <f t="shared" si="8"/>
        <v>Orta Risk</v>
      </c>
    </row>
    <row r="541" spans="1:10">
      <c r="A541">
        <v>415</v>
      </c>
      <c r="B541">
        <v>1000</v>
      </c>
      <c r="C541" t="str">
        <f>_xlfn.XLOOKUP(B541,raw_customers!A:A,raw_customers!B:B)</f>
        <v>Zeynəb Vəliyev</v>
      </c>
      <c r="D541" t="str">
        <f>_xlfn.XLOOKUP(C541,raw_customers!B:B,raw_customers!C:C)</f>
        <v>F</v>
      </c>
      <c r="E541" t="str">
        <f>_xlfn.XLOOKUP(C541,raw_customers!B:B,raw_customers!G:G)</f>
        <v>Premium</v>
      </c>
      <c r="F541" t="str">
        <f>_xlfn.XLOOKUP(_xlfn.XLOOKUP(B541,raw_customers!A:A,raw_customers!F:F),raw_branches!A:A,raw_branches!B:B)</f>
        <v>Sumgait Branch</v>
      </c>
      <c r="G541" s="7">
        <v>12528.13</v>
      </c>
      <c r="H541" s="6">
        <v>6.7</v>
      </c>
      <c r="I541" t="s">
        <v>2377</v>
      </c>
      <c r="J541" t="str">
        <f t="shared" si="8"/>
        <v>Aşağı Risk</v>
      </c>
    </row>
    <row r="542" spans="1:10">
      <c r="A542">
        <v>416</v>
      </c>
      <c r="B542">
        <v>286</v>
      </c>
      <c r="C542" t="str">
        <f>_xlfn.XLOOKUP(B542,raw_customers!A:A,raw_customers!B:B)</f>
        <v>Kamran Orucov</v>
      </c>
      <c r="D542" t="str">
        <f>_xlfn.XLOOKUP(C542,raw_customers!B:B,raw_customers!C:C)</f>
        <v>M</v>
      </c>
      <c r="E542" t="str">
        <f>_xlfn.XLOOKUP(C542,raw_customers!B:B,raw_customers!G:G)</f>
        <v>Retail</v>
      </c>
      <c r="F542" t="str">
        <f>_xlfn.XLOOKUP(_xlfn.XLOOKUP(B542,raw_customers!A:A,raw_customers!F:F),raw_branches!A:A,raw_branches!B:B)</f>
        <v>Lankaran Branch</v>
      </c>
      <c r="G542" s="7">
        <v>88058.38</v>
      </c>
      <c r="H542" s="6">
        <v>10.2</v>
      </c>
      <c r="I542" t="s">
        <v>2377</v>
      </c>
      <c r="J542" t="str">
        <f t="shared" si="8"/>
        <v>Aşağı Risk</v>
      </c>
    </row>
    <row r="543" spans="1:10">
      <c r="A543">
        <v>417</v>
      </c>
      <c r="B543">
        <v>843</v>
      </c>
      <c r="C543" t="str">
        <f>_xlfn.XLOOKUP(B543,raw_customers!A:A,raw_customers!B:B)</f>
        <v>Səbinə Tağıyev</v>
      </c>
      <c r="D543" t="str">
        <f>_xlfn.XLOOKUP(C543,raw_customers!B:B,raw_customers!C:C)</f>
        <v>F</v>
      </c>
      <c r="E543" t="str">
        <f>_xlfn.XLOOKUP(C543,raw_customers!B:B,raw_customers!G:G)</f>
        <v>Retail</v>
      </c>
      <c r="F543" t="str">
        <f>_xlfn.XLOOKUP(_xlfn.XLOOKUP(B543,raw_customers!A:A,raw_customers!F:F),raw_branches!A:A,raw_branches!B:B)</f>
        <v>Baku Yasamal</v>
      </c>
      <c r="G543" s="7">
        <v>13469.08</v>
      </c>
      <c r="H543" s="6">
        <v>9.42</v>
      </c>
      <c r="I543" t="s">
        <v>2377</v>
      </c>
      <c r="J543" t="str">
        <f t="shared" si="8"/>
        <v>Aşağı Risk</v>
      </c>
    </row>
    <row r="544" spans="1:10">
      <c r="A544">
        <v>418</v>
      </c>
      <c r="B544">
        <v>92</v>
      </c>
      <c r="C544" t="str">
        <f>_xlfn.XLOOKUP(B544,raw_customers!A:A,raw_customers!B:B)</f>
        <v>Fərid Rzayev</v>
      </c>
      <c r="D544" t="str">
        <f>_xlfn.XLOOKUP(C544,raw_customers!B:B,raw_customers!C:C)</f>
        <v>M</v>
      </c>
      <c r="E544" t="str">
        <f>_xlfn.XLOOKUP(C544,raw_customers!B:B,raw_customers!G:G)</f>
        <v>Retail</v>
      </c>
      <c r="F544" t="str">
        <f>_xlfn.XLOOKUP(_xlfn.XLOOKUP(B544,raw_customers!A:A,raw_customers!F:F),raw_branches!A:A,raw_branches!B:B)</f>
        <v>Sumgait Branch</v>
      </c>
      <c r="G544" s="7">
        <v>6673.94</v>
      </c>
      <c r="H544" s="6">
        <v>18.41</v>
      </c>
      <c r="I544" t="s">
        <v>2377</v>
      </c>
      <c r="J544" t="str">
        <f t="shared" si="8"/>
        <v>Yüksək Risk</v>
      </c>
    </row>
    <row r="545" spans="1:10">
      <c r="A545">
        <v>419</v>
      </c>
      <c r="B545">
        <v>772</v>
      </c>
      <c r="C545" t="str">
        <f>_xlfn.XLOOKUP(B545,raw_customers!A:A,raw_customers!B:B)</f>
        <v>Kamran Tağıyev</v>
      </c>
      <c r="D545" t="str">
        <f>_xlfn.XLOOKUP(C545,raw_customers!B:B,raw_customers!C:C)</f>
        <v>M</v>
      </c>
      <c r="E545" t="str">
        <f>_xlfn.XLOOKUP(C545,raw_customers!B:B,raw_customers!G:G)</f>
        <v>Retail</v>
      </c>
      <c r="F545" t="str">
        <f>_xlfn.XLOOKUP(_xlfn.XLOOKUP(B545,raw_customers!A:A,raw_customers!F:F),raw_branches!A:A,raw_branches!B:B)</f>
        <v>Baku Yasamal</v>
      </c>
      <c r="G545" s="7">
        <v>3552.66</v>
      </c>
      <c r="H545" s="6">
        <v>18.43</v>
      </c>
      <c r="I545" t="s">
        <v>2383</v>
      </c>
      <c r="J545" t="str">
        <f t="shared" si="8"/>
        <v>Yüksək Risk</v>
      </c>
    </row>
    <row r="546" spans="1:10">
      <c r="A546">
        <v>420</v>
      </c>
      <c r="B546">
        <v>18</v>
      </c>
      <c r="C546" t="str">
        <f>_xlfn.XLOOKUP(B546,raw_customers!A:A,raw_customers!B:B)</f>
        <v>Aynur Kərimov</v>
      </c>
      <c r="D546" t="str">
        <f>_xlfn.XLOOKUP(C546,raw_customers!B:B,raw_customers!C:C)</f>
        <v>F</v>
      </c>
      <c r="E546" t="str">
        <f>_xlfn.XLOOKUP(C546,raw_customers!B:B,raw_customers!G:G)</f>
        <v>Retail</v>
      </c>
      <c r="F546" t="str">
        <f>_xlfn.XLOOKUP(_xlfn.XLOOKUP(B546,raw_customers!A:A,raw_customers!F:F),raw_branches!A:A,raw_branches!B:B)</f>
        <v>Sheki Branch</v>
      </c>
      <c r="G546" s="2">
        <v>9555</v>
      </c>
      <c r="H546" s="6">
        <v>8.94</v>
      </c>
      <c r="I546" t="s">
        <v>2383</v>
      </c>
      <c r="J546" t="str">
        <f t="shared" si="8"/>
        <v>Aşağı Risk</v>
      </c>
    </row>
    <row r="547" spans="1:10">
      <c r="A547">
        <v>421</v>
      </c>
      <c r="B547">
        <v>390</v>
      </c>
      <c r="C547" t="str">
        <f>_xlfn.XLOOKUP(B547,raw_customers!A:A,raw_customers!B:B)</f>
        <v>Ülviyyə Tağıyev</v>
      </c>
      <c r="D547" t="str">
        <f>_xlfn.XLOOKUP(C547,raw_customers!B:B,raw_customers!C:C)</f>
        <v>F</v>
      </c>
      <c r="E547" t="str">
        <f>_xlfn.XLOOKUP(C547,raw_customers!B:B,raw_customers!G:G)</f>
        <v>Retail</v>
      </c>
      <c r="F547" t="str">
        <f>_xlfn.XLOOKUP(_xlfn.XLOOKUP(B547,raw_customers!A:A,raw_customers!F:F),raw_branches!A:A,raw_branches!B:B)</f>
        <v>Sumgait Branch</v>
      </c>
      <c r="G547" s="7">
        <v>27832.25</v>
      </c>
      <c r="H547" s="6">
        <v>13.56</v>
      </c>
      <c r="I547" t="s">
        <v>2377</v>
      </c>
      <c r="J547" t="str">
        <f t="shared" si="8"/>
        <v>Orta Risk</v>
      </c>
    </row>
    <row r="548" spans="1:10">
      <c r="A548">
        <v>422</v>
      </c>
      <c r="B548">
        <v>776</v>
      </c>
      <c r="C548" t="str">
        <f>_xlfn.XLOOKUP(B548,raw_customers!A:A,raw_customers!B:B)</f>
        <v>Türkan İsmayılov</v>
      </c>
      <c r="D548" t="str">
        <f>_xlfn.XLOOKUP(C548,raw_customers!B:B,raw_customers!C:C)</f>
        <v>F</v>
      </c>
      <c r="E548" t="str">
        <f>_xlfn.XLOOKUP(C548,raw_customers!B:B,raw_customers!G:G)</f>
        <v>SME</v>
      </c>
      <c r="F548" t="str">
        <f>_xlfn.XLOOKUP(_xlfn.XLOOKUP(B548,raw_customers!A:A,raw_customers!F:F),raw_branches!A:A,raw_branches!B:B)</f>
        <v>Ganja Branch</v>
      </c>
      <c r="G548" s="7">
        <v>51115.16</v>
      </c>
      <c r="H548" s="6">
        <v>19.03</v>
      </c>
      <c r="I548" t="s">
        <v>2377</v>
      </c>
      <c r="J548" t="str">
        <f t="shared" si="8"/>
        <v>Yüksək Risk</v>
      </c>
    </row>
    <row r="549" spans="1:10">
      <c r="A549">
        <v>423</v>
      </c>
      <c r="B549">
        <v>224</v>
      </c>
      <c r="C549" t="str">
        <f>_xlfn.XLOOKUP(B549,raw_customers!A:A,raw_customers!B:B)</f>
        <v>Fidan Vəliyev</v>
      </c>
      <c r="D549" t="str">
        <f>_xlfn.XLOOKUP(C549,raw_customers!B:B,raw_customers!C:C)</f>
        <v>F</v>
      </c>
      <c r="E549" t="str">
        <f>_xlfn.XLOOKUP(C549,raw_customers!B:B,raw_customers!G:G)</f>
        <v>SME</v>
      </c>
      <c r="F549" t="str">
        <f>_xlfn.XLOOKUP(_xlfn.XLOOKUP(B549,raw_customers!A:A,raw_customers!F:F),raw_branches!A:A,raw_branches!B:B)</f>
        <v>Baku Central</v>
      </c>
      <c r="G549" s="7">
        <v>61858.27</v>
      </c>
      <c r="H549" s="6">
        <v>21.28</v>
      </c>
      <c r="I549" t="s">
        <v>2377</v>
      </c>
      <c r="J549" t="str">
        <f t="shared" si="8"/>
        <v>Yüksək Risk</v>
      </c>
    </row>
    <row r="550" spans="1:10">
      <c r="A550">
        <v>424</v>
      </c>
      <c r="B550">
        <v>840</v>
      </c>
      <c r="C550" t="str">
        <f>_xlfn.XLOOKUP(B550,raw_customers!A:A,raw_customers!B:B)</f>
        <v>Ceyhun Bağırov</v>
      </c>
      <c r="D550" t="str">
        <f>_xlfn.XLOOKUP(C550,raw_customers!B:B,raw_customers!C:C)</f>
        <v>M</v>
      </c>
      <c r="E550" t="str">
        <f>_xlfn.XLOOKUP(C550,raw_customers!B:B,raw_customers!G:G)</f>
        <v>Retail</v>
      </c>
      <c r="F550" t="str">
        <f>_xlfn.XLOOKUP(_xlfn.XLOOKUP(B550,raw_customers!A:A,raw_customers!F:F),raw_branches!A:A,raw_branches!B:B)</f>
        <v>Ganja Branch</v>
      </c>
      <c r="G550" s="7">
        <v>63694.48</v>
      </c>
      <c r="H550" s="6">
        <v>14.41</v>
      </c>
      <c r="I550" t="s">
        <v>2377</v>
      </c>
      <c r="J550" t="str">
        <f t="shared" si="8"/>
        <v>Orta Risk</v>
      </c>
    </row>
    <row r="551" spans="1:10">
      <c r="A551">
        <v>425</v>
      </c>
      <c r="B551">
        <v>210</v>
      </c>
      <c r="C551" t="str">
        <f>_xlfn.XLOOKUP(B551,raw_customers!A:A,raw_customers!B:B)</f>
        <v>Fuad Musayev</v>
      </c>
      <c r="D551" t="str">
        <f>_xlfn.XLOOKUP(C551,raw_customers!B:B,raw_customers!C:C)</f>
        <v>M</v>
      </c>
      <c r="E551" t="str">
        <f>_xlfn.XLOOKUP(C551,raw_customers!B:B,raw_customers!G:G)</f>
        <v>Premium</v>
      </c>
      <c r="F551" t="str">
        <f>_xlfn.XLOOKUP(_xlfn.XLOOKUP(B551,raw_customers!A:A,raw_customers!F:F),raw_branches!A:A,raw_branches!B:B)</f>
        <v>Mingachevir Branch</v>
      </c>
      <c r="G551" s="7">
        <v>134340.78</v>
      </c>
      <c r="H551" s="6">
        <v>7.4</v>
      </c>
      <c r="I551" t="s">
        <v>2377</v>
      </c>
      <c r="J551" t="str">
        <f t="shared" si="8"/>
        <v>Aşağı Risk</v>
      </c>
    </row>
    <row r="552" spans="1:10">
      <c r="A552">
        <v>426</v>
      </c>
      <c r="B552">
        <v>779</v>
      </c>
      <c r="C552" t="str">
        <f>_xlfn.XLOOKUP(B552,raw_customers!A:A,raw_customers!B:B)</f>
        <v>Mehriban Bağırov</v>
      </c>
      <c r="D552" t="str">
        <f>_xlfn.XLOOKUP(C552,raw_customers!B:B,raw_customers!C:C)</f>
        <v>F</v>
      </c>
      <c r="E552" t="str">
        <f>_xlfn.XLOOKUP(C552,raw_customers!B:B,raw_customers!G:G)</f>
        <v>SME</v>
      </c>
      <c r="F552" t="str">
        <f>_xlfn.XLOOKUP(_xlfn.XLOOKUP(B552,raw_customers!A:A,raw_customers!F:F),raw_branches!A:A,raw_branches!B:B)</f>
        <v>Lankaran Branch</v>
      </c>
      <c r="G552" s="7">
        <v>71980.51</v>
      </c>
      <c r="H552" s="6">
        <v>6.93</v>
      </c>
      <c r="I552" t="s">
        <v>2377</v>
      </c>
      <c r="J552" t="str">
        <f t="shared" si="8"/>
        <v>Aşağı Risk</v>
      </c>
    </row>
    <row r="553" spans="1:10">
      <c r="A553">
        <v>427</v>
      </c>
      <c r="B553">
        <v>529</v>
      </c>
      <c r="C553" t="str">
        <f>_xlfn.XLOOKUP(B553,raw_customers!A:A,raw_customers!B:B)</f>
        <v>Emin Hüseynov</v>
      </c>
      <c r="D553" t="str">
        <f>_xlfn.XLOOKUP(C553,raw_customers!B:B,raw_customers!C:C)</f>
        <v>M</v>
      </c>
      <c r="E553" t="str">
        <f>_xlfn.XLOOKUP(C553,raw_customers!B:B,raw_customers!G:G)</f>
        <v>SME</v>
      </c>
      <c r="F553" t="str">
        <f>_xlfn.XLOOKUP(_xlfn.XLOOKUP(B553,raw_customers!A:A,raw_customers!F:F),raw_branches!A:A,raw_branches!B:B)</f>
        <v>Mingachevir Branch</v>
      </c>
      <c r="G553" s="7">
        <v>5585.34</v>
      </c>
      <c r="H553" s="6">
        <v>6.43</v>
      </c>
      <c r="I553" t="s">
        <v>2393</v>
      </c>
      <c r="J553" t="str">
        <f t="shared" si="8"/>
        <v>Default (Batıq)</v>
      </c>
    </row>
    <row r="554" spans="1:10">
      <c r="A554">
        <v>428</v>
      </c>
      <c r="B554">
        <v>33</v>
      </c>
      <c r="C554" t="str">
        <f>_xlfn.XLOOKUP(B554,raw_customers!A:A,raw_customers!B:B)</f>
        <v>Türkan Tağıyev</v>
      </c>
      <c r="D554" t="str">
        <f>_xlfn.XLOOKUP(C554,raw_customers!B:B,raw_customers!C:C)</f>
        <v>F</v>
      </c>
      <c r="E554" t="str">
        <f>_xlfn.XLOOKUP(C554,raw_customers!B:B,raw_customers!G:G)</f>
        <v>Retail</v>
      </c>
      <c r="F554" t="str">
        <f>_xlfn.XLOOKUP(_xlfn.XLOOKUP(B554,raw_customers!A:A,raw_customers!F:F),raw_branches!A:A,raw_branches!B:B)</f>
        <v>Sumgait Branch</v>
      </c>
      <c r="G554" s="7">
        <v>95295.96</v>
      </c>
      <c r="H554" s="6">
        <v>8.26</v>
      </c>
      <c r="I554" t="s">
        <v>2383</v>
      </c>
      <c r="J554" t="str">
        <f t="shared" si="8"/>
        <v>Aşağı Risk</v>
      </c>
    </row>
    <row r="555" spans="1:10">
      <c r="A555">
        <v>429</v>
      </c>
      <c r="B555">
        <v>887</v>
      </c>
      <c r="C555" t="str">
        <f>_xlfn.XLOOKUP(B555,raw_customers!A:A,raw_customers!B:B)</f>
        <v>Aysel Həsənov</v>
      </c>
      <c r="D555" t="str">
        <f>_xlfn.XLOOKUP(C555,raw_customers!B:B,raw_customers!C:C)</f>
        <v>F</v>
      </c>
      <c r="E555" t="str">
        <f>_xlfn.XLOOKUP(C555,raw_customers!B:B,raw_customers!G:G)</f>
        <v>Retail</v>
      </c>
      <c r="F555" t="str">
        <f>_xlfn.XLOOKUP(_xlfn.XLOOKUP(B555,raw_customers!A:A,raw_customers!F:F),raw_branches!A:A,raw_branches!B:B)</f>
        <v>Lankaran Branch</v>
      </c>
      <c r="G555" s="7">
        <v>194961.19</v>
      </c>
      <c r="H555" s="6">
        <v>11.57</v>
      </c>
      <c r="I555" t="s">
        <v>2383</v>
      </c>
      <c r="J555" t="str">
        <f t="shared" si="8"/>
        <v>Aşağı Risk</v>
      </c>
    </row>
    <row r="556" spans="1:10">
      <c r="A556">
        <v>430</v>
      </c>
      <c r="B556">
        <v>835</v>
      </c>
      <c r="C556" t="str">
        <f>_xlfn.XLOOKUP(B556,raw_customers!A:A,raw_customers!B:B)</f>
        <v>Zaur Bağırov</v>
      </c>
      <c r="D556" t="str">
        <f>_xlfn.XLOOKUP(C556,raw_customers!B:B,raw_customers!C:C)</f>
        <v>M</v>
      </c>
      <c r="E556" t="str">
        <f>_xlfn.XLOOKUP(C556,raw_customers!B:B,raw_customers!G:G)</f>
        <v>Retail</v>
      </c>
      <c r="F556" t="str">
        <f>_xlfn.XLOOKUP(_xlfn.XLOOKUP(B556,raw_customers!A:A,raw_customers!F:F),raw_branches!A:A,raw_branches!B:B)</f>
        <v>Mingachevir Branch</v>
      </c>
      <c r="G556" s="7">
        <v>31090.94</v>
      </c>
      <c r="H556" s="6">
        <v>8.55</v>
      </c>
      <c r="I556" t="s">
        <v>2377</v>
      </c>
      <c r="J556" t="str">
        <f t="shared" si="8"/>
        <v>Aşağı Risk</v>
      </c>
    </row>
    <row r="557" spans="1:10">
      <c r="A557">
        <v>431</v>
      </c>
      <c r="B557">
        <v>638</v>
      </c>
      <c r="C557" t="str">
        <f>_xlfn.XLOOKUP(B557,raw_customers!A:A,raw_customers!B:B)</f>
        <v>Nərmin Tağıyev</v>
      </c>
      <c r="D557" t="str">
        <f>_xlfn.XLOOKUP(C557,raw_customers!B:B,raw_customers!C:C)</f>
        <v>F</v>
      </c>
      <c r="E557" t="str">
        <f>_xlfn.XLOOKUP(C557,raw_customers!B:B,raw_customers!G:G)</f>
        <v>SME</v>
      </c>
      <c r="F557" t="str">
        <f>_xlfn.XLOOKUP(_xlfn.XLOOKUP(B557,raw_customers!A:A,raw_customers!F:F),raw_branches!A:A,raw_branches!B:B)</f>
        <v>Baku Yasamal</v>
      </c>
      <c r="G557" s="7">
        <v>1607.28</v>
      </c>
      <c r="H557" s="6">
        <v>10.01</v>
      </c>
      <c r="I557" t="s">
        <v>2377</v>
      </c>
      <c r="J557" t="str">
        <f t="shared" si="8"/>
        <v>Aşağı Risk</v>
      </c>
    </row>
    <row r="558" spans="1:10">
      <c r="A558">
        <v>432</v>
      </c>
      <c r="B558">
        <v>913</v>
      </c>
      <c r="C558" t="str">
        <f>_xlfn.XLOOKUP(B558,raw_customers!A:A,raw_customers!B:B)</f>
        <v>Fuad Nəbiyev</v>
      </c>
      <c r="D558" t="str">
        <f>_xlfn.XLOOKUP(C558,raw_customers!B:B,raw_customers!C:C)</f>
        <v>M</v>
      </c>
      <c r="E558" t="str">
        <f>_xlfn.XLOOKUP(C558,raw_customers!B:B,raw_customers!G:G)</f>
        <v>Retail</v>
      </c>
      <c r="F558" t="str">
        <f>_xlfn.XLOOKUP(_xlfn.XLOOKUP(B558,raw_customers!A:A,raw_customers!F:F),raw_branches!A:A,raw_branches!B:B)</f>
        <v>Sumgait Branch</v>
      </c>
      <c r="G558" s="7">
        <v>4710.18</v>
      </c>
      <c r="H558" s="6">
        <v>9.33</v>
      </c>
      <c r="I558" t="s">
        <v>2377</v>
      </c>
      <c r="J558" t="str">
        <f t="shared" si="8"/>
        <v>Aşağı Risk</v>
      </c>
    </row>
    <row r="559" spans="1:10">
      <c r="A559">
        <v>433</v>
      </c>
      <c r="B559">
        <v>329</v>
      </c>
      <c r="C559" t="str">
        <f>_xlfn.XLOOKUP(B559,raw_customers!A:A,raw_customers!B:B)</f>
        <v>Zeynəb Məmmədov</v>
      </c>
      <c r="D559" t="str">
        <f>_xlfn.XLOOKUP(C559,raw_customers!B:B,raw_customers!C:C)</f>
        <v>F</v>
      </c>
      <c r="E559" t="str">
        <f>_xlfn.XLOOKUP(C559,raw_customers!B:B,raw_customers!G:G)</f>
        <v>Premium</v>
      </c>
      <c r="F559" t="str">
        <f>_xlfn.XLOOKUP(_xlfn.XLOOKUP(B559,raw_customers!A:A,raw_customers!F:F),raw_branches!A:A,raw_branches!B:B)</f>
        <v>Mingachevir Branch</v>
      </c>
      <c r="G559" s="7">
        <v>115608.51</v>
      </c>
      <c r="H559" s="6">
        <v>15.33</v>
      </c>
      <c r="I559" t="s">
        <v>2393</v>
      </c>
      <c r="J559" t="str">
        <f t="shared" si="8"/>
        <v>Default (Batıq)</v>
      </c>
    </row>
    <row r="560" spans="1:10">
      <c r="A560">
        <v>434</v>
      </c>
      <c r="B560">
        <v>250</v>
      </c>
      <c r="C560" t="str">
        <f>_xlfn.XLOOKUP(B560,raw_customers!A:A,raw_customers!B:B)</f>
        <v>Xəyalə Sadıqov</v>
      </c>
      <c r="D560" t="str">
        <f>_xlfn.XLOOKUP(C560,raw_customers!B:B,raw_customers!C:C)</f>
        <v>F</v>
      </c>
      <c r="E560" t="str">
        <f>_xlfn.XLOOKUP(C560,raw_customers!B:B,raw_customers!G:G)</f>
        <v>SME</v>
      </c>
      <c r="F560" t="str">
        <f>_xlfn.XLOOKUP(_xlfn.XLOOKUP(B560,raw_customers!A:A,raw_customers!F:F),raw_branches!A:A,raw_branches!B:B)</f>
        <v>Baku Yasamal</v>
      </c>
      <c r="G560" s="7">
        <v>89742.01</v>
      </c>
      <c r="H560" s="6">
        <v>10.97</v>
      </c>
      <c r="I560" t="s">
        <v>2377</v>
      </c>
      <c r="J560" t="str">
        <f t="shared" si="8"/>
        <v>Aşağı Risk</v>
      </c>
    </row>
    <row r="561" spans="1:10">
      <c r="A561">
        <v>435</v>
      </c>
      <c r="B561">
        <v>150</v>
      </c>
      <c r="C561" t="str">
        <f>_xlfn.XLOOKUP(B561,raw_customers!A:A,raw_customers!B:B)</f>
        <v>Orxan Kərimov</v>
      </c>
      <c r="D561" t="str">
        <f>_xlfn.XLOOKUP(C561,raw_customers!B:B,raw_customers!C:C)</f>
        <v>M</v>
      </c>
      <c r="E561" t="str">
        <f>_xlfn.XLOOKUP(C561,raw_customers!B:B,raw_customers!G:G)</f>
        <v>Premium</v>
      </c>
      <c r="F561" t="str">
        <f>_xlfn.XLOOKUP(_xlfn.XLOOKUP(B561,raw_customers!A:A,raw_customers!F:F),raw_branches!A:A,raw_branches!B:B)</f>
        <v>Baku Yasamal</v>
      </c>
      <c r="G561" s="7">
        <v>6170.29</v>
      </c>
      <c r="H561" s="6">
        <v>11.66</v>
      </c>
      <c r="I561" t="s">
        <v>2377</v>
      </c>
      <c r="J561" t="str">
        <f t="shared" si="8"/>
        <v>Aşağı Risk</v>
      </c>
    </row>
    <row r="562" spans="1:10">
      <c r="A562">
        <v>436</v>
      </c>
      <c r="B562">
        <v>104</v>
      </c>
      <c r="C562" t="str">
        <f>_xlfn.XLOOKUP(B562,raw_customers!A:A,raw_customers!B:B)</f>
        <v>Toğrul Quliyev</v>
      </c>
      <c r="D562" t="str">
        <f>_xlfn.XLOOKUP(C562,raw_customers!B:B,raw_customers!C:C)</f>
        <v>M</v>
      </c>
      <c r="E562" t="str">
        <f>_xlfn.XLOOKUP(C562,raw_customers!B:B,raw_customers!G:G)</f>
        <v>Retail</v>
      </c>
      <c r="F562" t="str">
        <f>_xlfn.XLOOKUP(_xlfn.XLOOKUP(B562,raw_customers!A:A,raw_customers!F:F),raw_branches!A:A,raw_branches!B:B)</f>
        <v>Ganja Branch</v>
      </c>
      <c r="G562" s="7">
        <v>13608.15</v>
      </c>
      <c r="H562" s="6">
        <v>19.35</v>
      </c>
      <c r="I562" t="s">
        <v>2377</v>
      </c>
      <c r="J562" t="str">
        <f t="shared" si="8"/>
        <v>Yüksək Risk</v>
      </c>
    </row>
    <row r="563" spans="1:10">
      <c r="A563">
        <v>437</v>
      </c>
      <c r="B563">
        <v>835</v>
      </c>
      <c r="C563" t="str">
        <f>_xlfn.XLOOKUP(B563,raw_customers!A:A,raw_customers!B:B)</f>
        <v>Zaur Bağırov</v>
      </c>
      <c r="D563" t="str">
        <f>_xlfn.XLOOKUP(C563,raw_customers!B:B,raw_customers!C:C)</f>
        <v>M</v>
      </c>
      <c r="E563" t="str">
        <f>_xlfn.XLOOKUP(C563,raw_customers!B:B,raw_customers!G:G)</f>
        <v>Retail</v>
      </c>
      <c r="F563" t="str">
        <f>_xlfn.XLOOKUP(_xlfn.XLOOKUP(B563,raw_customers!A:A,raw_customers!F:F),raw_branches!A:A,raw_branches!B:B)</f>
        <v>Mingachevir Branch</v>
      </c>
      <c r="G563" s="7">
        <v>112112.83</v>
      </c>
      <c r="H563" s="6">
        <v>7.87</v>
      </c>
      <c r="I563" t="s">
        <v>2383</v>
      </c>
      <c r="J563" t="str">
        <f t="shared" si="8"/>
        <v>Aşağı Risk</v>
      </c>
    </row>
    <row r="564" spans="1:10">
      <c r="A564">
        <v>438</v>
      </c>
      <c r="B564">
        <v>115</v>
      </c>
      <c r="C564" t="str">
        <f>_xlfn.XLOOKUP(B564,raw_customers!A:A,raw_customers!B:B)</f>
        <v>Kənan Orucov</v>
      </c>
      <c r="D564" t="str">
        <f>_xlfn.XLOOKUP(C564,raw_customers!B:B,raw_customers!C:C)</f>
        <v>M</v>
      </c>
      <c r="E564" t="str">
        <f>_xlfn.XLOOKUP(C564,raw_customers!B:B,raw_customers!G:G)</f>
        <v>Retail</v>
      </c>
      <c r="F564" t="str">
        <f>_xlfn.XLOOKUP(_xlfn.XLOOKUP(B564,raw_customers!A:A,raw_customers!F:F),raw_branches!A:A,raw_branches!B:B)</f>
        <v>Baku Central</v>
      </c>
      <c r="G564" s="7">
        <v>4468.87</v>
      </c>
      <c r="H564" s="6">
        <v>5.62</v>
      </c>
      <c r="I564" t="s">
        <v>2377</v>
      </c>
      <c r="J564" t="str">
        <f t="shared" si="8"/>
        <v>Aşağı Risk</v>
      </c>
    </row>
    <row r="565" spans="1:10">
      <c r="A565">
        <v>439</v>
      </c>
      <c r="B565">
        <v>62</v>
      </c>
      <c r="C565" t="str">
        <f>_xlfn.XLOOKUP(B565,raw_customers!A:A,raw_customers!B:B)</f>
        <v>Samir Musayev</v>
      </c>
      <c r="D565" t="str">
        <f>_xlfn.XLOOKUP(C565,raw_customers!B:B,raw_customers!C:C)</f>
        <v>M</v>
      </c>
      <c r="E565" t="str">
        <f>_xlfn.XLOOKUP(C565,raw_customers!B:B,raw_customers!G:G)</f>
        <v>Premium</v>
      </c>
      <c r="F565" t="str">
        <f>_xlfn.XLOOKUP(_xlfn.XLOOKUP(B565,raw_customers!A:A,raw_customers!F:F),raw_branches!A:A,raw_branches!B:B)</f>
        <v>Baku Yasamal</v>
      </c>
      <c r="G565" s="7">
        <v>880.47</v>
      </c>
      <c r="H565" s="6">
        <v>15.99</v>
      </c>
      <c r="I565" t="s">
        <v>2383</v>
      </c>
      <c r="J565" t="str">
        <f t="shared" si="8"/>
        <v>Orta Risk</v>
      </c>
    </row>
    <row r="566" spans="1:10">
      <c r="A566">
        <v>440</v>
      </c>
      <c r="B566">
        <v>465</v>
      </c>
      <c r="C566" t="str">
        <f>_xlfn.XLOOKUP(B566,raw_customers!A:A,raw_customers!B:B)</f>
        <v>Vəfa Musayev</v>
      </c>
      <c r="D566" t="str">
        <f>_xlfn.XLOOKUP(C566,raw_customers!B:B,raw_customers!C:C)</f>
        <v>F</v>
      </c>
      <c r="E566" t="str">
        <f>_xlfn.XLOOKUP(C566,raw_customers!B:B,raw_customers!G:G)</f>
        <v>Retail</v>
      </c>
      <c r="F566" t="str">
        <f>_xlfn.XLOOKUP(_xlfn.XLOOKUP(B566,raw_customers!A:A,raw_customers!F:F),raw_branches!A:A,raw_branches!B:B)</f>
        <v>Lankaran Branch</v>
      </c>
      <c r="G566" s="7">
        <v>24720.94</v>
      </c>
      <c r="H566" s="6">
        <v>7.39</v>
      </c>
      <c r="I566" t="s">
        <v>2377</v>
      </c>
      <c r="J566" t="str">
        <f t="shared" si="8"/>
        <v>Aşağı Risk</v>
      </c>
    </row>
    <row r="567" spans="1:10">
      <c r="A567">
        <v>441</v>
      </c>
      <c r="B567">
        <v>807</v>
      </c>
      <c r="C567" t="str">
        <f>_xlfn.XLOOKUP(B567,raw_customers!A:A,raw_customers!B:B)</f>
        <v>Emin Sadıqov</v>
      </c>
      <c r="D567" t="str">
        <f>_xlfn.XLOOKUP(C567,raw_customers!B:B,raw_customers!C:C)</f>
        <v>M</v>
      </c>
      <c r="E567" t="str">
        <f>_xlfn.XLOOKUP(C567,raw_customers!B:B,raw_customers!G:G)</f>
        <v>Retail</v>
      </c>
      <c r="F567" t="str">
        <f>_xlfn.XLOOKUP(_xlfn.XLOOKUP(B567,raw_customers!A:A,raw_customers!F:F),raw_branches!A:A,raw_branches!B:B)</f>
        <v>Sumgait Branch</v>
      </c>
      <c r="G567" s="7">
        <v>137823.71</v>
      </c>
      <c r="H567" s="6">
        <v>20.72</v>
      </c>
      <c r="I567" t="s">
        <v>2393</v>
      </c>
      <c r="J567" t="str">
        <f t="shared" si="8"/>
        <v>Default (Batıq)</v>
      </c>
    </row>
    <row r="568" spans="1:10">
      <c r="A568">
        <v>442</v>
      </c>
      <c r="B568">
        <v>935</v>
      </c>
      <c r="C568" t="str">
        <f>_xlfn.XLOOKUP(B568,raw_customers!A:A,raw_customers!B:B)</f>
        <v>Rüfət Sadıqov</v>
      </c>
      <c r="D568" t="str">
        <f>_xlfn.XLOOKUP(C568,raw_customers!B:B,raw_customers!C:C)</f>
        <v>M</v>
      </c>
      <c r="E568" t="str">
        <f>_xlfn.XLOOKUP(C568,raw_customers!B:B,raw_customers!G:G)</f>
        <v>SME</v>
      </c>
      <c r="F568" t="str">
        <f>_xlfn.XLOOKUP(_xlfn.XLOOKUP(B568,raw_customers!A:A,raw_customers!F:F),raw_branches!A:A,raw_branches!B:B)</f>
        <v>Baku Central</v>
      </c>
      <c r="G568" s="7">
        <v>103464.02</v>
      </c>
      <c r="H568" s="6">
        <v>16.76</v>
      </c>
      <c r="I568" t="s">
        <v>2383</v>
      </c>
      <c r="J568" t="str">
        <f t="shared" si="8"/>
        <v>Orta Risk</v>
      </c>
    </row>
    <row r="569" spans="1:10">
      <c r="A569">
        <v>443</v>
      </c>
      <c r="B569">
        <v>958</v>
      </c>
      <c r="C569" t="str">
        <f>_xlfn.XLOOKUP(B569,raw_customers!A:A,raw_customers!B:B)</f>
        <v>Ceyhun Əzizov</v>
      </c>
      <c r="D569" t="str">
        <f>_xlfn.XLOOKUP(C569,raw_customers!B:B,raw_customers!C:C)</f>
        <v>M</v>
      </c>
      <c r="E569" t="str">
        <f>_xlfn.XLOOKUP(C569,raw_customers!B:B,raw_customers!G:G)</f>
        <v>Retail</v>
      </c>
      <c r="F569" t="str">
        <f>_xlfn.XLOOKUP(_xlfn.XLOOKUP(B569,raw_customers!A:A,raw_customers!F:F),raw_branches!A:A,raw_branches!B:B)</f>
        <v>Baku Central</v>
      </c>
      <c r="G569" s="7">
        <v>582.25</v>
      </c>
      <c r="H569" s="6">
        <v>21.31</v>
      </c>
      <c r="I569" t="s">
        <v>2393</v>
      </c>
      <c r="J569" t="str">
        <f t="shared" si="8"/>
        <v>Default (Batıq)</v>
      </c>
    </row>
    <row r="570" spans="1:10">
      <c r="A570">
        <v>444</v>
      </c>
      <c r="B570">
        <v>966</v>
      </c>
      <c r="C570" t="str">
        <f>_xlfn.XLOOKUP(B570,raw_customers!A:A,raw_customers!B:B)</f>
        <v>Səbinə Orucov</v>
      </c>
      <c r="D570" t="str">
        <f>_xlfn.XLOOKUP(C570,raw_customers!B:B,raw_customers!C:C)</f>
        <v>F</v>
      </c>
      <c r="E570" t="str">
        <f>_xlfn.XLOOKUP(C570,raw_customers!B:B,raw_customers!G:G)</f>
        <v>Retail</v>
      </c>
      <c r="F570" t="str">
        <f>_xlfn.XLOOKUP(_xlfn.XLOOKUP(B570,raw_customers!A:A,raw_customers!F:F),raw_branches!A:A,raw_branches!B:B)</f>
        <v>Baku Central</v>
      </c>
      <c r="G570" s="7">
        <v>103559.9</v>
      </c>
      <c r="H570" s="6">
        <v>19.44</v>
      </c>
      <c r="I570" t="s">
        <v>2377</v>
      </c>
      <c r="J570" t="str">
        <f t="shared" si="8"/>
        <v>Yüksək Risk</v>
      </c>
    </row>
    <row r="571" spans="1:10">
      <c r="A571">
        <v>445</v>
      </c>
      <c r="B571">
        <v>652</v>
      </c>
      <c r="C571" t="str">
        <f>_xlfn.XLOOKUP(B571,raw_customers!A:A,raw_customers!B:B)</f>
        <v>Lalə Quliyev</v>
      </c>
      <c r="D571" t="str">
        <f>_xlfn.XLOOKUP(C571,raw_customers!B:B,raw_customers!C:C)</f>
        <v>F</v>
      </c>
      <c r="E571" t="str">
        <f>_xlfn.XLOOKUP(C571,raw_customers!B:B,raw_customers!G:G)</f>
        <v>Retail</v>
      </c>
      <c r="F571" t="str">
        <f>_xlfn.XLOOKUP(_xlfn.XLOOKUP(B571,raw_customers!A:A,raw_customers!F:F),raw_branches!A:A,raw_branches!B:B)</f>
        <v>Ganja Branch</v>
      </c>
      <c r="G571" s="7">
        <v>125290.4</v>
      </c>
      <c r="H571" s="6">
        <v>16.13</v>
      </c>
      <c r="I571" t="s">
        <v>2377</v>
      </c>
      <c r="J571" t="str">
        <f t="shared" si="8"/>
        <v>Orta Risk</v>
      </c>
    </row>
    <row r="572" spans="1:10">
      <c r="A572">
        <v>446</v>
      </c>
      <c r="B572">
        <v>128</v>
      </c>
      <c r="C572" t="str">
        <f>_xlfn.XLOOKUP(B572,raw_customers!A:A,raw_customers!B:B)</f>
        <v>Nərmin Cəfərov</v>
      </c>
      <c r="D572" t="str">
        <f>_xlfn.XLOOKUP(C572,raw_customers!B:B,raw_customers!C:C)</f>
        <v>F</v>
      </c>
      <c r="E572" t="str">
        <f>_xlfn.XLOOKUP(C572,raw_customers!B:B,raw_customers!G:G)</f>
        <v>Retail</v>
      </c>
      <c r="F572" t="str">
        <f>_xlfn.XLOOKUP(_xlfn.XLOOKUP(B572,raw_customers!A:A,raw_customers!F:F),raw_branches!A:A,raw_branches!B:B)</f>
        <v>Baku Central</v>
      </c>
      <c r="G572" s="7">
        <v>19743.18</v>
      </c>
      <c r="H572" s="6">
        <v>11.46</v>
      </c>
      <c r="I572" t="s">
        <v>2383</v>
      </c>
      <c r="J572" t="str">
        <f t="shared" si="8"/>
        <v>Aşağı Risk</v>
      </c>
    </row>
    <row r="573" spans="1:10">
      <c r="A573">
        <v>447</v>
      </c>
      <c r="B573">
        <v>327</v>
      </c>
      <c r="C573" t="str">
        <f>_xlfn.XLOOKUP(B573,raw_customers!A:A,raw_customers!B:B)</f>
        <v>Sevinc Nəbiyev</v>
      </c>
      <c r="D573" t="str">
        <f>_xlfn.XLOOKUP(C573,raw_customers!B:B,raw_customers!C:C)</f>
        <v>F</v>
      </c>
      <c r="E573" t="str">
        <f>_xlfn.XLOOKUP(C573,raw_customers!B:B,raw_customers!G:G)</f>
        <v>SME</v>
      </c>
      <c r="F573" t="str">
        <f>_xlfn.XLOOKUP(_xlfn.XLOOKUP(B573,raw_customers!A:A,raw_customers!F:F),raw_branches!A:A,raw_branches!B:B)</f>
        <v>Baku Yasamal</v>
      </c>
      <c r="G573" s="7">
        <v>39109.22</v>
      </c>
      <c r="H573" s="6">
        <v>12.28</v>
      </c>
      <c r="I573" t="s">
        <v>2377</v>
      </c>
      <c r="J573" t="str">
        <f t="shared" si="8"/>
        <v>Orta Risk</v>
      </c>
    </row>
    <row r="574" spans="1:10">
      <c r="A574">
        <v>448</v>
      </c>
      <c r="B574">
        <v>839</v>
      </c>
      <c r="C574" t="str">
        <f>_xlfn.XLOOKUP(B574,raw_customers!A:A,raw_customers!B:B)</f>
        <v>Samir Kərimov</v>
      </c>
      <c r="D574" t="str">
        <f>_xlfn.XLOOKUP(C574,raw_customers!B:B,raw_customers!C:C)</f>
        <v>M</v>
      </c>
      <c r="E574" t="str">
        <f>_xlfn.XLOOKUP(C574,raw_customers!B:B,raw_customers!G:G)</f>
        <v>Retail</v>
      </c>
      <c r="F574" t="str">
        <f>_xlfn.XLOOKUP(_xlfn.XLOOKUP(B574,raw_customers!A:A,raw_customers!F:F),raw_branches!A:A,raw_branches!B:B)</f>
        <v>Sumgait Branch</v>
      </c>
      <c r="G574" s="7">
        <v>39479.64</v>
      </c>
      <c r="H574" s="6">
        <v>19.72</v>
      </c>
      <c r="I574" t="s">
        <v>2377</v>
      </c>
      <c r="J574" t="str">
        <f t="shared" si="8"/>
        <v>Yüksək Risk</v>
      </c>
    </row>
    <row r="575" spans="1:10">
      <c r="A575">
        <v>449</v>
      </c>
      <c r="B575">
        <v>568</v>
      </c>
      <c r="C575" t="str">
        <f>_xlfn.XLOOKUP(B575,raw_customers!A:A,raw_customers!B:B)</f>
        <v>Səbinə Orucov</v>
      </c>
      <c r="D575" t="str">
        <f>_xlfn.XLOOKUP(C575,raw_customers!B:B,raw_customers!C:C)</f>
        <v>F</v>
      </c>
      <c r="E575" t="str">
        <f>_xlfn.XLOOKUP(C575,raw_customers!B:B,raw_customers!G:G)</f>
        <v>Retail</v>
      </c>
      <c r="F575" t="str">
        <f>_xlfn.XLOOKUP(_xlfn.XLOOKUP(B575,raw_customers!A:A,raw_customers!F:F),raw_branches!A:A,raw_branches!B:B)</f>
        <v>Mingachevir Branch</v>
      </c>
      <c r="G575" s="7">
        <v>197270.93</v>
      </c>
      <c r="H575" s="6">
        <v>5.67</v>
      </c>
      <c r="I575" t="s">
        <v>2377</v>
      </c>
      <c r="J575" t="str">
        <f t="shared" si="8"/>
        <v>Aşağı Risk</v>
      </c>
    </row>
    <row r="576" spans="1:10">
      <c r="A576">
        <v>450</v>
      </c>
      <c r="B576">
        <v>270</v>
      </c>
      <c r="C576" t="str">
        <f>_xlfn.XLOOKUP(B576,raw_customers!A:A,raw_customers!B:B)</f>
        <v>Ramin Nəbiyev</v>
      </c>
      <c r="D576" t="str">
        <f>_xlfn.XLOOKUP(C576,raw_customers!B:B,raw_customers!C:C)</f>
        <v>M</v>
      </c>
      <c r="E576" t="str">
        <f>_xlfn.XLOOKUP(C576,raw_customers!B:B,raw_customers!G:G)</f>
        <v>Premium</v>
      </c>
      <c r="F576" t="str">
        <f>_xlfn.XLOOKUP(_xlfn.XLOOKUP(B576,raw_customers!A:A,raw_customers!F:F),raw_branches!A:A,raw_branches!B:B)</f>
        <v>Lankaran Branch</v>
      </c>
      <c r="G576" s="7">
        <v>76585.92</v>
      </c>
      <c r="H576" s="6">
        <v>20.75</v>
      </c>
      <c r="I576" t="s">
        <v>2377</v>
      </c>
      <c r="J576" t="str">
        <f t="shared" si="8"/>
        <v>Yüksək Risk</v>
      </c>
    </row>
    <row r="577" spans="1:10">
      <c r="A577">
        <v>451</v>
      </c>
      <c r="B577">
        <v>330</v>
      </c>
      <c r="C577" t="str">
        <f>_xlfn.XLOOKUP(B577,raw_customers!A:A,raw_customers!B:B)</f>
        <v>Orxan Tağıyev</v>
      </c>
      <c r="D577" t="str">
        <f>_xlfn.XLOOKUP(C577,raw_customers!B:B,raw_customers!C:C)</f>
        <v>M</v>
      </c>
      <c r="E577" t="str">
        <f>_xlfn.XLOOKUP(C577,raw_customers!B:B,raw_customers!G:G)</f>
        <v>Retail</v>
      </c>
      <c r="F577" t="str">
        <f>_xlfn.XLOOKUP(_xlfn.XLOOKUP(B577,raw_customers!A:A,raw_customers!F:F),raw_branches!A:A,raw_branches!B:B)</f>
        <v>Lankaran Branch</v>
      </c>
      <c r="G577" s="7">
        <v>3135.21</v>
      </c>
      <c r="H577" s="6">
        <v>16.25</v>
      </c>
      <c r="I577" t="s">
        <v>2377</v>
      </c>
      <c r="J577" t="str">
        <f t="shared" si="8"/>
        <v>Orta Risk</v>
      </c>
    </row>
    <row r="578" spans="1:10">
      <c r="A578">
        <v>452</v>
      </c>
      <c r="B578">
        <v>486</v>
      </c>
      <c r="C578" t="str">
        <f>_xlfn.XLOOKUP(B578,raw_customers!A:A,raw_customers!B:B)</f>
        <v>Leyla Əzizov</v>
      </c>
      <c r="D578" t="str">
        <f>_xlfn.XLOOKUP(C578,raw_customers!B:B,raw_customers!C:C)</f>
        <v>F</v>
      </c>
      <c r="E578" t="str">
        <f>_xlfn.XLOOKUP(C578,raw_customers!B:B,raw_customers!G:G)</f>
        <v>Retail</v>
      </c>
      <c r="F578" t="str">
        <f>_xlfn.XLOOKUP(_xlfn.XLOOKUP(B578,raw_customers!A:A,raw_customers!F:F),raw_branches!A:A,raw_branches!B:B)</f>
        <v>Ganja Branch</v>
      </c>
      <c r="G578" s="7">
        <v>87710.73</v>
      </c>
      <c r="H578" s="6">
        <v>13.54</v>
      </c>
      <c r="I578" t="s">
        <v>2377</v>
      </c>
      <c r="J578" t="str">
        <f t="shared" si="8"/>
        <v>Orta Risk</v>
      </c>
    </row>
    <row r="579" spans="1:10">
      <c r="A579">
        <v>453</v>
      </c>
      <c r="B579">
        <v>281</v>
      </c>
      <c r="C579" t="str">
        <f>_xlfn.XLOOKUP(B579,raw_customers!A:A,raw_customers!B:B)</f>
        <v>Kənan Rzayev</v>
      </c>
      <c r="D579" t="str">
        <f>_xlfn.XLOOKUP(C579,raw_customers!B:B,raw_customers!C:C)</f>
        <v>M</v>
      </c>
      <c r="E579" t="str">
        <f>_xlfn.XLOOKUP(C579,raw_customers!B:B,raw_customers!G:G)</f>
        <v>SME</v>
      </c>
      <c r="F579" t="str">
        <f>_xlfn.XLOOKUP(_xlfn.XLOOKUP(B579,raw_customers!A:A,raw_customers!F:F),raw_branches!A:A,raw_branches!B:B)</f>
        <v>Lankaran Branch</v>
      </c>
      <c r="G579" s="7">
        <v>31179.62</v>
      </c>
      <c r="H579" s="6">
        <v>18.11</v>
      </c>
      <c r="I579" t="s">
        <v>2377</v>
      </c>
      <c r="J579" t="str">
        <f t="shared" ref="J579:J642" si="9">IF(I579="Default","Default (Batıq)",IF(H579&gt;=18,"Yüksək Risk",IF(H579&gt;=12,"Orta Risk","Aşağı Risk")))</f>
        <v>Yüksək Risk</v>
      </c>
    </row>
    <row r="580" spans="1:10">
      <c r="A580">
        <v>454</v>
      </c>
      <c r="B580">
        <v>789</v>
      </c>
      <c r="C580" t="str">
        <f>_xlfn.XLOOKUP(B580,raw_customers!A:A,raw_customers!B:B)</f>
        <v>Səbinə Tağıyev</v>
      </c>
      <c r="D580" t="str">
        <f>_xlfn.XLOOKUP(C580,raw_customers!B:B,raw_customers!C:C)</f>
        <v>F</v>
      </c>
      <c r="E580" t="str">
        <f>_xlfn.XLOOKUP(C580,raw_customers!B:B,raw_customers!G:G)</f>
        <v>Retail</v>
      </c>
      <c r="F580" t="str">
        <f>_xlfn.XLOOKUP(_xlfn.XLOOKUP(B580,raw_customers!A:A,raw_customers!F:F),raw_branches!A:A,raw_branches!B:B)</f>
        <v>Mingachevir Branch</v>
      </c>
      <c r="G580" s="7">
        <v>64354.52</v>
      </c>
      <c r="H580" s="6">
        <v>10.69</v>
      </c>
      <c r="I580" t="s">
        <v>2377</v>
      </c>
      <c r="J580" t="str">
        <f t="shared" si="9"/>
        <v>Aşağı Risk</v>
      </c>
    </row>
    <row r="581" spans="1:10">
      <c r="A581">
        <v>455</v>
      </c>
      <c r="B581">
        <v>954</v>
      </c>
      <c r="C581" t="str">
        <f>_xlfn.XLOOKUP(B581,raw_customers!A:A,raw_customers!B:B)</f>
        <v>Tural Kərimov</v>
      </c>
      <c r="D581" t="str">
        <f>_xlfn.XLOOKUP(C581,raw_customers!B:B,raw_customers!C:C)</f>
        <v>M</v>
      </c>
      <c r="E581" t="str">
        <f>_xlfn.XLOOKUP(C581,raw_customers!B:B,raw_customers!G:G)</f>
        <v>Retail</v>
      </c>
      <c r="F581" t="str">
        <f>_xlfn.XLOOKUP(_xlfn.XLOOKUP(B581,raw_customers!A:A,raw_customers!F:F),raw_branches!A:A,raw_branches!B:B)</f>
        <v>Mingachevir Branch</v>
      </c>
      <c r="G581" s="7">
        <v>16172.53</v>
      </c>
      <c r="H581" s="6">
        <v>18.66</v>
      </c>
      <c r="I581" t="s">
        <v>2383</v>
      </c>
      <c r="J581" t="str">
        <f t="shared" si="9"/>
        <v>Yüksək Risk</v>
      </c>
    </row>
    <row r="582" spans="1:10">
      <c r="A582">
        <v>456</v>
      </c>
      <c r="B582">
        <v>54</v>
      </c>
      <c r="C582" t="str">
        <f>_xlfn.XLOOKUP(B582,raw_customers!A:A,raw_customers!B:B)</f>
        <v>Emin Rəhimov</v>
      </c>
      <c r="D582" t="str">
        <f>_xlfn.XLOOKUP(C582,raw_customers!B:B,raw_customers!C:C)</f>
        <v>M</v>
      </c>
      <c r="E582" t="str">
        <f>_xlfn.XLOOKUP(C582,raw_customers!B:B,raw_customers!G:G)</f>
        <v>Premium</v>
      </c>
      <c r="F582" t="str">
        <f>_xlfn.XLOOKUP(_xlfn.XLOOKUP(B582,raw_customers!A:A,raw_customers!F:F),raw_branches!A:A,raw_branches!B:B)</f>
        <v>Mingachevir Branch</v>
      </c>
      <c r="G582" s="7">
        <v>85345.54</v>
      </c>
      <c r="H582" s="6">
        <v>14.2</v>
      </c>
      <c r="I582" t="s">
        <v>2393</v>
      </c>
      <c r="J582" t="str">
        <f t="shared" si="9"/>
        <v>Default (Batıq)</v>
      </c>
    </row>
    <row r="583" spans="1:10">
      <c r="A583">
        <v>457</v>
      </c>
      <c r="B583">
        <v>551</v>
      </c>
      <c r="C583" t="str">
        <f>_xlfn.XLOOKUP(B583,raw_customers!A:A,raw_customers!B:B)</f>
        <v>Leyla Əliyev</v>
      </c>
      <c r="D583" t="str">
        <f>_xlfn.XLOOKUP(C583,raw_customers!B:B,raw_customers!C:C)</f>
        <v>F</v>
      </c>
      <c r="E583" t="str">
        <f>_xlfn.XLOOKUP(C583,raw_customers!B:B,raw_customers!G:G)</f>
        <v>Retail</v>
      </c>
      <c r="F583" t="str">
        <f>_xlfn.XLOOKUP(_xlfn.XLOOKUP(B583,raw_customers!A:A,raw_customers!F:F),raw_branches!A:A,raw_branches!B:B)</f>
        <v>Lankaran Branch</v>
      </c>
      <c r="G583" s="7">
        <v>73945.92</v>
      </c>
      <c r="H583" s="6">
        <v>16.86</v>
      </c>
      <c r="I583" t="s">
        <v>2377</v>
      </c>
      <c r="J583" t="str">
        <f t="shared" si="9"/>
        <v>Orta Risk</v>
      </c>
    </row>
    <row r="584" spans="1:10">
      <c r="A584">
        <v>458</v>
      </c>
      <c r="B584">
        <v>119</v>
      </c>
      <c r="C584" t="str">
        <f>_xlfn.XLOOKUP(B584,raw_customers!A:A,raw_customers!B:B)</f>
        <v>Aynur Sadıqov</v>
      </c>
      <c r="D584" t="str">
        <f>_xlfn.XLOOKUP(C584,raw_customers!B:B,raw_customers!C:C)</f>
        <v>F</v>
      </c>
      <c r="E584" t="str">
        <f>_xlfn.XLOOKUP(C584,raw_customers!B:B,raw_customers!G:G)</f>
        <v>Retail</v>
      </c>
      <c r="F584" t="str">
        <f>_xlfn.XLOOKUP(_xlfn.XLOOKUP(B584,raw_customers!A:A,raw_customers!F:F),raw_branches!A:A,raw_branches!B:B)</f>
        <v>Mingachevir Branch</v>
      </c>
      <c r="G584" s="7">
        <v>4044.33</v>
      </c>
      <c r="H584" s="6">
        <v>21.94</v>
      </c>
      <c r="I584" t="s">
        <v>2383</v>
      </c>
      <c r="J584" t="str">
        <f t="shared" si="9"/>
        <v>Yüksək Risk</v>
      </c>
    </row>
    <row r="585" spans="1:10">
      <c r="A585">
        <v>459</v>
      </c>
      <c r="B585">
        <v>411</v>
      </c>
      <c r="C585" t="str">
        <f>_xlfn.XLOOKUP(B585,raw_customers!A:A,raw_customers!B:B)</f>
        <v>Zaur Novruzov</v>
      </c>
      <c r="D585" t="str">
        <f>_xlfn.XLOOKUP(C585,raw_customers!B:B,raw_customers!C:C)</f>
        <v>M</v>
      </c>
      <c r="E585" t="str">
        <f>_xlfn.XLOOKUP(C585,raw_customers!B:B,raw_customers!G:G)</f>
        <v>Retail</v>
      </c>
      <c r="F585" t="str">
        <f>_xlfn.XLOOKUP(_xlfn.XLOOKUP(B585,raw_customers!A:A,raw_customers!F:F),raw_branches!A:A,raw_branches!B:B)</f>
        <v>Mingachevir Branch</v>
      </c>
      <c r="G585" s="7">
        <v>12118.22</v>
      </c>
      <c r="H585" s="6">
        <v>20.8</v>
      </c>
      <c r="I585" t="s">
        <v>2377</v>
      </c>
      <c r="J585" t="str">
        <f t="shared" si="9"/>
        <v>Yüksək Risk</v>
      </c>
    </row>
    <row r="586" spans="1:10">
      <c r="A586">
        <v>460</v>
      </c>
      <c r="B586">
        <v>749</v>
      </c>
      <c r="C586" t="str">
        <f>_xlfn.XLOOKUP(B586,raw_customers!A:A,raw_customers!B:B)</f>
        <v>Zaur Rəhimov</v>
      </c>
      <c r="D586" t="str">
        <f>_xlfn.XLOOKUP(C586,raw_customers!B:B,raw_customers!C:C)</f>
        <v>M</v>
      </c>
      <c r="E586" t="str">
        <f>_xlfn.XLOOKUP(C586,raw_customers!B:B,raw_customers!G:G)</f>
        <v>SME</v>
      </c>
      <c r="F586" t="str">
        <f>_xlfn.XLOOKUP(_xlfn.XLOOKUP(B586,raw_customers!A:A,raw_customers!F:F),raw_branches!A:A,raw_branches!B:B)</f>
        <v>Ganja Branch</v>
      </c>
      <c r="G586" s="7">
        <v>177715.77</v>
      </c>
      <c r="H586" s="6">
        <v>21.33</v>
      </c>
      <c r="I586" t="s">
        <v>2377</v>
      </c>
      <c r="J586" t="str">
        <f t="shared" si="9"/>
        <v>Yüksək Risk</v>
      </c>
    </row>
    <row r="587" spans="1:10">
      <c r="A587">
        <v>461</v>
      </c>
      <c r="B587">
        <v>262</v>
      </c>
      <c r="C587" t="str">
        <f>_xlfn.XLOOKUP(B587,raw_customers!A:A,raw_customers!B:B)</f>
        <v>Fidan Vəliyev</v>
      </c>
      <c r="D587" t="str">
        <f>_xlfn.XLOOKUP(C587,raw_customers!B:B,raw_customers!C:C)</f>
        <v>F</v>
      </c>
      <c r="E587" t="str">
        <f>_xlfn.XLOOKUP(C587,raw_customers!B:B,raw_customers!G:G)</f>
        <v>SME</v>
      </c>
      <c r="F587" t="str">
        <f>_xlfn.XLOOKUP(_xlfn.XLOOKUP(B587,raw_customers!A:A,raw_customers!F:F),raw_branches!A:A,raw_branches!B:B)</f>
        <v>Ganja Branch</v>
      </c>
      <c r="G587" s="7">
        <v>2084.63</v>
      </c>
      <c r="H587" s="6">
        <v>6.23</v>
      </c>
      <c r="I587" t="s">
        <v>2377</v>
      </c>
      <c r="J587" t="str">
        <f t="shared" si="9"/>
        <v>Aşağı Risk</v>
      </c>
    </row>
    <row r="588" spans="1:10">
      <c r="A588">
        <v>462</v>
      </c>
      <c r="B588">
        <v>889</v>
      </c>
      <c r="C588" t="str">
        <f>_xlfn.XLOOKUP(B588,raw_customers!A:A,raw_customers!B:B)</f>
        <v>Orxan Hüseynov</v>
      </c>
      <c r="D588" t="str">
        <f>_xlfn.XLOOKUP(C588,raw_customers!B:B,raw_customers!C:C)</f>
        <v>M</v>
      </c>
      <c r="E588" t="str">
        <f>_xlfn.XLOOKUP(C588,raw_customers!B:B,raw_customers!G:G)</f>
        <v>Retail</v>
      </c>
      <c r="F588" t="str">
        <f>_xlfn.XLOOKUP(_xlfn.XLOOKUP(B588,raw_customers!A:A,raw_customers!F:F),raw_branches!A:A,raw_branches!B:B)</f>
        <v>Ganja Branch</v>
      </c>
      <c r="G588" s="7">
        <v>7574.87</v>
      </c>
      <c r="H588" s="6">
        <v>13.73</v>
      </c>
      <c r="I588" t="s">
        <v>2377</v>
      </c>
      <c r="J588" t="str">
        <f t="shared" si="9"/>
        <v>Orta Risk</v>
      </c>
    </row>
    <row r="589" spans="1:10">
      <c r="A589">
        <v>463</v>
      </c>
      <c r="B589">
        <v>493</v>
      </c>
      <c r="C589" t="str">
        <f>_xlfn.XLOOKUP(B589,raw_customers!A:A,raw_customers!B:B)</f>
        <v>Zeynəb Vəliyev</v>
      </c>
      <c r="D589" t="str">
        <f>_xlfn.XLOOKUP(C589,raw_customers!B:B,raw_customers!C:C)</f>
        <v>F</v>
      </c>
      <c r="E589" t="str">
        <f>_xlfn.XLOOKUP(C589,raw_customers!B:B,raw_customers!G:G)</f>
        <v>Premium</v>
      </c>
      <c r="F589" t="str">
        <f>_xlfn.XLOOKUP(_xlfn.XLOOKUP(B589,raw_customers!A:A,raw_customers!F:F),raw_branches!A:A,raw_branches!B:B)</f>
        <v>Baku Yasamal</v>
      </c>
      <c r="G589" s="7">
        <v>3149.56</v>
      </c>
      <c r="H589" s="6">
        <v>19.4</v>
      </c>
      <c r="I589" t="s">
        <v>2377</v>
      </c>
      <c r="J589" t="str">
        <f t="shared" si="9"/>
        <v>Yüksək Risk</v>
      </c>
    </row>
    <row r="590" spans="1:10">
      <c r="A590">
        <v>464</v>
      </c>
      <c r="B590">
        <v>608</v>
      </c>
      <c r="C590" t="str">
        <f>_xlfn.XLOOKUP(B590,raw_customers!A:A,raw_customers!B:B)</f>
        <v>Fidan Nəbiyev</v>
      </c>
      <c r="D590" t="str">
        <f>_xlfn.XLOOKUP(C590,raw_customers!B:B,raw_customers!C:C)</f>
        <v>F</v>
      </c>
      <c r="E590" t="str">
        <f>_xlfn.XLOOKUP(C590,raw_customers!B:B,raw_customers!G:G)</f>
        <v>SME</v>
      </c>
      <c r="F590" t="str">
        <f>_xlfn.XLOOKUP(_xlfn.XLOOKUP(B590,raw_customers!A:A,raw_customers!F:F),raw_branches!A:A,raw_branches!B:B)</f>
        <v>Sheki Branch</v>
      </c>
      <c r="G590" s="7">
        <v>131669.6</v>
      </c>
      <c r="H590" s="6">
        <v>12.16</v>
      </c>
      <c r="I590" t="s">
        <v>2377</v>
      </c>
      <c r="J590" t="str">
        <f t="shared" si="9"/>
        <v>Orta Risk</v>
      </c>
    </row>
    <row r="591" spans="1:10">
      <c r="A591">
        <v>465</v>
      </c>
      <c r="B591">
        <v>73</v>
      </c>
      <c r="C591" t="str">
        <f>_xlfn.XLOOKUP(B591,raw_customers!A:A,raw_customers!B:B)</f>
        <v>Səbinə Rəhimov</v>
      </c>
      <c r="D591" t="str">
        <f>_xlfn.XLOOKUP(C591,raw_customers!B:B,raw_customers!C:C)</f>
        <v>F</v>
      </c>
      <c r="E591" t="str">
        <f>_xlfn.XLOOKUP(C591,raw_customers!B:B,raw_customers!G:G)</f>
        <v>Premium</v>
      </c>
      <c r="F591" t="str">
        <f>_xlfn.XLOOKUP(_xlfn.XLOOKUP(B591,raw_customers!A:A,raw_customers!F:F),raw_branches!A:A,raw_branches!B:B)</f>
        <v>Sheki Branch</v>
      </c>
      <c r="G591" s="7">
        <v>133336.09</v>
      </c>
      <c r="H591" s="6">
        <v>14.68</v>
      </c>
      <c r="I591" t="s">
        <v>2377</v>
      </c>
      <c r="J591" t="str">
        <f t="shared" si="9"/>
        <v>Orta Risk</v>
      </c>
    </row>
    <row r="592" spans="1:10">
      <c r="A592">
        <v>466</v>
      </c>
      <c r="B592">
        <v>371</v>
      </c>
      <c r="C592" t="str">
        <f>_xlfn.XLOOKUP(B592,raw_customers!A:A,raw_customers!B:B)</f>
        <v>Aynur Nəbiyev</v>
      </c>
      <c r="D592" t="str">
        <f>_xlfn.XLOOKUP(C592,raw_customers!B:B,raw_customers!C:C)</f>
        <v>F</v>
      </c>
      <c r="E592" t="str">
        <f>_xlfn.XLOOKUP(C592,raw_customers!B:B,raw_customers!G:G)</f>
        <v>Premium</v>
      </c>
      <c r="F592" t="str">
        <f>_xlfn.XLOOKUP(_xlfn.XLOOKUP(B592,raw_customers!A:A,raw_customers!F:F),raw_branches!A:A,raw_branches!B:B)</f>
        <v>Baku Yasamal</v>
      </c>
      <c r="G592" s="7">
        <v>8059.97</v>
      </c>
      <c r="H592" s="6">
        <v>11.52</v>
      </c>
      <c r="I592" t="s">
        <v>2377</v>
      </c>
      <c r="J592" t="str">
        <f t="shared" si="9"/>
        <v>Aşağı Risk</v>
      </c>
    </row>
    <row r="593" spans="1:10">
      <c r="A593">
        <v>467</v>
      </c>
      <c r="B593">
        <v>962</v>
      </c>
      <c r="C593" t="str">
        <f>_xlfn.XLOOKUP(B593,raw_customers!A:A,raw_customers!B:B)</f>
        <v>Türkan Cəfərov</v>
      </c>
      <c r="D593" t="str">
        <f>_xlfn.XLOOKUP(C593,raw_customers!B:B,raw_customers!C:C)</f>
        <v>F</v>
      </c>
      <c r="E593" t="str">
        <f>_xlfn.XLOOKUP(C593,raw_customers!B:B,raw_customers!G:G)</f>
        <v>Retail</v>
      </c>
      <c r="F593" t="str">
        <f>_xlfn.XLOOKUP(_xlfn.XLOOKUP(B593,raw_customers!A:A,raw_customers!F:F),raw_branches!A:A,raw_branches!B:B)</f>
        <v>Sumgait Branch</v>
      </c>
      <c r="G593" s="7">
        <v>196246.94</v>
      </c>
      <c r="H593" s="6">
        <v>10.5</v>
      </c>
      <c r="I593" t="s">
        <v>2377</v>
      </c>
      <c r="J593" t="str">
        <f t="shared" si="9"/>
        <v>Aşağı Risk</v>
      </c>
    </row>
    <row r="594" spans="1:10">
      <c r="A594">
        <v>468</v>
      </c>
      <c r="B594">
        <v>971</v>
      </c>
      <c r="C594" t="str">
        <f>_xlfn.XLOOKUP(B594,raw_customers!A:A,raw_customers!B:B)</f>
        <v>Röya Orucov</v>
      </c>
      <c r="D594" t="str">
        <f>_xlfn.XLOOKUP(C594,raw_customers!B:B,raw_customers!C:C)</f>
        <v>F</v>
      </c>
      <c r="E594" t="str">
        <f>_xlfn.XLOOKUP(C594,raw_customers!B:B,raw_customers!G:G)</f>
        <v>Retail</v>
      </c>
      <c r="F594" t="str">
        <f>_xlfn.XLOOKUP(_xlfn.XLOOKUP(B594,raw_customers!A:A,raw_customers!F:F),raw_branches!A:A,raw_branches!B:B)</f>
        <v>Lankaran Branch</v>
      </c>
      <c r="G594" s="2">
        <v>49895</v>
      </c>
      <c r="H594" s="6">
        <v>21.6</v>
      </c>
      <c r="I594" t="s">
        <v>2393</v>
      </c>
      <c r="J594" t="str">
        <f t="shared" si="9"/>
        <v>Default (Batıq)</v>
      </c>
    </row>
    <row r="595" spans="1:10">
      <c r="A595">
        <v>469</v>
      </c>
      <c r="B595">
        <v>76</v>
      </c>
      <c r="C595" t="str">
        <f>_xlfn.XLOOKUP(B595,raw_customers!A:A,raw_customers!B:B)</f>
        <v>Nicat Cəfərov</v>
      </c>
      <c r="D595" t="str">
        <f>_xlfn.XLOOKUP(C595,raw_customers!B:B,raw_customers!C:C)</f>
        <v>M</v>
      </c>
      <c r="E595" t="str">
        <f>_xlfn.XLOOKUP(C595,raw_customers!B:B,raw_customers!G:G)</f>
        <v>Retail</v>
      </c>
      <c r="F595" t="str">
        <f>_xlfn.XLOOKUP(_xlfn.XLOOKUP(B595,raw_customers!A:A,raw_customers!F:F),raw_branches!A:A,raw_branches!B:B)</f>
        <v>Sumgait Branch</v>
      </c>
      <c r="G595" s="7">
        <v>35391.49</v>
      </c>
      <c r="H595" s="6">
        <v>15.62</v>
      </c>
      <c r="I595" t="s">
        <v>2377</v>
      </c>
      <c r="J595" t="str">
        <f t="shared" si="9"/>
        <v>Orta Risk</v>
      </c>
    </row>
    <row r="596" spans="1:10">
      <c r="A596">
        <v>470</v>
      </c>
      <c r="B596">
        <v>779</v>
      </c>
      <c r="C596" t="str">
        <f>_xlfn.XLOOKUP(B596,raw_customers!A:A,raw_customers!B:B)</f>
        <v>Mehriban Bağırov</v>
      </c>
      <c r="D596" t="str">
        <f>_xlfn.XLOOKUP(C596,raw_customers!B:B,raw_customers!C:C)</f>
        <v>F</v>
      </c>
      <c r="E596" t="str">
        <f>_xlfn.XLOOKUP(C596,raw_customers!B:B,raw_customers!G:G)</f>
        <v>SME</v>
      </c>
      <c r="F596" t="str">
        <f>_xlfn.XLOOKUP(_xlfn.XLOOKUP(B596,raw_customers!A:A,raw_customers!F:F),raw_branches!A:A,raw_branches!B:B)</f>
        <v>Lankaran Branch</v>
      </c>
      <c r="G596" s="7">
        <v>55039.13</v>
      </c>
      <c r="H596" s="6">
        <v>14.96</v>
      </c>
      <c r="I596" t="s">
        <v>2377</v>
      </c>
      <c r="J596" t="str">
        <f t="shared" si="9"/>
        <v>Orta Risk</v>
      </c>
    </row>
    <row r="597" spans="1:10">
      <c r="A597">
        <v>471</v>
      </c>
      <c r="B597">
        <v>148</v>
      </c>
      <c r="C597" t="str">
        <f>_xlfn.XLOOKUP(B597,raw_customers!A:A,raw_customers!B:B)</f>
        <v>Könül Abbasov</v>
      </c>
      <c r="D597" t="str">
        <f>_xlfn.XLOOKUP(C597,raw_customers!B:B,raw_customers!C:C)</f>
        <v>F</v>
      </c>
      <c r="E597" t="str">
        <f>_xlfn.XLOOKUP(C597,raw_customers!B:B,raw_customers!G:G)</f>
        <v>SME</v>
      </c>
      <c r="F597" t="str">
        <f>_xlfn.XLOOKUP(_xlfn.XLOOKUP(B597,raw_customers!A:A,raw_customers!F:F),raw_branches!A:A,raw_branches!B:B)</f>
        <v>Mingachevir Branch</v>
      </c>
      <c r="G597" s="7">
        <v>12974.6</v>
      </c>
      <c r="H597" s="6">
        <v>19.1</v>
      </c>
      <c r="I597" t="s">
        <v>2377</v>
      </c>
      <c r="J597" t="str">
        <f t="shared" si="9"/>
        <v>Yüksək Risk</v>
      </c>
    </row>
    <row r="598" spans="1:10">
      <c r="A598">
        <v>472</v>
      </c>
      <c r="B598">
        <v>786</v>
      </c>
      <c r="C598" t="str">
        <f>_xlfn.XLOOKUP(B598,raw_customers!A:A,raw_customers!B:B)</f>
        <v>Vüqar Hüseynov</v>
      </c>
      <c r="D598" t="str">
        <f>_xlfn.XLOOKUP(C598,raw_customers!B:B,raw_customers!C:C)</f>
        <v>M</v>
      </c>
      <c r="E598" t="str">
        <f>_xlfn.XLOOKUP(C598,raw_customers!B:B,raw_customers!G:G)</f>
        <v>Retail</v>
      </c>
      <c r="F598" t="str">
        <f>_xlfn.XLOOKUP(_xlfn.XLOOKUP(B598,raw_customers!A:A,raw_customers!F:F),raw_branches!A:A,raw_branches!B:B)</f>
        <v>Lankaran Branch</v>
      </c>
      <c r="G598" s="7">
        <v>25460.64</v>
      </c>
      <c r="H598" s="6">
        <v>9.07</v>
      </c>
      <c r="I598" t="s">
        <v>2377</v>
      </c>
      <c r="J598" t="str">
        <f t="shared" si="9"/>
        <v>Aşağı Risk</v>
      </c>
    </row>
    <row r="599" spans="1:10">
      <c r="A599">
        <v>473</v>
      </c>
      <c r="B599">
        <v>652</v>
      </c>
      <c r="C599" t="str">
        <f>_xlfn.XLOOKUP(B599,raw_customers!A:A,raw_customers!B:B)</f>
        <v>Lalə Quliyev</v>
      </c>
      <c r="D599" t="str">
        <f>_xlfn.XLOOKUP(C599,raw_customers!B:B,raw_customers!C:C)</f>
        <v>F</v>
      </c>
      <c r="E599" t="str">
        <f>_xlfn.XLOOKUP(C599,raw_customers!B:B,raw_customers!G:G)</f>
        <v>Retail</v>
      </c>
      <c r="F599" t="str">
        <f>_xlfn.XLOOKUP(_xlfn.XLOOKUP(B599,raw_customers!A:A,raw_customers!F:F),raw_branches!A:A,raw_branches!B:B)</f>
        <v>Ganja Branch</v>
      </c>
      <c r="G599" s="7">
        <v>1114.55</v>
      </c>
      <c r="H599" s="6">
        <v>21.88</v>
      </c>
      <c r="I599" t="s">
        <v>2383</v>
      </c>
      <c r="J599" t="str">
        <f t="shared" si="9"/>
        <v>Yüksək Risk</v>
      </c>
    </row>
    <row r="600" spans="1:10">
      <c r="A600">
        <v>474</v>
      </c>
      <c r="B600">
        <v>206</v>
      </c>
      <c r="C600" t="str">
        <f>_xlfn.XLOOKUP(B600,raw_customers!A:A,raw_customers!B:B)</f>
        <v>Tural Musayev</v>
      </c>
      <c r="D600" t="str">
        <f>_xlfn.XLOOKUP(C600,raw_customers!B:B,raw_customers!C:C)</f>
        <v>M</v>
      </c>
      <c r="E600" t="str">
        <f>_xlfn.XLOOKUP(C600,raw_customers!B:B,raw_customers!G:G)</f>
        <v>SME</v>
      </c>
      <c r="F600" t="str">
        <f>_xlfn.XLOOKUP(_xlfn.XLOOKUP(B600,raw_customers!A:A,raw_customers!F:F),raw_branches!A:A,raw_branches!B:B)</f>
        <v>Baku Central</v>
      </c>
      <c r="G600" s="7">
        <v>55769.19</v>
      </c>
      <c r="H600" s="6">
        <v>8.37</v>
      </c>
      <c r="I600" t="s">
        <v>2377</v>
      </c>
      <c r="J600" t="str">
        <f t="shared" si="9"/>
        <v>Aşağı Risk</v>
      </c>
    </row>
    <row r="601" spans="1:10">
      <c r="A601">
        <v>475</v>
      </c>
      <c r="B601">
        <v>86</v>
      </c>
      <c r="C601" t="str">
        <f>_xlfn.XLOOKUP(B601,raw_customers!A:A,raw_customers!B:B)</f>
        <v>Rüfət Abbasov</v>
      </c>
      <c r="D601" t="str">
        <f>_xlfn.XLOOKUP(C601,raw_customers!B:B,raw_customers!C:C)</f>
        <v>M</v>
      </c>
      <c r="E601" t="str">
        <f>_xlfn.XLOOKUP(C601,raw_customers!B:B,raw_customers!G:G)</f>
        <v>SME</v>
      </c>
      <c r="F601" t="str">
        <f>_xlfn.XLOOKUP(_xlfn.XLOOKUP(B601,raw_customers!A:A,raw_customers!F:F),raw_branches!A:A,raw_branches!B:B)</f>
        <v>Baku Central</v>
      </c>
      <c r="G601" s="7">
        <v>33773.71</v>
      </c>
      <c r="H601" s="6">
        <v>9.37</v>
      </c>
      <c r="I601" t="s">
        <v>2393</v>
      </c>
      <c r="J601" t="str">
        <f t="shared" si="9"/>
        <v>Default (Batıq)</v>
      </c>
    </row>
    <row r="602" spans="1:10">
      <c r="A602">
        <v>476</v>
      </c>
      <c r="B602">
        <v>186</v>
      </c>
      <c r="C602" t="str">
        <f>_xlfn.XLOOKUP(B602,raw_customers!A:A,raw_customers!B:B)</f>
        <v>Emin Tağıyev</v>
      </c>
      <c r="D602" t="str">
        <f>_xlfn.XLOOKUP(C602,raw_customers!B:B,raw_customers!C:C)</f>
        <v>M</v>
      </c>
      <c r="E602" t="str">
        <f>_xlfn.XLOOKUP(C602,raw_customers!B:B,raw_customers!G:G)</f>
        <v>Retail</v>
      </c>
      <c r="F602" t="str">
        <f>_xlfn.XLOOKUP(_xlfn.XLOOKUP(B602,raw_customers!A:A,raw_customers!F:F),raw_branches!A:A,raw_branches!B:B)</f>
        <v>Mingachevir Branch</v>
      </c>
      <c r="G602" s="7">
        <v>1699.59</v>
      </c>
      <c r="H602" s="6">
        <v>17.62</v>
      </c>
      <c r="I602" t="s">
        <v>2393</v>
      </c>
      <c r="J602" t="str">
        <f t="shared" si="9"/>
        <v>Default (Batıq)</v>
      </c>
    </row>
    <row r="603" spans="1:10">
      <c r="A603">
        <v>477</v>
      </c>
      <c r="B603">
        <v>561</v>
      </c>
      <c r="C603" t="str">
        <f>_xlfn.XLOOKUP(B603,raw_customers!A:A,raw_customers!B:B)</f>
        <v>Sevinc Həsənov</v>
      </c>
      <c r="D603" t="str">
        <f>_xlfn.XLOOKUP(C603,raw_customers!B:B,raw_customers!C:C)</f>
        <v>F</v>
      </c>
      <c r="E603" t="str">
        <f>_xlfn.XLOOKUP(C603,raw_customers!B:B,raw_customers!G:G)</f>
        <v>SME</v>
      </c>
      <c r="F603" t="str">
        <f>_xlfn.XLOOKUP(_xlfn.XLOOKUP(B603,raw_customers!A:A,raw_customers!F:F),raw_branches!A:A,raw_branches!B:B)</f>
        <v>Baku Central</v>
      </c>
      <c r="G603" s="7">
        <v>14643.41</v>
      </c>
      <c r="H603" s="6">
        <v>18.26</v>
      </c>
      <c r="I603" t="s">
        <v>2377</v>
      </c>
      <c r="J603" t="str">
        <f t="shared" si="9"/>
        <v>Yüksək Risk</v>
      </c>
    </row>
    <row r="604" spans="1:10">
      <c r="A604">
        <v>478</v>
      </c>
      <c r="B604">
        <v>894</v>
      </c>
      <c r="C604" t="str">
        <f>_xlfn.XLOOKUP(B604,raw_customers!A:A,raw_customers!B:B)</f>
        <v>Nərgiz Nəbiyev</v>
      </c>
      <c r="D604" t="str">
        <f>_xlfn.XLOOKUP(C604,raw_customers!B:B,raw_customers!C:C)</f>
        <v>F</v>
      </c>
      <c r="E604" t="str">
        <f>_xlfn.XLOOKUP(C604,raw_customers!B:B,raw_customers!G:G)</f>
        <v>SME</v>
      </c>
      <c r="F604" t="str">
        <f>_xlfn.XLOOKUP(_xlfn.XLOOKUP(B604,raw_customers!A:A,raw_customers!F:F),raw_branches!A:A,raw_branches!B:B)</f>
        <v>Mingachevir Branch</v>
      </c>
      <c r="G604" s="7">
        <v>1386.89</v>
      </c>
      <c r="H604" s="6">
        <v>17.8</v>
      </c>
      <c r="I604" t="s">
        <v>2377</v>
      </c>
      <c r="J604" t="str">
        <f t="shared" si="9"/>
        <v>Orta Risk</v>
      </c>
    </row>
    <row r="605" spans="1:10">
      <c r="A605">
        <v>479</v>
      </c>
      <c r="B605">
        <v>569</v>
      </c>
      <c r="C605" t="str">
        <f>_xlfn.XLOOKUP(B605,raw_customers!A:A,raw_customers!B:B)</f>
        <v>Elvin Əliyev</v>
      </c>
      <c r="D605" t="str">
        <f>_xlfn.XLOOKUP(C605,raw_customers!B:B,raw_customers!C:C)</f>
        <v>M</v>
      </c>
      <c r="E605" t="str">
        <f>_xlfn.XLOOKUP(C605,raw_customers!B:B,raw_customers!G:G)</f>
        <v>Retail</v>
      </c>
      <c r="F605" t="str">
        <f>_xlfn.XLOOKUP(_xlfn.XLOOKUP(B605,raw_customers!A:A,raw_customers!F:F),raw_branches!A:A,raw_branches!B:B)</f>
        <v>Ganja Branch</v>
      </c>
      <c r="G605" s="7">
        <v>18885.26</v>
      </c>
      <c r="H605" s="6">
        <v>9.49</v>
      </c>
      <c r="I605" t="s">
        <v>2377</v>
      </c>
      <c r="J605" t="str">
        <f t="shared" si="9"/>
        <v>Aşağı Risk</v>
      </c>
    </row>
    <row r="606" spans="1:10">
      <c r="A606">
        <v>480</v>
      </c>
      <c r="B606">
        <v>156</v>
      </c>
      <c r="C606" t="str">
        <f>_xlfn.XLOOKUP(B606,raw_customers!A:A,raw_customers!B:B)</f>
        <v>Nərmin Məmmədov</v>
      </c>
      <c r="D606" t="str">
        <f>_xlfn.XLOOKUP(C606,raw_customers!B:B,raw_customers!C:C)</f>
        <v>F</v>
      </c>
      <c r="E606" t="str">
        <f>_xlfn.XLOOKUP(C606,raw_customers!B:B,raw_customers!G:G)</f>
        <v>Premium</v>
      </c>
      <c r="F606" t="str">
        <f>_xlfn.XLOOKUP(_xlfn.XLOOKUP(B606,raw_customers!A:A,raw_customers!F:F),raw_branches!A:A,raw_branches!B:B)</f>
        <v>Sheki Branch</v>
      </c>
      <c r="G606" s="7">
        <v>124536.98</v>
      </c>
      <c r="H606" s="6">
        <v>12.06</v>
      </c>
      <c r="I606" t="s">
        <v>2393</v>
      </c>
      <c r="J606" t="str">
        <f t="shared" si="9"/>
        <v>Default (Batıq)</v>
      </c>
    </row>
    <row r="607" spans="1:10">
      <c r="A607">
        <v>481</v>
      </c>
      <c r="B607">
        <v>278</v>
      </c>
      <c r="C607" t="str">
        <f>_xlfn.XLOOKUP(B607,raw_customers!A:A,raw_customers!B:B)</f>
        <v>Zaur Abbasov</v>
      </c>
      <c r="D607" t="str">
        <f>_xlfn.XLOOKUP(C607,raw_customers!B:B,raw_customers!C:C)</f>
        <v>M</v>
      </c>
      <c r="E607" t="str">
        <f>_xlfn.XLOOKUP(C607,raw_customers!B:B,raw_customers!G:G)</f>
        <v>Premium</v>
      </c>
      <c r="F607" t="str">
        <f>_xlfn.XLOOKUP(_xlfn.XLOOKUP(B607,raw_customers!A:A,raw_customers!F:F),raw_branches!A:A,raw_branches!B:B)</f>
        <v>Sheki Branch</v>
      </c>
      <c r="G607" s="7">
        <v>194566.98</v>
      </c>
      <c r="H607" s="6">
        <v>17.71</v>
      </c>
      <c r="I607" t="s">
        <v>2383</v>
      </c>
      <c r="J607" t="str">
        <f t="shared" si="9"/>
        <v>Orta Risk</v>
      </c>
    </row>
    <row r="608" spans="1:10">
      <c r="A608">
        <v>482</v>
      </c>
      <c r="B608">
        <v>980</v>
      </c>
      <c r="C608" t="str">
        <f>_xlfn.XLOOKUP(B608,raw_customers!A:A,raw_customers!B:B)</f>
        <v>Türkan Rzayev</v>
      </c>
      <c r="D608" t="str">
        <f>_xlfn.XLOOKUP(C608,raw_customers!B:B,raw_customers!C:C)</f>
        <v>F</v>
      </c>
      <c r="E608" t="str">
        <f>_xlfn.XLOOKUP(C608,raw_customers!B:B,raw_customers!G:G)</f>
        <v>Retail</v>
      </c>
      <c r="F608" t="str">
        <f>_xlfn.XLOOKUP(_xlfn.XLOOKUP(B608,raw_customers!A:A,raw_customers!F:F),raw_branches!A:A,raw_branches!B:B)</f>
        <v>Mingachevir Branch</v>
      </c>
      <c r="G608" s="7">
        <v>8414.1</v>
      </c>
      <c r="H608" s="6">
        <v>5.17</v>
      </c>
      <c r="I608" t="s">
        <v>2377</v>
      </c>
      <c r="J608" t="str">
        <f t="shared" si="9"/>
        <v>Aşağı Risk</v>
      </c>
    </row>
    <row r="609" spans="1:10">
      <c r="A609">
        <v>483</v>
      </c>
      <c r="B609">
        <v>755</v>
      </c>
      <c r="C609" t="str">
        <f>_xlfn.XLOOKUP(B609,raw_customers!A:A,raw_customers!B:B)</f>
        <v>Könül Əliyev</v>
      </c>
      <c r="D609" t="str">
        <f>_xlfn.XLOOKUP(C609,raw_customers!B:B,raw_customers!C:C)</f>
        <v>F</v>
      </c>
      <c r="E609" t="str">
        <f>_xlfn.XLOOKUP(C609,raw_customers!B:B,raw_customers!G:G)</f>
        <v>Retail</v>
      </c>
      <c r="F609" t="str">
        <f>_xlfn.XLOOKUP(_xlfn.XLOOKUP(B609,raw_customers!A:A,raw_customers!F:F),raw_branches!A:A,raw_branches!B:B)</f>
        <v>Ganja Branch</v>
      </c>
      <c r="G609" s="7">
        <v>4206.28</v>
      </c>
      <c r="H609" s="6">
        <v>5.11</v>
      </c>
      <c r="I609" t="s">
        <v>2377</v>
      </c>
      <c r="J609" t="str">
        <f t="shared" si="9"/>
        <v>Aşağı Risk</v>
      </c>
    </row>
    <row r="610" spans="1:10">
      <c r="A610">
        <v>484</v>
      </c>
      <c r="B610">
        <v>716</v>
      </c>
      <c r="C610" t="str">
        <f>_xlfn.XLOOKUP(B610,raw_customers!A:A,raw_customers!B:B)</f>
        <v>Aynur Novruzov</v>
      </c>
      <c r="D610" t="str">
        <f>_xlfn.XLOOKUP(C610,raw_customers!B:B,raw_customers!C:C)</f>
        <v>F</v>
      </c>
      <c r="E610" t="str">
        <f>_xlfn.XLOOKUP(C610,raw_customers!B:B,raw_customers!G:G)</f>
        <v>Retail</v>
      </c>
      <c r="F610" t="str">
        <f>_xlfn.XLOOKUP(_xlfn.XLOOKUP(B610,raw_customers!A:A,raw_customers!F:F),raw_branches!A:A,raw_branches!B:B)</f>
        <v>Baku Yasamal</v>
      </c>
      <c r="G610" s="7">
        <v>30544.64</v>
      </c>
      <c r="H610" s="6">
        <v>8.32</v>
      </c>
      <c r="I610" t="s">
        <v>2377</v>
      </c>
      <c r="J610" t="str">
        <f t="shared" si="9"/>
        <v>Aşağı Risk</v>
      </c>
    </row>
    <row r="611" spans="1:10">
      <c r="A611">
        <v>485</v>
      </c>
      <c r="B611">
        <v>772</v>
      </c>
      <c r="C611" t="str">
        <f>_xlfn.XLOOKUP(B611,raw_customers!A:A,raw_customers!B:B)</f>
        <v>Kamran Tağıyev</v>
      </c>
      <c r="D611" t="str">
        <f>_xlfn.XLOOKUP(C611,raw_customers!B:B,raw_customers!C:C)</f>
        <v>M</v>
      </c>
      <c r="E611" t="str">
        <f>_xlfn.XLOOKUP(C611,raw_customers!B:B,raw_customers!G:G)</f>
        <v>Retail</v>
      </c>
      <c r="F611" t="str">
        <f>_xlfn.XLOOKUP(_xlfn.XLOOKUP(B611,raw_customers!A:A,raw_customers!F:F),raw_branches!A:A,raw_branches!B:B)</f>
        <v>Baku Yasamal</v>
      </c>
      <c r="G611" s="7">
        <v>778.95</v>
      </c>
      <c r="H611" s="6">
        <v>15.74</v>
      </c>
      <c r="I611" t="s">
        <v>2383</v>
      </c>
      <c r="J611" t="str">
        <f t="shared" si="9"/>
        <v>Orta Risk</v>
      </c>
    </row>
    <row r="612" spans="1:10">
      <c r="A612">
        <v>486</v>
      </c>
      <c r="B612">
        <v>461</v>
      </c>
      <c r="C612" t="str">
        <f>_xlfn.XLOOKUP(B612,raw_customers!A:A,raw_customers!B:B)</f>
        <v>Fərid Kərimov</v>
      </c>
      <c r="D612" t="str">
        <f>_xlfn.XLOOKUP(C612,raw_customers!B:B,raw_customers!C:C)</f>
        <v>M</v>
      </c>
      <c r="E612" t="str">
        <f>_xlfn.XLOOKUP(C612,raw_customers!B:B,raw_customers!G:G)</f>
        <v>SME</v>
      </c>
      <c r="F612" t="str">
        <f>_xlfn.XLOOKUP(_xlfn.XLOOKUP(B612,raw_customers!A:A,raw_customers!F:F),raw_branches!A:A,raw_branches!B:B)</f>
        <v>Sheki Branch</v>
      </c>
      <c r="G612" s="7">
        <v>109719.1</v>
      </c>
      <c r="H612" s="6">
        <v>12.3</v>
      </c>
      <c r="I612" t="s">
        <v>2377</v>
      </c>
      <c r="J612" t="str">
        <f t="shared" si="9"/>
        <v>Orta Risk</v>
      </c>
    </row>
    <row r="613" spans="1:10">
      <c r="A613">
        <v>487</v>
      </c>
      <c r="B613">
        <v>136</v>
      </c>
      <c r="C613" t="str">
        <f>_xlfn.XLOOKUP(B613,raw_customers!A:A,raw_customers!B:B)</f>
        <v>Aynur Rzayev</v>
      </c>
      <c r="D613" t="str">
        <f>_xlfn.XLOOKUP(C613,raw_customers!B:B,raw_customers!C:C)</f>
        <v>F</v>
      </c>
      <c r="E613" t="str">
        <f>_xlfn.XLOOKUP(C613,raw_customers!B:B,raw_customers!G:G)</f>
        <v>Retail</v>
      </c>
      <c r="F613" t="str">
        <f>_xlfn.XLOOKUP(_xlfn.XLOOKUP(B613,raw_customers!A:A,raw_customers!F:F),raw_branches!A:A,raw_branches!B:B)</f>
        <v>Baku Yasamal</v>
      </c>
      <c r="G613" s="7">
        <v>35788.19</v>
      </c>
      <c r="H613" s="6">
        <v>6.73</v>
      </c>
      <c r="I613" t="s">
        <v>2377</v>
      </c>
      <c r="J613" t="str">
        <f t="shared" si="9"/>
        <v>Aşağı Risk</v>
      </c>
    </row>
    <row r="614" spans="1:10">
      <c r="A614">
        <v>488</v>
      </c>
      <c r="B614">
        <v>575</v>
      </c>
      <c r="C614" t="str">
        <f>_xlfn.XLOOKUP(B614,raw_customers!A:A,raw_customers!B:B)</f>
        <v>Aynur Cəfərov</v>
      </c>
      <c r="D614" t="str">
        <f>_xlfn.XLOOKUP(C614,raw_customers!B:B,raw_customers!C:C)</f>
        <v>F</v>
      </c>
      <c r="E614" t="str">
        <f>_xlfn.XLOOKUP(C614,raw_customers!B:B,raw_customers!G:G)</f>
        <v>SME</v>
      </c>
      <c r="F614" t="str">
        <f>_xlfn.XLOOKUP(_xlfn.XLOOKUP(B614,raw_customers!A:A,raw_customers!F:F),raw_branches!A:A,raw_branches!B:B)</f>
        <v>Sheki Branch</v>
      </c>
      <c r="G614" s="7">
        <v>80363.56</v>
      </c>
      <c r="H614" s="6">
        <v>17.74</v>
      </c>
      <c r="I614" t="s">
        <v>2383</v>
      </c>
      <c r="J614" t="str">
        <f t="shared" si="9"/>
        <v>Orta Risk</v>
      </c>
    </row>
    <row r="615" spans="1:10">
      <c r="A615">
        <v>489</v>
      </c>
      <c r="B615">
        <v>151</v>
      </c>
      <c r="C615" t="str">
        <f>_xlfn.XLOOKUP(B615,raw_customers!A:A,raw_customers!B:B)</f>
        <v>Nərgiz Həsənov</v>
      </c>
      <c r="D615" t="str">
        <f>_xlfn.XLOOKUP(C615,raw_customers!B:B,raw_customers!C:C)</f>
        <v>F</v>
      </c>
      <c r="E615" t="str">
        <f>_xlfn.XLOOKUP(C615,raw_customers!B:B,raw_customers!G:G)</f>
        <v>Retail</v>
      </c>
      <c r="F615" t="str">
        <f>_xlfn.XLOOKUP(_xlfn.XLOOKUP(B615,raw_customers!A:A,raw_customers!F:F),raw_branches!A:A,raw_branches!B:B)</f>
        <v>Sheki Branch</v>
      </c>
      <c r="G615" s="7">
        <v>12542.7</v>
      </c>
      <c r="H615" s="6">
        <v>13.68</v>
      </c>
      <c r="I615" t="s">
        <v>2383</v>
      </c>
      <c r="J615" t="str">
        <f t="shared" si="9"/>
        <v>Orta Risk</v>
      </c>
    </row>
    <row r="616" spans="1:10">
      <c r="A616">
        <v>490</v>
      </c>
      <c r="B616">
        <v>807</v>
      </c>
      <c r="C616" t="str">
        <f>_xlfn.XLOOKUP(B616,raw_customers!A:A,raw_customers!B:B)</f>
        <v>Emin Sadıqov</v>
      </c>
      <c r="D616" t="str">
        <f>_xlfn.XLOOKUP(C616,raw_customers!B:B,raw_customers!C:C)</f>
        <v>M</v>
      </c>
      <c r="E616" t="str">
        <f>_xlfn.XLOOKUP(C616,raw_customers!B:B,raw_customers!G:G)</f>
        <v>Retail</v>
      </c>
      <c r="F616" t="str">
        <f>_xlfn.XLOOKUP(_xlfn.XLOOKUP(B616,raw_customers!A:A,raw_customers!F:F),raw_branches!A:A,raw_branches!B:B)</f>
        <v>Sumgait Branch</v>
      </c>
      <c r="G616" s="7">
        <v>13247.46</v>
      </c>
      <c r="H616" s="6">
        <v>19.92</v>
      </c>
      <c r="I616" t="s">
        <v>2377</v>
      </c>
      <c r="J616" t="str">
        <f t="shared" si="9"/>
        <v>Yüksək Risk</v>
      </c>
    </row>
    <row r="617" spans="1:10">
      <c r="A617">
        <v>491</v>
      </c>
      <c r="B617">
        <v>156</v>
      </c>
      <c r="C617" t="str">
        <f>_xlfn.XLOOKUP(B617,raw_customers!A:A,raw_customers!B:B)</f>
        <v>Nərmin Məmmədov</v>
      </c>
      <c r="D617" t="str">
        <f>_xlfn.XLOOKUP(C617,raw_customers!B:B,raw_customers!C:C)</f>
        <v>F</v>
      </c>
      <c r="E617" t="str">
        <f>_xlfn.XLOOKUP(C617,raw_customers!B:B,raw_customers!G:G)</f>
        <v>Premium</v>
      </c>
      <c r="F617" t="str">
        <f>_xlfn.XLOOKUP(_xlfn.XLOOKUP(B617,raw_customers!A:A,raw_customers!F:F),raw_branches!A:A,raw_branches!B:B)</f>
        <v>Sheki Branch</v>
      </c>
      <c r="G617" s="7">
        <v>7579.69</v>
      </c>
      <c r="H617" s="6">
        <v>9.11</v>
      </c>
      <c r="I617" t="s">
        <v>2393</v>
      </c>
      <c r="J617" t="str">
        <f t="shared" si="9"/>
        <v>Default (Batıq)</v>
      </c>
    </row>
    <row r="618" spans="1:10">
      <c r="A618">
        <v>492</v>
      </c>
      <c r="B618">
        <v>381</v>
      </c>
      <c r="C618" t="str">
        <f>_xlfn.XLOOKUP(B618,raw_customers!A:A,raw_customers!B:B)</f>
        <v>Günel Orucov</v>
      </c>
      <c r="D618" t="str">
        <f>_xlfn.XLOOKUP(C618,raw_customers!B:B,raw_customers!C:C)</f>
        <v>F</v>
      </c>
      <c r="E618" t="str">
        <f>_xlfn.XLOOKUP(C618,raw_customers!B:B,raw_customers!G:G)</f>
        <v>SME</v>
      </c>
      <c r="F618" t="str">
        <f>_xlfn.XLOOKUP(_xlfn.XLOOKUP(B618,raw_customers!A:A,raw_customers!F:F),raw_branches!A:A,raw_branches!B:B)</f>
        <v>Mingachevir Branch</v>
      </c>
      <c r="G618" s="7">
        <v>97130.03</v>
      </c>
      <c r="H618" s="6">
        <v>6.89</v>
      </c>
      <c r="I618" t="s">
        <v>2377</v>
      </c>
      <c r="J618" t="str">
        <f t="shared" si="9"/>
        <v>Aşağı Risk</v>
      </c>
    </row>
    <row r="619" spans="1:10">
      <c r="A619">
        <v>493</v>
      </c>
      <c r="B619">
        <v>1</v>
      </c>
      <c r="C619" t="str">
        <f>_xlfn.XLOOKUP(B619,raw_customers!A:A,raw_customers!B:B)</f>
        <v>Fidan Vəliyev</v>
      </c>
      <c r="D619" t="str">
        <f>_xlfn.XLOOKUP(C619,raw_customers!B:B,raw_customers!C:C)</f>
        <v>F</v>
      </c>
      <c r="E619" t="str">
        <f>_xlfn.XLOOKUP(C619,raw_customers!B:B,raw_customers!G:G)</f>
        <v>SME</v>
      </c>
      <c r="F619" t="str">
        <f>_xlfn.XLOOKUP(_xlfn.XLOOKUP(B619,raw_customers!A:A,raw_customers!F:F),raw_branches!A:A,raw_branches!B:B)</f>
        <v>Baku Yasamal</v>
      </c>
      <c r="G619" s="7">
        <v>51292.23</v>
      </c>
      <c r="H619" s="6">
        <v>5.29</v>
      </c>
      <c r="I619" t="s">
        <v>2377</v>
      </c>
      <c r="J619" t="str">
        <f t="shared" si="9"/>
        <v>Aşağı Risk</v>
      </c>
    </row>
    <row r="620" spans="1:10">
      <c r="A620">
        <v>494</v>
      </c>
      <c r="B620">
        <v>300</v>
      </c>
      <c r="C620" t="str">
        <f>_xlfn.XLOOKUP(B620,raw_customers!A:A,raw_customers!B:B)</f>
        <v>Xəyalə Hüseynov</v>
      </c>
      <c r="D620" t="str">
        <f>_xlfn.XLOOKUP(C620,raw_customers!B:B,raw_customers!C:C)</f>
        <v>F</v>
      </c>
      <c r="E620" t="str">
        <f>_xlfn.XLOOKUP(C620,raw_customers!B:B,raw_customers!G:G)</f>
        <v>Retail</v>
      </c>
      <c r="F620" t="str">
        <f>_xlfn.XLOOKUP(_xlfn.XLOOKUP(B620,raw_customers!A:A,raw_customers!F:F),raw_branches!A:A,raw_branches!B:B)</f>
        <v>Ganja Branch</v>
      </c>
      <c r="G620" s="7">
        <v>31877.7</v>
      </c>
      <c r="H620" s="6">
        <v>8.08</v>
      </c>
      <c r="I620" t="s">
        <v>2377</v>
      </c>
      <c r="J620" t="str">
        <f t="shared" si="9"/>
        <v>Aşağı Risk</v>
      </c>
    </row>
    <row r="621" spans="1:10">
      <c r="A621">
        <v>495</v>
      </c>
      <c r="B621">
        <v>395</v>
      </c>
      <c r="C621" t="str">
        <f>_xlfn.XLOOKUP(B621,raw_customers!A:A,raw_customers!B:B)</f>
        <v>Ceyhun Hüseynov</v>
      </c>
      <c r="D621" t="str">
        <f>_xlfn.XLOOKUP(C621,raw_customers!B:B,raw_customers!C:C)</f>
        <v>M</v>
      </c>
      <c r="E621" t="str">
        <f>_xlfn.XLOOKUP(C621,raw_customers!B:B,raw_customers!G:G)</f>
        <v>Premium</v>
      </c>
      <c r="F621" t="str">
        <f>_xlfn.XLOOKUP(_xlfn.XLOOKUP(B621,raw_customers!A:A,raw_customers!F:F),raw_branches!A:A,raw_branches!B:B)</f>
        <v>Sheki Branch</v>
      </c>
      <c r="G621" s="7">
        <v>69186.91</v>
      </c>
      <c r="H621" s="6">
        <v>14.07</v>
      </c>
      <c r="I621" t="s">
        <v>2383</v>
      </c>
      <c r="J621" t="str">
        <f t="shared" si="9"/>
        <v>Orta Risk</v>
      </c>
    </row>
    <row r="622" spans="1:10">
      <c r="A622">
        <v>496</v>
      </c>
      <c r="B622">
        <v>258</v>
      </c>
      <c r="C622" t="str">
        <f>_xlfn.XLOOKUP(B622,raw_customers!A:A,raw_customers!B:B)</f>
        <v>Fərid Musayev</v>
      </c>
      <c r="D622" t="str">
        <f>_xlfn.XLOOKUP(C622,raw_customers!B:B,raw_customers!C:C)</f>
        <v>M</v>
      </c>
      <c r="E622" t="str">
        <f>_xlfn.XLOOKUP(C622,raw_customers!B:B,raw_customers!G:G)</f>
        <v>Retail</v>
      </c>
      <c r="F622" t="str">
        <f>_xlfn.XLOOKUP(_xlfn.XLOOKUP(B622,raw_customers!A:A,raw_customers!F:F),raw_branches!A:A,raw_branches!B:B)</f>
        <v>Mingachevir Branch</v>
      </c>
      <c r="G622" s="7">
        <v>14345.28</v>
      </c>
      <c r="H622" s="6">
        <v>8.1</v>
      </c>
      <c r="I622" t="s">
        <v>2383</v>
      </c>
      <c r="J622" t="str">
        <f t="shared" si="9"/>
        <v>Aşağı Risk</v>
      </c>
    </row>
    <row r="623" spans="1:10">
      <c r="A623">
        <v>497</v>
      </c>
      <c r="B623">
        <v>341</v>
      </c>
      <c r="C623" t="str">
        <f>_xlfn.XLOOKUP(B623,raw_customers!A:A,raw_customers!B:B)</f>
        <v>Kamran Abbasov</v>
      </c>
      <c r="D623" t="str">
        <f>_xlfn.XLOOKUP(C623,raw_customers!B:B,raw_customers!C:C)</f>
        <v>M</v>
      </c>
      <c r="E623" t="str">
        <f>_xlfn.XLOOKUP(C623,raw_customers!B:B,raw_customers!G:G)</f>
        <v>Retail</v>
      </c>
      <c r="F623" t="str">
        <f>_xlfn.XLOOKUP(_xlfn.XLOOKUP(B623,raw_customers!A:A,raw_customers!F:F),raw_branches!A:A,raw_branches!B:B)</f>
        <v>Baku Yasamal</v>
      </c>
      <c r="G623" s="7">
        <v>91057.31</v>
      </c>
      <c r="H623" s="6">
        <v>16.24</v>
      </c>
      <c r="I623" t="s">
        <v>2377</v>
      </c>
      <c r="J623" t="str">
        <f t="shared" si="9"/>
        <v>Orta Risk</v>
      </c>
    </row>
    <row r="624" spans="1:10">
      <c r="A624">
        <v>498</v>
      </c>
      <c r="B624">
        <v>150</v>
      </c>
      <c r="C624" t="str">
        <f>_xlfn.XLOOKUP(B624,raw_customers!A:A,raw_customers!B:B)</f>
        <v>Orxan Kərimov</v>
      </c>
      <c r="D624" t="str">
        <f>_xlfn.XLOOKUP(C624,raw_customers!B:B,raw_customers!C:C)</f>
        <v>M</v>
      </c>
      <c r="E624" t="str">
        <f>_xlfn.XLOOKUP(C624,raw_customers!B:B,raw_customers!G:G)</f>
        <v>Premium</v>
      </c>
      <c r="F624" t="str">
        <f>_xlfn.XLOOKUP(_xlfn.XLOOKUP(B624,raw_customers!A:A,raw_customers!F:F),raw_branches!A:A,raw_branches!B:B)</f>
        <v>Baku Yasamal</v>
      </c>
      <c r="G624" s="7">
        <v>3531.25</v>
      </c>
      <c r="H624" s="6">
        <v>13.12</v>
      </c>
      <c r="I624" t="s">
        <v>2377</v>
      </c>
      <c r="J624" t="str">
        <f t="shared" si="9"/>
        <v>Orta Risk</v>
      </c>
    </row>
    <row r="625" spans="1:10">
      <c r="A625">
        <v>499</v>
      </c>
      <c r="B625">
        <v>65</v>
      </c>
      <c r="C625" t="str">
        <f>_xlfn.XLOOKUP(B625,raw_customers!A:A,raw_customers!B:B)</f>
        <v>Rəşad Nəbiyev</v>
      </c>
      <c r="D625" t="str">
        <f>_xlfn.XLOOKUP(C625,raw_customers!B:B,raw_customers!C:C)</f>
        <v>M</v>
      </c>
      <c r="E625" t="str">
        <f>_xlfn.XLOOKUP(C625,raw_customers!B:B,raw_customers!G:G)</f>
        <v>Retail</v>
      </c>
      <c r="F625" t="str">
        <f>_xlfn.XLOOKUP(_xlfn.XLOOKUP(B625,raw_customers!A:A,raw_customers!F:F),raw_branches!A:A,raw_branches!B:B)</f>
        <v>Baku Yasamal</v>
      </c>
      <c r="G625" s="7">
        <v>2039.78</v>
      </c>
      <c r="H625" s="6">
        <v>20.38</v>
      </c>
      <c r="I625" t="s">
        <v>2393</v>
      </c>
      <c r="J625" t="str">
        <f t="shared" si="9"/>
        <v>Default (Batıq)</v>
      </c>
    </row>
    <row r="626" spans="1:10">
      <c r="A626">
        <v>500</v>
      </c>
      <c r="B626">
        <v>383</v>
      </c>
      <c r="C626" t="str">
        <f>_xlfn.XLOOKUP(B626,raw_customers!A:A,raw_customers!B:B)</f>
        <v>Aysel Vəliyev</v>
      </c>
      <c r="D626" t="str">
        <f>_xlfn.XLOOKUP(C626,raw_customers!B:B,raw_customers!C:C)</f>
        <v>F</v>
      </c>
      <c r="E626" t="str">
        <f>_xlfn.XLOOKUP(C626,raw_customers!B:B,raw_customers!G:G)</f>
        <v>SME</v>
      </c>
      <c r="F626" t="str">
        <f>_xlfn.XLOOKUP(_xlfn.XLOOKUP(B626,raw_customers!A:A,raw_customers!F:F),raw_branches!A:A,raw_branches!B:B)</f>
        <v>Sheki Branch</v>
      </c>
      <c r="G626" s="7">
        <v>29879.78</v>
      </c>
      <c r="H626" s="6">
        <v>11.95</v>
      </c>
      <c r="I626" t="s">
        <v>2383</v>
      </c>
      <c r="J626" t="str">
        <f t="shared" si="9"/>
        <v>Aşağı Risk</v>
      </c>
    </row>
    <row r="627" spans="1:10">
      <c r="A627">
        <v>501</v>
      </c>
      <c r="B627">
        <v>147</v>
      </c>
      <c r="C627" t="str">
        <f>_xlfn.XLOOKUP(B627,raw_customers!A:A,raw_customers!B:B)</f>
        <v>Elşən Musayev</v>
      </c>
      <c r="D627" t="str">
        <f>_xlfn.XLOOKUP(C627,raw_customers!B:B,raw_customers!C:C)</f>
        <v>M</v>
      </c>
      <c r="E627" t="str">
        <f>_xlfn.XLOOKUP(C627,raw_customers!B:B,raw_customers!G:G)</f>
        <v>Retail</v>
      </c>
      <c r="F627" t="str">
        <f>_xlfn.XLOOKUP(_xlfn.XLOOKUP(B627,raw_customers!A:A,raw_customers!F:F),raw_branches!A:A,raw_branches!B:B)</f>
        <v>Sheki Branch</v>
      </c>
      <c r="G627" s="7">
        <v>8143.71</v>
      </c>
      <c r="H627" s="6">
        <v>19.25</v>
      </c>
      <c r="I627" t="s">
        <v>2383</v>
      </c>
      <c r="J627" t="str">
        <f t="shared" si="9"/>
        <v>Yüksək Risk</v>
      </c>
    </row>
    <row r="628" spans="1:10">
      <c r="A628">
        <v>502</v>
      </c>
      <c r="B628">
        <v>614</v>
      </c>
      <c r="C628" t="str">
        <f>_xlfn.XLOOKUP(B628,raw_customers!A:A,raw_customers!B:B)</f>
        <v>Könül Nəbiyev</v>
      </c>
      <c r="D628" t="str">
        <f>_xlfn.XLOOKUP(C628,raw_customers!B:B,raw_customers!C:C)</f>
        <v>F</v>
      </c>
      <c r="E628" t="str">
        <f>_xlfn.XLOOKUP(C628,raw_customers!B:B,raw_customers!G:G)</f>
        <v>Retail</v>
      </c>
      <c r="F628" t="str">
        <f>_xlfn.XLOOKUP(_xlfn.XLOOKUP(B628,raw_customers!A:A,raw_customers!F:F),raw_branches!A:A,raw_branches!B:B)</f>
        <v>Baku Yasamal</v>
      </c>
      <c r="G628" s="7">
        <v>17638.58</v>
      </c>
      <c r="H628" s="6">
        <v>7.13</v>
      </c>
      <c r="I628" t="s">
        <v>2383</v>
      </c>
      <c r="J628" t="str">
        <f t="shared" si="9"/>
        <v>Aşağı Risk</v>
      </c>
    </row>
    <row r="629" spans="1:10">
      <c r="A629">
        <v>878</v>
      </c>
      <c r="B629">
        <v>708</v>
      </c>
      <c r="C629" t="str">
        <f>_xlfn.XLOOKUP(B629,raw_customers!A:A,raw_customers!B:B)</f>
        <v>Röya Əliyev</v>
      </c>
      <c r="D629" t="str">
        <f>_xlfn.XLOOKUP(C629,raw_customers!B:B,raw_customers!C:C)</f>
        <v>F</v>
      </c>
      <c r="E629" t="str">
        <f>_xlfn.XLOOKUP(C629,raw_customers!B:B,raw_customers!G:G)</f>
        <v>Retail</v>
      </c>
      <c r="F629" t="str">
        <f>_xlfn.XLOOKUP(_xlfn.XLOOKUP(B629,raw_customers!A:A,raw_customers!F:F),raw_branches!A:A,raw_branches!B:B)</f>
        <v>Baku Yasamal</v>
      </c>
      <c r="G629" s="7">
        <v>193333.15</v>
      </c>
      <c r="H629" s="6">
        <v>17.37</v>
      </c>
      <c r="I629" t="s">
        <v>2377</v>
      </c>
      <c r="J629" t="str">
        <f t="shared" si="9"/>
        <v>Orta Risk</v>
      </c>
    </row>
    <row r="630" spans="1:10">
      <c r="A630">
        <v>879</v>
      </c>
      <c r="B630">
        <v>1</v>
      </c>
      <c r="C630" t="str">
        <f>_xlfn.XLOOKUP(B630,raw_customers!A:A,raw_customers!B:B)</f>
        <v>Fidan Vəliyev</v>
      </c>
      <c r="D630" t="str">
        <f>_xlfn.XLOOKUP(C630,raw_customers!B:B,raw_customers!C:C)</f>
        <v>F</v>
      </c>
      <c r="E630" t="str">
        <f>_xlfn.XLOOKUP(C630,raw_customers!B:B,raw_customers!G:G)</f>
        <v>SME</v>
      </c>
      <c r="F630" t="str">
        <f>_xlfn.XLOOKUP(_xlfn.XLOOKUP(B630,raw_customers!A:A,raw_customers!F:F),raw_branches!A:A,raw_branches!B:B)</f>
        <v>Baku Yasamal</v>
      </c>
      <c r="G630" s="7">
        <v>45363.59</v>
      </c>
      <c r="H630" s="6">
        <v>15.66</v>
      </c>
      <c r="I630" t="s">
        <v>2377</v>
      </c>
      <c r="J630" t="str">
        <f t="shared" si="9"/>
        <v>Orta Risk</v>
      </c>
    </row>
    <row r="631" spans="1:10">
      <c r="A631">
        <v>880</v>
      </c>
      <c r="B631">
        <v>273</v>
      </c>
      <c r="C631" t="str">
        <f>_xlfn.XLOOKUP(B631,raw_customers!A:A,raw_customers!B:B)</f>
        <v>Anar Nəbiyev</v>
      </c>
      <c r="D631" t="str">
        <f>_xlfn.XLOOKUP(C631,raw_customers!B:B,raw_customers!C:C)</f>
        <v>M</v>
      </c>
      <c r="E631" t="str">
        <f>_xlfn.XLOOKUP(C631,raw_customers!B:B,raw_customers!G:G)</f>
        <v>Retail</v>
      </c>
      <c r="F631" t="str">
        <f>_xlfn.XLOOKUP(_xlfn.XLOOKUP(B631,raw_customers!A:A,raw_customers!F:F),raw_branches!A:A,raw_branches!B:B)</f>
        <v>Baku Central</v>
      </c>
      <c r="G631" s="7">
        <v>132730.44</v>
      </c>
      <c r="H631" s="6">
        <v>8.48</v>
      </c>
      <c r="I631" t="s">
        <v>2377</v>
      </c>
      <c r="J631" t="str">
        <f t="shared" si="9"/>
        <v>Aşağı Risk</v>
      </c>
    </row>
    <row r="632" spans="1:10">
      <c r="A632">
        <v>881</v>
      </c>
      <c r="B632">
        <v>911</v>
      </c>
      <c r="C632" t="str">
        <f>_xlfn.XLOOKUP(B632,raw_customers!A:A,raw_customers!B:B)</f>
        <v>Nərmin Orucov</v>
      </c>
      <c r="D632" t="str">
        <f>_xlfn.XLOOKUP(C632,raw_customers!B:B,raw_customers!C:C)</f>
        <v>F</v>
      </c>
      <c r="E632" t="str">
        <f>_xlfn.XLOOKUP(C632,raw_customers!B:B,raw_customers!G:G)</f>
        <v>Retail</v>
      </c>
      <c r="F632" t="str">
        <f>_xlfn.XLOOKUP(_xlfn.XLOOKUP(B632,raw_customers!A:A,raw_customers!F:F),raw_branches!A:A,raw_branches!B:B)</f>
        <v>Ganja Branch</v>
      </c>
      <c r="G632" s="7">
        <v>140005.61</v>
      </c>
      <c r="H632" s="6">
        <v>7.4</v>
      </c>
      <c r="I632" t="s">
        <v>2383</v>
      </c>
      <c r="J632" t="str">
        <f t="shared" si="9"/>
        <v>Aşağı Risk</v>
      </c>
    </row>
    <row r="633" spans="1:10">
      <c r="A633">
        <v>882</v>
      </c>
      <c r="B633">
        <v>724</v>
      </c>
      <c r="C633" t="str">
        <f>_xlfn.XLOOKUP(B633,raw_customers!A:A,raw_customers!B:B)</f>
        <v>Lalə Rəhimov</v>
      </c>
      <c r="D633" t="str">
        <f>_xlfn.XLOOKUP(C633,raw_customers!B:B,raw_customers!C:C)</f>
        <v>F</v>
      </c>
      <c r="E633" t="str">
        <f>_xlfn.XLOOKUP(C633,raw_customers!B:B,raw_customers!G:G)</f>
        <v>Retail</v>
      </c>
      <c r="F633" t="str">
        <f>_xlfn.XLOOKUP(_xlfn.XLOOKUP(B633,raw_customers!A:A,raw_customers!F:F),raw_branches!A:A,raw_branches!B:B)</f>
        <v>Sumgait Branch</v>
      </c>
      <c r="G633" s="7">
        <v>147609.96</v>
      </c>
      <c r="H633" s="6">
        <v>9.05</v>
      </c>
      <c r="I633" t="s">
        <v>2377</v>
      </c>
      <c r="J633" t="str">
        <f t="shared" si="9"/>
        <v>Aşağı Risk</v>
      </c>
    </row>
    <row r="634" spans="1:10">
      <c r="A634">
        <v>883</v>
      </c>
      <c r="B634">
        <v>332</v>
      </c>
      <c r="C634" t="str">
        <f>_xlfn.XLOOKUP(B634,raw_customers!A:A,raw_customers!B:B)</f>
        <v>Rüfət Tağıyev</v>
      </c>
      <c r="D634" t="str">
        <f>_xlfn.XLOOKUP(C634,raw_customers!B:B,raw_customers!C:C)</f>
        <v>M</v>
      </c>
      <c r="E634" t="str">
        <f>_xlfn.XLOOKUP(C634,raw_customers!B:B,raw_customers!G:G)</f>
        <v>SME</v>
      </c>
      <c r="F634" t="str">
        <f>_xlfn.XLOOKUP(_xlfn.XLOOKUP(B634,raw_customers!A:A,raw_customers!F:F),raw_branches!A:A,raw_branches!B:B)</f>
        <v>Lankaran Branch</v>
      </c>
      <c r="G634" s="7">
        <v>61605.36</v>
      </c>
      <c r="H634" s="6">
        <v>13.26</v>
      </c>
      <c r="I634" t="s">
        <v>2377</v>
      </c>
      <c r="J634" t="str">
        <f t="shared" si="9"/>
        <v>Orta Risk</v>
      </c>
    </row>
    <row r="635" spans="1:10">
      <c r="A635">
        <v>884</v>
      </c>
      <c r="B635">
        <v>934</v>
      </c>
      <c r="C635" t="str">
        <f>_xlfn.XLOOKUP(B635,raw_customers!A:A,raw_customers!B:B)</f>
        <v>Xəyalə Məmmədov</v>
      </c>
      <c r="D635" t="str">
        <f>_xlfn.XLOOKUP(C635,raw_customers!B:B,raw_customers!C:C)</f>
        <v>F</v>
      </c>
      <c r="E635" t="str">
        <f>_xlfn.XLOOKUP(C635,raw_customers!B:B,raw_customers!G:G)</f>
        <v>Retail</v>
      </c>
      <c r="F635" t="str">
        <f>_xlfn.XLOOKUP(_xlfn.XLOOKUP(B635,raw_customers!A:A,raw_customers!F:F),raw_branches!A:A,raw_branches!B:B)</f>
        <v>Baku Yasamal</v>
      </c>
      <c r="G635" s="7">
        <v>149318.05</v>
      </c>
      <c r="H635" s="6">
        <v>16.06</v>
      </c>
      <c r="I635" t="s">
        <v>2377</v>
      </c>
      <c r="J635" t="str">
        <f t="shared" si="9"/>
        <v>Orta Risk</v>
      </c>
    </row>
    <row r="636" spans="1:10">
      <c r="A636">
        <v>885</v>
      </c>
      <c r="B636">
        <v>110</v>
      </c>
      <c r="C636" t="str">
        <f>_xlfn.XLOOKUP(B636,raw_customers!A:A,raw_customers!B:B)</f>
        <v>Xəyalə Hüseynov</v>
      </c>
      <c r="D636" t="str">
        <f>_xlfn.XLOOKUP(C636,raw_customers!B:B,raw_customers!C:C)</f>
        <v>F</v>
      </c>
      <c r="E636" t="str">
        <f>_xlfn.XLOOKUP(C636,raw_customers!B:B,raw_customers!G:G)</f>
        <v>Retail</v>
      </c>
      <c r="F636" t="str">
        <f>_xlfn.XLOOKUP(_xlfn.XLOOKUP(B636,raw_customers!A:A,raw_customers!F:F),raw_branches!A:A,raw_branches!B:B)</f>
        <v>Lankaran Branch</v>
      </c>
      <c r="G636" s="7">
        <v>6423.15</v>
      </c>
      <c r="H636" s="6">
        <v>21.96</v>
      </c>
      <c r="I636" t="s">
        <v>2377</v>
      </c>
      <c r="J636" t="str">
        <f t="shared" si="9"/>
        <v>Yüksək Risk</v>
      </c>
    </row>
    <row r="637" spans="1:10">
      <c r="A637">
        <v>886</v>
      </c>
      <c r="B637">
        <v>62</v>
      </c>
      <c r="C637" t="str">
        <f>_xlfn.XLOOKUP(B637,raw_customers!A:A,raw_customers!B:B)</f>
        <v>Samir Musayev</v>
      </c>
      <c r="D637" t="str">
        <f>_xlfn.XLOOKUP(C637,raw_customers!B:B,raw_customers!C:C)</f>
        <v>M</v>
      </c>
      <c r="E637" t="str">
        <f>_xlfn.XLOOKUP(C637,raw_customers!B:B,raw_customers!G:G)</f>
        <v>Premium</v>
      </c>
      <c r="F637" t="str">
        <f>_xlfn.XLOOKUP(_xlfn.XLOOKUP(B637,raw_customers!A:A,raw_customers!F:F),raw_branches!A:A,raw_branches!B:B)</f>
        <v>Baku Yasamal</v>
      </c>
      <c r="G637" s="7">
        <v>1280.77</v>
      </c>
      <c r="H637" s="6">
        <v>21.97</v>
      </c>
      <c r="I637" t="s">
        <v>2377</v>
      </c>
      <c r="J637" t="str">
        <f t="shared" si="9"/>
        <v>Yüksək Risk</v>
      </c>
    </row>
    <row r="638" spans="1:10">
      <c r="A638">
        <v>887</v>
      </c>
      <c r="B638">
        <v>721</v>
      </c>
      <c r="C638" t="str">
        <f>_xlfn.XLOOKUP(B638,raw_customers!A:A,raw_customers!B:B)</f>
        <v>Fidan Abbasov</v>
      </c>
      <c r="D638" t="str">
        <f>_xlfn.XLOOKUP(C638,raw_customers!B:B,raw_customers!C:C)</f>
        <v>F</v>
      </c>
      <c r="E638" t="str">
        <f>_xlfn.XLOOKUP(C638,raw_customers!B:B,raw_customers!G:G)</f>
        <v>SME</v>
      </c>
      <c r="F638" t="str">
        <f>_xlfn.XLOOKUP(_xlfn.XLOOKUP(B638,raw_customers!A:A,raw_customers!F:F),raw_branches!A:A,raw_branches!B:B)</f>
        <v>Sumgait Branch</v>
      </c>
      <c r="G638" s="7">
        <v>146876.81</v>
      </c>
      <c r="H638" s="6">
        <v>12.59</v>
      </c>
      <c r="I638" t="s">
        <v>2377</v>
      </c>
      <c r="J638" t="str">
        <f t="shared" si="9"/>
        <v>Orta Risk</v>
      </c>
    </row>
    <row r="639" spans="1:10">
      <c r="A639">
        <v>888</v>
      </c>
      <c r="B639">
        <v>718</v>
      </c>
      <c r="C639" t="str">
        <f>_xlfn.XLOOKUP(B639,raw_customers!A:A,raw_customers!B:B)</f>
        <v>Nərgiz Sadıqov</v>
      </c>
      <c r="D639" t="str">
        <f>_xlfn.XLOOKUP(C639,raw_customers!B:B,raw_customers!C:C)</f>
        <v>F</v>
      </c>
      <c r="E639" t="str">
        <f>_xlfn.XLOOKUP(C639,raw_customers!B:B,raw_customers!G:G)</f>
        <v>SME</v>
      </c>
      <c r="F639" t="str">
        <f>_xlfn.XLOOKUP(_xlfn.XLOOKUP(B639,raw_customers!A:A,raw_customers!F:F),raw_branches!A:A,raw_branches!B:B)</f>
        <v>Baku Yasamal</v>
      </c>
      <c r="G639" s="7">
        <v>125793.5</v>
      </c>
      <c r="H639" s="6">
        <v>7.07</v>
      </c>
      <c r="I639" t="s">
        <v>2377</v>
      </c>
      <c r="J639" t="str">
        <f t="shared" si="9"/>
        <v>Aşağı Risk</v>
      </c>
    </row>
    <row r="640" spans="1:10">
      <c r="A640">
        <v>889</v>
      </c>
      <c r="B640">
        <v>614</v>
      </c>
      <c r="C640" t="str">
        <f>_xlfn.XLOOKUP(B640,raw_customers!A:A,raw_customers!B:B)</f>
        <v>Könül Nəbiyev</v>
      </c>
      <c r="D640" t="str">
        <f>_xlfn.XLOOKUP(C640,raw_customers!B:B,raw_customers!C:C)</f>
        <v>F</v>
      </c>
      <c r="E640" t="str">
        <f>_xlfn.XLOOKUP(C640,raw_customers!B:B,raw_customers!G:G)</f>
        <v>Retail</v>
      </c>
      <c r="F640" t="str">
        <f>_xlfn.XLOOKUP(_xlfn.XLOOKUP(B640,raw_customers!A:A,raw_customers!F:F),raw_branches!A:A,raw_branches!B:B)</f>
        <v>Baku Yasamal</v>
      </c>
      <c r="G640" s="7">
        <v>64755.13</v>
      </c>
      <c r="H640" s="6">
        <v>11.49</v>
      </c>
      <c r="I640" t="s">
        <v>2377</v>
      </c>
      <c r="J640" t="str">
        <f t="shared" si="9"/>
        <v>Aşağı Risk</v>
      </c>
    </row>
    <row r="641" spans="1:10">
      <c r="A641">
        <v>890</v>
      </c>
      <c r="B641">
        <v>841</v>
      </c>
      <c r="C641" t="str">
        <f>_xlfn.XLOOKUP(B641,raw_customers!A:A,raw_customers!B:B)</f>
        <v>Kənan Tağıyev</v>
      </c>
      <c r="D641" t="str">
        <f>_xlfn.XLOOKUP(C641,raw_customers!B:B,raw_customers!C:C)</f>
        <v>M</v>
      </c>
      <c r="E641" t="str">
        <f>_xlfn.XLOOKUP(C641,raw_customers!B:B,raw_customers!G:G)</f>
        <v>Retail</v>
      </c>
      <c r="F641" t="str">
        <f>_xlfn.XLOOKUP(_xlfn.XLOOKUP(B641,raw_customers!A:A,raw_customers!F:F),raw_branches!A:A,raw_branches!B:B)</f>
        <v>Lankaran Branch</v>
      </c>
      <c r="G641" s="7">
        <v>172199.02</v>
      </c>
      <c r="H641" s="6">
        <v>7.99</v>
      </c>
      <c r="I641" t="s">
        <v>2377</v>
      </c>
      <c r="J641" t="str">
        <f t="shared" si="9"/>
        <v>Aşağı Risk</v>
      </c>
    </row>
    <row r="642" spans="1:10">
      <c r="A642">
        <v>891</v>
      </c>
      <c r="B642">
        <v>547</v>
      </c>
      <c r="C642" t="str">
        <f>_xlfn.XLOOKUP(B642,raw_customers!A:A,raw_customers!B:B)</f>
        <v>Şəbnəm Kərimov</v>
      </c>
      <c r="D642" t="str">
        <f>_xlfn.XLOOKUP(C642,raw_customers!B:B,raw_customers!C:C)</f>
        <v>F</v>
      </c>
      <c r="E642" t="str">
        <f>_xlfn.XLOOKUP(C642,raw_customers!B:B,raw_customers!G:G)</f>
        <v>Retail</v>
      </c>
      <c r="F642" t="str">
        <f>_xlfn.XLOOKUP(_xlfn.XLOOKUP(B642,raw_customers!A:A,raw_customers!F:F),raw_branches!A:A,raw_branches!B:B)</f>
        <v>Mingachevir Branch</v>
      </c>
      <c r="G642" s="7">
        <v>11570.23</v>
      </c>
      <c r="H642" s="6">
        <v>13.43</v>
      </c>
      <c r="I642" t="s">
        <v>2383</v>
      </c>
      <c r="J642" t="str">
        <f t="shared" si="9"/>
        <v>Orta Risk</v>
      </c>
    </row>
    <row r="643" spans="1:10">
      <c r="A643">
        <v>892</v>
      </c>
      <c r="B643">
        <v>790</v>
      </c>
      <c r="C643" t="str">
        <f>_xlfn.XLOOKUP(B643,raw_customers!A:A,raw_customers!B:B)</f>
        <v>Zeynəb Quliyev</v>
      </c>
      <c r="D643" t="str">
        <f>_xlfn.XLOOKUP(C643,raw_customers!B:B,raw_customers!C:C)</f>
        <v>F</v>
      </c>
      <c r="E643" t="str">
        <f>_xlfn.XLOOKUP(C643,raw_customers!B:B,raw_customers!G:G)</f>
        <v>Retail</v>
      </c>
      <c r="F643" t="str">
        <f>_xlfn.XLOOKUP(_xlfn.XLOOKUP(B643,raw_customers!A:A,raw_customers!F:F),raw_branches!A:A,raw_branches!B:B)</f>
        <v>Sumgait Branch</v>
      </c>
      <c r="G643" s="7">
        <v>37408.81</v>
      </c>
      <c r="H643" s="6">
        <v>10.36</v>
      </c>
      <c r="I643" t="s">
        <v>2377</v>
      </c>
      <c r="J643" t="str">
        <f t="shared" ref="J643:J706" si="10">IF(I643="Default","Default (Batıq)",IF(H643&gt;=18,"Yüksək Risk",IF(H643&gt;=12,"Orta Risk","Aşağı Risk")))</f>
        <v>Aşağı Risk</v>
      </c>
    </row>
    <row r="644" spans="1:10">
      <c r="A644">
        <v>893</v>
      </c>
      <c r="B644">
        <v>727</v>
      </c>
      <c r="C644" t="str">
        <f>_xlfn.XLOOKUP(B644,raw_customers!A:A,raw_customers!B:B)</f>
        <v>Ramin Hüseynov</v>
      </c>
      <c r="D644" t="str">
        <f>_xlfn.XLOOKUP(C644,raw_customers!B:B,raw_customers!C:C)</f>
        <v>M</v>
      </c>
      <c r="E644" t="str">
        <f>_xlfn.XLOOKUP(C644,raw_customers!B:B,raw_customers!G:G)</f>
        <v>SME</v>
      </c>
      <c r="F644" t="str">
        <f>_xlfn.XLOOKUP(_xlfn.XLOOKUP(B644,raw_customers!A:A,raw_customers!F:F),raw_branches!A:A,raw_branches!B:B)</f>
        <v>Baku Yasamal</v>
      </c>
      <c r="G644" s="7">
        <v>20913.37</v>
      </c>
      <c r="H644" s="6">
        <v>6.09</v>
      </c>
      <c r="I644" t="s">
        <v>2377</v>
      </c>
      <c r="J644" t="str">
        <f t="shared" si="10"/>
        <v>Aşağı Risk</v>
      </c>
    </row>
    <row r="645" spans="1:10">
      <c r="A645">
        <v>894</v>
      </c>
      <c r="B645">
        <v>854</v>
      </c>
      <c r="C645" t="str">
        <f>_xlfn.XLOOKUP(B645,raw_customers!A:A,raw_customers!B:B)</f>
        <v>Şəbnəm Məmmədov</v>
      </c>
      <c r="D645" t="str">
        <f>_xlfn.XLOOKUP(C645,raw_customers!B:B,raw_customers!C:C)</f>
        <v>F</v>
      </c>
      <c r="E645" t="str">
        <f>_xlfn.XLOOKUP(C645,raw_customers!B:B,raw_customers!G:G)</f>
        <v>SME</v>
      </c>
      <c r="F645" t="str">
        <f>_xlfn.XLOOKUP(_xlfn.XLOOKUP(B645,raw_customers!A:A,raw_customers!F:F),raw_branches!A:A,raw_branches!B:B)</f>
        <v>Mingachevir Branch</v>
      </c>
      <c r="G645" s="7">
        <v>7802.35</v>
      </c>
      <c r="H645" s="6">
        <v>8.92</v>
      </c>
      <c r="I645" t="s">
        <v>2393</v>
      </c>
      <c r="J645" t="str">
        <f t="shared" si="10"/>
        <v>Default (Batıq)</v>
      </c>
    </row>
    <row r="646" spans="1:10">
      <c r="A646">
        <v>895</v>
      </c>
      <c r="B646">
        <v>360</v>
      </c>
      <c r="C646" t="str">
        <f>_xlfn.XLOOKUP(B646,raw_customers!A:A,raw_customers!B:B)</f>
        <v>Rüfət Əliyev</v>
      </c>
      <c r="D646" t="str">
        <f>_xlfn.XLOOKUP(C646,raw_customers!B:B,raw_customers!C:C)</f>
        <v>M</v>
      </c>
      <c r="E646" t="str">
        <f>_xlfn.XLOOKUP(C646,raw_customers!B:B,raw_customers!G:G)</f>
        <v>SME</v>
      </c>
      <c r="F646" t="str">
        <f>_xlfn.XLOOKUP(_xlfn.XLOOKUP(B646,raw_customers!A:A,raw_customers!F:F),raw_branches!A:A,raw_branches!B:B)</f>
        <v>Ganja Branch</v>
      </c>
      <c r="G646" s="7">
        <v>4264.04</v>
      </c>
      <c r="H646" s="6">
        <v>17.74</v>
      </c>
      <c r="I646" t="s">
        <v>2377</v>
      </c>
      <c r="J646" t="str">
        <f t="shared" si="10"/>
        <v>Orta Risk</v>
      </c>
    </row>
    <row r="647" spans="1:10">
      <c r="A647">
        <v>896</v>
      </c>
      <c r="B647">
        <v>458</v>
      </c>
      <c r="C647" t="str">
        <f>_xlfn.XLOOKUP(B647,raw_customers!A:A,raw_customers!B:B)</f>
        <v>Elşən Əliyev</v>
      </c>
      <c r="D647" t="str">
        <f>_xlfn.XLOOKUP(C647,raw_customers!B:B,raw_customers!C:C)</f>
        <v>M</v>
      </c>
      <c r="E647" t="str">
        <f>_xlfn.XLOOKUP(C647,raw_customers!B:B,raw_customers!G:G)</f>
        <v>SME</v>
      </c>
      <c r="F647" t="str">
        <f>_xlfn.XLOOKUP(_xlfn.XLOOKUP(B647,raw_customers!A:A,raw_customers!F:F),raw_branches!A:A,raw_branches!B:B)</f>
        <v>Sheki Branch</v>
      </c>
      <c r="G647" s="7">
        <v>14242.6</v>
      </c>
      <c r="H647" s="6">
        <v>13.93</v>
      </c>
      <c r="I647" t="s">
        <v>2393</v>
      </c>
      <c r="J647" t="str">
        <f t="shared" si="10"/>
        <v>Default (Batıq)</v>
      </c>
    </row>
    <row r="648" spans="1:10">
      <c r="A648">
        <v>897</v>
      </c>
      <c r="B648">
        <v>270</v>
      </c>
      <c r="C648" t="str">
        <f>_xlfn.XLOOKUP(B648,raw_customers!A:A,raw_customers!B:B)</f>
        <v>Ramin Nəbiyev</v>
      </c>
      <c r="D648" t="str">
        <f>_xlfn.XLOOKUP(C648,raw_customers!B:B,raw_customers!C:C)</f>
        <v>M</v>
      </c>
      <c r="E648" t="str">
        <f>_xlfn.XLOOKUP(C648,raw_customers!B:B,raw_customers!G:G)</f>
        <v>Premium</v>
      </c>
      <c r="F648" t="str">
        <f>_xlfn.XLOOKUP(_xlfn.XLOOKUP(B648,raw_customers!A:A,raw_customers!F:F),raw_branches!A:A,raw_branches!B:B)</f>
        <v>Lankaran Branch</v>
      </c>
      <c r="G648" s="7">
        <v>4509.47</v>
      </c>
      <c r="H648" s="6">
        <v>12.89</v>
      </c>
      <c r="I648" t="s">
        <v>2377</v>
      </c>
      <c r="J648" t="str">
        <f t="shared" si="10"/>
        <v>Orta Risk</v>
      </c>
    </row>
    <row r="649" spans="1:10">
      <c r="A649">
        <v>898</v>
      </c>
      <c r="B649">
        <v>776</v>
      </c>
      <c r="C649" t="str">
        <f>_xlfn.XLOOKUP(B649,raw_customers!A:A,raw_customers!B:B)</f>
        <v>Türkan İsmayılov</v>
      </c>
      <c r="D649" t="str">
        <f>_xlfn.XLOOKUP(C649,raw_customers!B:B,raw_customers!C:C)</f>
        <v>F</v>
      </c>
      <c r="E649" t="str">
        <f>_xlfn.XLOOKUP(C649,raw_customers!B:B,raw_customers!G:G)</f>
        <v>SME</v>
      </c>
      <c r="F649" t="str">
        <f>_xlfn.XLOOKUP(_xlfn.XLOOKUP(B649,raw_customers!A:A,raw_customers!F:F),raw_branches!A:A,raw_branches!B:B)</f>
        <v>Ganja Branch</v>
      </c>
      <c r="G649" s="7">
        <v>12782.51</v>
      </c>
      <c r="H649" s="6">
        <v>13.92</v>
      </c>
      <c r="I649" t="s">
        <v>2377</v>
      </c>
      <c r="J649" t="str">
        <f t="shared" si="10"/>
        <v>Orta Risk</v>
      </c>
    </row>
    <row r="650" spans="1:10">
      <c r="A650">
        <v>899</v>
      </c>
      <c r="B650">
        <v>368</v>
      </c>
      <c r="C650" t="str">
        <f>_xlfn.XLOOKUP(B650,raw_customers!A:A,raw_customers!B:B)</f>
        <v>Könül İsmayılov</v>
      </c>
      <c r="D650" t="str">
        <f>_xlfn.XLOOKUP(C650,raw_customers!B:B,raw_customers!C:C)</f>
        <v>F</v>
      </c>
      <c r="E650" t="str">
        <f>_xlfn.XLOOKUP(C650,raw_customers!B:B,raw_customers!G:G)</f>
        <v>Retail</v>
      </c>
      <c r="F650" t="str">
        <f>_xlfn.XLOOKUP(_xlfn.XLOOKUP(B650,raw_customers!A:A,raw_customers!F:F),raw_branches!A:A,raw_branches!B:B)</f>
        <v>Baku Central</v>
      </c>
      <c r="G650" s="7">
        <v>1910.04</v>
      </c>
      <c r="H650" s="6">
        <v>17.71</v>
      </c>
      <c r="I650" t="s">
        <v>2377</v>
      </c>
      <c r="J650" t="str">
        <f t="shared" si="10"/>
        <v>Orta Risk</v>
      </c>
    </row>
    <row r="651" spans="1:10">
      <c r="A651">
        <v>900</v>
      </c>
      <c r="B651">
        <v>350</v>
      </c>
      <c r="C651" t="str">
        <f>_xlfn.XLOOKUP(B651,raw_customers!A:A,raw_customers!B:B)</f>
        <v>Kənan Quliyev</v>
      </c>
      <c r="D651" t="str">
        <f>_xlfn.XLOOKUP(C651,raw_customers!B:B,raw_customers!C:C)</f>
        <v>M</v>
      </c>
      <c r="E651" t="str">
        <f>_xlfn.XLOOKUP(C651,raw_customers!B:B,raw_customers!G:G)</f>
        <v>Retail</v>
      </c>
      <c r="F651" t="str">
        <f>_xlfn.XLOOKUP(_xlfn.XLOOKUP(B651,raw_customers!A:A,raw_customers!F:F),raw_branches!A:A,raw_branches!B:B)</f>
        <v>Mingachevir Branch</v>
      </c>
      <c r="G651" s="7">
        <v>138402.04</v>
      </c>
      <c r="H651" s="6">
        <v>8.25</v>
      </c>
      <c r="I651" t="s">
        <v>2377</v>
      </c>
      <c r="J651" t="str">
        <f t="shared" si="10"/>
        <v>Aşağı Risk</v>
      </c>
    </row>
    <row r="652" spans="1:10">
      <c r="A652">
        <v>901</v>
      </c>
      <c r="B652">
        <v>737</v>
      </c>
      <c r="C652" t="str">
        <f>_xlfn.XLOOKUP(B652,raw_customers!A:A,raw_customers!B:B)</f>
        <v>Kamran Həsənov</v>
      </c>
      <c r="D652" t="str">
        <f>_xlfn.XLOOKUP(C652,raw_customers!B:B,raw_customers!C:C)</f>
        <v>M</v>
      </c>
      <c r="E652" t="str">
        <f>_xlfn.XLOOKUP(C652,raw_customers!B:B,raw_customers!G:G)</f>
        <v>Retail</v>
      </c>
      <c r="F652" t="str">
        <f>_xlfn.XLOOKUP(_xlfn.XLOOKUP(B652,raw_customers!A:A,raw_customers!F:F),raw_branches!A:A,raw_branches!B:B)</f>
        <v>Ganja Branch</v>
      </c>
      <c r="G652" s="7">
        <v>154211.85</v>
      </c>
      <c r="H652" s="6">
        <v>13.49</v>
      </c>
      <c r="I652" t="s">
        <v>2377</v>
      </c>
      <c r="J652" t="str">
        <f t="shared" si="10"/>
        <v>Orta Risk</v>
      </c>
    </row>
    <row r="653" spans="1:10">
      <c r="A653">
        <v>902</v>
      </c>
      <c r="B653">
        <v>868</v>
      </c>
      <c r="C653" t="str">
        <f>_xlfn.XLOOKUP(B653,raw_customers!A:A,raw_customers!B:B)</f>
        <v>Tural İsmayılov</v>
      </c>
      <c r="D653" t="str">
        <f>_xlfn.XLOOKUP(C653,raw_customers!B:B,raw_customers!C:C)</f>
        <v>M</v>
      </c>
      <c r="E653" t="str">
        <f>_xlfn.XLOOKUP(C653,raw_customers!B:B,raw_customers!G:G)</f>
        <v>Retail</v>
      </c>
      <c r="F653" t="str">
        <f>_xlfn.XLOOKUP(_xlfn.XLOOKUP(B653,raw_customers!A:A,raw_customers!F:F),raw_branches!A:A,raw_branches!B:B)</f>
        <v>Lankaran Branch</v>
      </c>
      <c r="G653" s="7">
        <v>2789.52</v>
      </c>
      <c r="H653" s="6">
        <v>21.45</v>
      </c>
      <c r="I653" t="s">
        <v>2383</v>
      </c>
      <c r="J653" t="str">
        <f t="shared" si="10"/>
        <v>Yüksək Risk</v>
      </c>
    </row>
    <row r="654" spans="1:10">
      <c r="A654">
        <v>903</v>
      </c>
      <c r="B654">
        <v>846</v>
      </c>
      <c r="C654" t="str">
        <f>_xlfn.XLOOKUP(B654,raw_customers!A:A,raw_customers!B:B)</f>
        <v>Nərmin Vəliyev</v>
      </c>
      <c r="D654" t="str">
        <f>_xlfn.XLOOKUP(C654,raw_customers!B:B,raw_customers!C:C)</f>
        <v>F</v>
      </c>
      <c r="E654" t="str">
        <f>_xlfn.XLOOKUP(C654,raw_customers!B:B,raw_customers!G:G)</f>
        <v>Retail</v>
      </c>
      <c r="F654" t="str">
        <f>_xlfn.XLOOKUP(_xlfn.XLOOKUP(B654,raw_customers!A:A,raw_customers!F:F),raw_branches!A:A,raw_branches!B:B)</f>
        <v>Baku Central</v>
      </c>
      <c r="G654" s="7">
        <v>32388.89</v>
      </c>
      <c r="H654" s="6">
        <v>19.46</v>
      </c>
      <c r="I654" t="s">
        <v>2377</v>
      </c>
      <c r="J654" t="str">
        <f t="shared" si="10"/>
        <v>Yüksək Risk</v>
      </c>
    </row>
    <row r="655" spans="1:10">
      <c r="A655">
        <v>904</v>
      </c>
      <c r="B655">
        <v>800</v>
      </c>
      <c r="C655" t="str">
        <f>_xlfn.XLOOKUP(B655,raw_customers!A:A,raw_customers!B:B)</f>
        <v>Kamran Hüseynov</v>
      </c>
      <c r="D655" t="str">
        <f>_xlfn.XLOOKUP(C655,raw_customers!B:B,raw_customers!C:C)</f>
        <v>M</v>
      </c>
      <c r="E655" t="str">
        <f>_xlfn.XLOOKUP(C655,raw_customers!B:B,raw_customers!G:G)</f>
        <v>Retail</v>
      </c>
      <c r="F655" t="str">
        <f>_xlfn.XLOOKUP(_xlfn.XLOOKUP(B655,raw_customers!A:A,raw_customers!F:F),raw_branches!A:A,raw_branches!B:B)</f>
        <v>Ganja Branch</v>
      </c>
      <c r="G655" s="2">
        <v>13572</v>
      </c>
      <c r="H655" s="6">
        <v>8.64</v>
      </c>
      <c r="I655" t="s">
        <v>2377</v>
      </c>
      <c r="J655" t="str">
        <f t="shared" si="10"/>
        <v>Aşağı Risk</v>
      </c>
    </row>
    <row r="656" spans="1:10">
      <c r="A656">
        <v>905</v>
      </c>
      <c r="B656">
        <v>513</v>
      </c>
      <c r="C656" t="str">
        <f>_xlfn.XLOOKUP(B656,raw_customers!A:A,raw_customers!B:B)</f>
        <v>Emin Cəfərov</v>
      </c>
      <c r="D656" t="str">
        <f>_xlfn.XLOOKUP(C656,raw_customers!B:B,raw_customers!C:C)</f>
        <v>M</v>
      </c>
      <c r="E656" t="str">
        <f>_xlfn.XLOOKUP(C656,raw_customers!B:B,raw_customers!G:G)</f>
        <v>Retail</v>
      </c>
      <c r="F656" t="str">
        <f>_xlfn.XLOOKUP(_xlfn.XLOOKUP(B656,raw_customers!A:A,raw_customers!F:F),raw_branches!A:A,raw_branches!B:B)</f>
        <v>Mingachevir Branch</v>
      </c>
      <c r="G656" s="7">
        <v>89725.91</v>
      </c>
      <c r="H656" s="6">
        <v>5.41</v>
      </c>
      <c r="I656" t="s">
        <v>2377</v>
      </c>
      <c r="J656" t="str">
        <f t="shared" si="10"/>
        <v>Aşağı Risk</v>
      </c>
    </row>
    <row r="657" spans="1:10">
      <c r="A657">
        <v>906</v>
      </c>
      <c r="B657">
        <v>235</v>
      </c>
      <c r="C657" t="str">
        <f>_xlfn.XLOOKUP(B657,raw_customers!A:A,raw_customers!B:B)</f>
        <v>Səbinə Rəhimov</v>
      </c>
      <c r="D657" t="str">
        <f>_xlfn.XLOOKUP(C657,raw_customers!B:B,raw_customers!C:C)</f>
        <v>F</v>
      </c>
      <c r="E657" t="str">
        <f>_xlfn.XLOOKUP(C657,raw_customers!B:B,raw_customers!G:G)</f>
        <v>Premium</v>
      </c>
      <c r="F657" t="str">
        <f>_xlfn.XLOOKUP(_xlfn.XLOOKUP(B657,raw_customers!A:A,raw_customers!F:F),raw_branches!A:A,raw_branches!B:B)</f>
        <v>Baku Yasamal</v>
      </c>
      <c r="G657" s="7">
        <v>78923.82</v>
      </c>
      <c r="H657" s="6">
        <v>17.16</v>
      </c>
      <c r="I657" t="s">
        <v>2377</v>
      </c>
      <c r="J657" t="str">
        <f t="shared" si="10"/>
        <v>Orta Risk</v>
      </c>
    </row>
    <row r="658" spans="1:10">
      <c r="A658">
        <v>907</v>
      </c>
      <c r="B658">
        <v>769</v>
      </c>
      <c r="C658" t="str">
        <f>_xlfn.XLOOKUP(B658,raw_customers!A:A,raw_customers!B:B)</f>
        <v>Murad Cəfərov</v>
      </c>
      <c r="D658" t="str">
        <f>_xlfn.XLOOKUP(C658,raw_customers!B:B,raw_customers!C:C)</f>
        <v>M</v>
      </c>
      <c r="E658" t="str">
        <f>_xlfn.XLOOKUP(C658,raw_customers!B:B,raw_customers!G:G)</f>
        <v>SME</v>
      </c>
      <c r="F658" t="str">
        <f>_xlfn.XLOOKUP(_xlfn.XLOOKUP(B658,raw_customers!A:A,raw_customers!F:F),raw_branches!A:A,raw_branches!B:B)</f>
        <v>Ganja Branch</v>
      </c>
      <c r="G658" s="7">
        <v>8041.34</v>
      </c>
      <c r="H658" s="6">
        <v>11.05</v>
      </c>
      <c r="I658" t="s">
        <v>2377</v>
      </c>
      <c r="J658" t="str">
        <f t="shared" si="10"/>
        <v>Aşağı Risk</v>
      </c>
    </row>
    <row r="659" spans="1:10">
      <c r="A659">
        <v>908</v>
      </c>
      <c r="B659">
        <v>121</v>
      </c>
      <c r="C659" t="str">
        <f>_xlfn.XLOOKUP(B659,raw_customers!A:A,raw_customers!B:B)</f>
        <v>Səbinə Orucov</v>
      </c>
      <c r="D659" t="str">
        <f>_xlfn.XLOOKUP(C659,raw_customers!B:B,raw_customers!C:C)</f>
        <v>F</v>
      </c>
      <c r="E659" t="str">
        <f>_xlfn.XLOOKUP(C659,raw_customers!B:B,raw_customers!G:G)</f>
        <v>Retail</v>
      </c>
      <c r="F659" t="str">
        <f>_xlfn.XLOOKUP(_xlfn.XLOOKUP(B659,raw_customers!A:A,raw_customers!F:F),raw_branches!A:A,raw_branches!B:B)</f>
        <v>Baku Central</v>
      </c>
      <c r="G659" s="7">
        <v>25588.86</v>
      </c>
      <c r="H659" s="6">
        <v>18.9</v>
      </c>
      <c r="I659" t="s">
        <v>2377</v>
      </c>
      <c r="J659" t="str">
        <f t="shared" si="10"/>
        <v>Yüksək Risk</v>
      </c>
    </row>
    <row r="660" spans="1:10">
      <c r="A660">
        <v>909</v>
      </c>
      <c r="B660">
        <v>610</v>
      </c>
      <c r="C660" t="str">
        <f>_xlfn.XLOOKUP(B660,raw_customers!A:A,raw_customers!B:B)</f>
        <v>Aysel Əzizov</v>
      </c>
      <c r="D660" t="str">
        <f>_xlfn.XLOOKUP(C660,raw_customers!B:B,raw_customers!C:C)</f>
        <v>F</v>
      </c>
      <c r="E660" t="str">
        <f>_xlfn.XLOOKUP(C660,raw_customers!B:B,raw_customers!G:G)</f>
        <v>SME</v>
      </c>
      <c r="F660" t="str">
        <f>_xlfn.XLOOKUP(_xlfn.XLOOKUP(B660,raw_customers!A:A,raw_customers!F:F),raw_branches!A:A,raw_branches!B:B)</f>
        <v>Ganja Branch</v>
      </c>
      <c r="G660" s="7">
        <v>111732.9</v>
      </c>
      <c r="H660" s="6">
        <v>18.65</v>
      </c>
      <c r="I660" t="s">
        <v>2377</v>
      </c>
      <c r="J660" t="str">
        <f t="shared" si="10"/>
        <v>Yüksək Risk</v>
      </c>
    </row>
    <row r="661" spans="1:10">
      <c r="A661">
        <v>910</v>
      </c>
      <c r="B661">
        <v>955</v>
      </c>
      <c r="C661" t="str">
        <f>_xlfn.XLOOKUP(B661,raw_customers!A:A,raw_customers!B:B)</f>
        <v>Kənan Vəliyev</v>
      </c>
      <c r="D661" t="str">
        <f>_xlfn.XLOOKUP(C661,raw_customers!B:B,raw_customers!C:C)</f>
        <v>M</v>
      </c>
      <c r="E661" t="str">
        <f>_xlfn.XLOOKUP(C661,raw_customers!B:B,raw_customers!G:G)</f>
        <v>Premium</v>
      </c>
      <c r="F661" t="str">
        <f>_xlfn.XLOOKUP(_xlfn.XLOOKUP(B661,raw_customers!A:A,raw_customers!F:F),raw_branches!A:A,raw_branches!B:B)</f>
        <v>Mingachevir Branch</v>
      </c>
      <c r="G661" s="7">
        <v>134901.53</v>
      </c>
      <c r="H661" s="6">
        <v>15.29</v>
      </c>
      <c r="I661" t="s">
        <v>2377</v>
      </c>
      <c r="J661" t="str">
        <f t="shared" si="10"/>
        <v>Orta Risk</v>
      </c>
    </row>
    <row r="662" spans="1:10">
      <c r="A662">
        <v>911</v>
      </c>
      <c r="B662">
        <v>968</v>
      </c>
      <c r="C662" t="str">
        <f>_xlfn.XLOOKUP(B662,raw_customers!A:A,raw_customers!B:B)</f>
        <v>Kənan Nəbiyev</v>
      </c>
      <c r="D662" t="str">
        <f>_xlfn.XLOOKUP(C662,raw_customers!B:B,raw_customers!C:C)</f>
        <v>M</v>
      </c>
      <c r="E662" t="str">
        <f>_xlfn.XLOOKUP(C662,raw_customers!B:B,raw_customers!G:G)</f>
        <v>Retail</v>
      </c>
      <c r="F662" t="str">
        <f>_xlfn.XLOOKUP(_xlfn.XLOOKUP(B662,raw_customers!A:A,raw_customers!F:F),raw_branches!A:A,raw_branches!B:B)</f>
        <v>Ganja Branch</v>
      </c>
      <c r="G662" s="7">
        <v>135456.99</v>
      </c>
      <c r="H662" s="6">
        <v>13.62</v>
      </c>
      <c r="I662" t="s">
        <v>2377</v>
      </c>
      <c r="J662" t="str">
        <f t="shared" si="10"/>
        <v>Orta Risk</v>
      </c>
    </row>
    <row r="663" spans="1:10">
      <c r="A663">
        <v>912</v>
      </c>
      <c r="B663">
        <v>404</v>
      </c>
      <c r="C663" t="str">
        <f>_xlfn.XLOOKUP(B663,raw_customers!A:A,raw_customers!B:B)</f>
        <v>Türkan Rəhimov</v>
      </c>
      <c r="D663" t="str">
        <f>_xlfn.XLOOKUP(C663,raw_customers!B:B,raw_customers!C:C)</f>
        <v>F</v>
      </c>
      <c r="E663" t="str">
        <f>_xlfn.XLOOKUP(C663,raw_customers!B:B,raw_customers!G:G)</f>
        <v>SME</v>
      </c>
      <c r="F663" t="str">
        <f>_xlfn.XLOOKUP(_xlfn.XLOOKUP(B663,raw_customers!A:A,raw_customers!F:F),raw_branches!A:A,raw_branches!B:B)</f>
        <v>Ganja Branch</v>
      </c>
      <c r="G663" s="7">
        <v>36138.61</v>
      </c>
      <c r="H663" s="6">
        <v>16.71</v>
      </c>
      <c r="I663" t="s">
        <v>2377</v>
      </c>
      <c r="J663" t="str">
        <f t="shared" si="10"/>
        <v>Orta Risk</v>
      </c>
    </row>
    <row r="664" spans="1:10">
      <c r="A664">
        <v>913</v>
      </c>
      <c r="B664">
        <v>139</v>
      </c>
      <c r="C664" t="str">
        <f>_xlfn.XLOOKUP(B664,raw_customers!A:A,raw_customers!B:B)</f>
        <v>Anar Tağıyev</v>
      </c>
      <c r="D664" t="str">
        <f>_xlfn.XLOOKUP(C664,raw_customers!B:B,raw_customers!C:C)</f>
        <v>M</v>
      </c>
      <c r="E664" t="str">
        <f>_xlfn.XLOOKUP(C664,raw_customers!B:B,raw_customers!G:G)</f>
        <v>Retail</v>
      </c>
      <c r="F664" t="str">
        <f>_xlfn.XLOOKUP(_xlfn.XLOOKUP(B664,raw_customers!A:A,raw_customers!F:F),raw_branches!A:A,raw_branches!B:B)</f>
        <v>Ganja Branch</v>
      </c>
      <c r="G664" s="7">
        <v>13223.72</v>
      </c>
      <c r="H664" s="6">
        <v>19.14</v>
      </c>
      <c r="I664" t="s">
        <v>2383</v>
      </c>
      <c r="J664" t="str">
        <f t="shared" si="10"/>
        <v>Yüksək Risk</v>
      </c>
    </row>
    <row r="665" spans="1:10">
      <c r="A665">
        <v>914</v>
      </c>
      <c r="B665">
        <v>896</v>
      </c>
      <c r="C665" t="str">
        <f>_xlfn.XLOOKUP(B665,raw_customers!A:A,raw_customers!B:B)</f>
        <v>Fərid Kərimov</v>
      </c>
      <c r="D665" t="str">
        <f>_xlfn.XLOOKUP(C665,raw_customers!B:B,raw_customers!C:C)</f>
        <v>M</v>
      </c>
      <c r="E665" t="str">
        <f>_xlfn.XLOOKUP(C665,raw_customers!B:B,raw_customers!G:G)</f>
        <v>SME</v>
      </c>
      <c r="F665" t="str">
        <f>_xlfn.XLOOKUP(_xlfn.XLOOKUP(B665,raw_customers!A:A,raw_customers!F:F),raw_branches!A:A,raw_branches!B:B)</f>
        <v>Baku Central</v>
      </c>
      <c r="G665" s="7">
        <v>58114.68</v>
      </c>
      <c r="H665" s="6">
        <v>8.85</v>
      </c>
      <c r="I665" t="s">
        <v>2377</v>
      </c>
      <c r="J665" t="str">
        <f t="shared" si="10"/>
        <v>Aşağı Risk</v>
      </c>
    </row>
    <row r="666" spans="1:10">
      <c r="A666">
        <v>915</v>
      </c>
      <c r="B666">
        <v>647</v>
      </c>
      <c r="C666" t="str">
        <f>_xlfn.XLOOKUP(B666,raw_customers!A:A,raw_customers!B:B)</f>
        <v>Vüqar Həsənov</v>
      </c>
      <c r="D666" t="str">
        <f>_xlfn.XLOOKUP(C666,raw_customers!B:B,raw_customers!C:C)</f>
        <v>M</v>
      </c>
      <c r="E666" t="str">
        <f>_xlfn.XLOOKUP(C666,raw_customers!B:B,raw_customers!G:G)</f>
        <v>Retail</v>
      </c>
      <c r="F666" t="str">
        <f>_xlfn.XLOOKUP(_xlfn.XLOOKUP(B666,raw_customers!A:A,raw_customers!F:F),raw_branches!A:A,raw_branches!B:B)</f>
        <v>Sheki Branch</v>
      </c>
      <c r="G666" s="7">
        <v>7936.92</v>
      </c>
      <c r="H666" s="6">
        <v>6.8</v>
      </c>
      <c r="I666" t="s">
        <v>2377</v>
      </c>
      <c r="J666" t="str">
        <f t="shared" si="10"/>
        <v>Aşağı Risk</v>
      </c>
    </row>
    <row r="667" spans="1:10">
      <c r="A667">
        <v>916</v>
      </c>
      <c r="B667">
        <v>815</v>
      </c>
      <c r="C667" t="str">
        <f>_xlfn.XLOOKUP(B667,raw_customers!A:A,raw_customers!B:B)</f>
        <v>Səbinə Əzizov</v>
      </c>
      <c r="D667" t="str">
        <f>_xlfn.XLOOKUP(C667,raw_customers!B:B,raw_customers!C:C)</f>
        <v>F</v>
      </c>
      <c r="E667" t="str">
        <f>_xlfn.XLOOKUP(C667,raw_customers!B:B,raw_customers!G:G)</f>
        <v>Retail</v>
      </c>
      <c r="F667" t="str">
        <f>_xlfn.XLOOKUP(_xlfn.XLOOKUP(B667,raw_customers!A:A,raw_customers!F:F),raw_branches!A:A,raw_branches!B:B)</f>
        <v>Baku Yasamal</v>
      </c>
      <c r="G667" s="7">
        <v>189088.4</v>
      </c>
      <c r="H667" s="6">
        <v>9.7</v>
      </c>
      <c r="I667" t="s">
        <v>2383</v>
      </c>
      <c r="J667" t="str">
        <f t="shared" si="10"/>
        <v>Aşağı Risk</v>
      </c>
    </row>
    <row r="668" spans="1:10">
      <c r="A668">
        <v>917</v>
      </c>
      <c r="B668">
        <v>560</v>
      </c>
      <c r="C668" t="str">
        <f>_xlfn.XLOOKUP(B668,raw_customers!A:A,raw_customers!B:B)</f>
        <v>Kamran Orucov</v>
      </c>
      <c r="D668" t="str">
        <f>_xlfn.XLOOKUP(C668,raw_customers!B:B,raw_customers!C:C)</f>
        <v>M</v>
      </c>
      <c r="E668" t="str">
        <f>_xlfn.XLOOKUP(C668,raw_customers!B:B,raw_customers!G:G)</f>
        <v>Retail</v>
      </c>
      <c r="F668" t="str">
        <f>_xlfn.XLOOKUP(_xlfn.XLOOKUP(B668,raw_customers!A:A,raw_customers!F:F),raw_branches!A:A,raw_branches!B:B)</f>
        <v>Ganja Branch</v>
      </c>
      <c r="G668" s="7">
        <v>10709.15</v>
      </c>
      <c r="H668" s="6">
        <v>8.32</v>
      </c>
      <c r="I668" t="s">
        <v>2383</v>
      </c>
      <c r="J668" t="str">
        <f t="shared" si="10"/>
        <v>Aşağı Risk</v>
      </c>
    </row>
    <row r="669" spans="1:10">
      <c r="A669">
        <v>918</v>
      </c>
      <c r="B669">
        <v>130</v>
      </c>
      <c r="C669" t="str">
        <f>_xlfn.XLOOKUP(B669,raw_customers!A:A,raw_customers!B:B)</f>
        <v>Leyla Kərimov</v>
      </c>
      <c r="D669" t="str">
        <f>_xlfn.XLOOKUP(C669,raw_customers!B:B,raw_customers!C:C)</f>
        <v>F</v>
      </c>
      <c r="E669" t="str">
        <f>_xlfn.XLOOKUP(C669,raw_customers!B:B,raw_customers!G:G)</f>
        <v>Retail</v>
      </c>
      <c r="F669" t="str">
        <f>_xlfn.XLOOKUP(_xlfn.XLOOKUP(B669,raw_customers!A:A,raw_customers!F:F),raw_branches!A:A,raw_branches!B:B)</f>
        <v>Mingachevir Branch</v>
      </c>
      <c r="G669" s="7">
        <v>9086.41</v>
      </c>
      <c r="H669" s="6">
        <v>15.94</v>
      </c>
      <c r="I669" t="s">
        <v>2377</v>
      </c>
      <c r="J669" t="str">
        <f t="shared" si="10"/>
        <v>Orta Risk</v>
      </c>
    </row>
    <row r="670" spans="1:10">
      <c r="A670">
        <v>919</v>
      </c>
      <c r="B670">
        <v>733</v>
      </c>
      <c r="C670" t="str">
        <f>_xlfn.XLOOKUP(B670,raw_customers!A:A,raw_customers!B:B)</f>
        <v>Röya Bağırov</v>
      </c>
      <c r="D670" t="str">
        <f>_xlfn.XLOOKUP(C670,raw_customers!B:B,raw_customers!C:C)</f>
        <v>F</v>
      </c>
      <c r="E670" t="str">
        <f>_xlfn.XLOOKUP(C670,raw_customers!B:B,raw_customers!G:G)</f>
        <v>Retail</v>
      </c>
      <c r="F670" t="str">
        <f>_xlfn.XLOOKUP(_xlfn.XLOOKUP(B670,raw_customers!A:A,raw_customers!F:F),raw_branches!A:A,raw_branches!B:B)</f>
        <v>Ganja Branch</v>
      </c>
      <c r="G670" s="7">
        <v>100566.93</v>
      </c>
      <c r="H670" s="6">
        <v>5.6</v>
      </c>
      <c r="I670" t="s">
        <v>2377</v>
      </c>
      <c r="J670" t="str">
        <f t="shared" si="10"/>
        <v>Aşağı Risk</v>
      </c>
    </row>
    <row r="671" spans="1:10">
      <c r="A671">
        <v>920</v>
      </c>
      <c r="B671">
        <v>420</v>
      </c>
      <c r="C671" t="str">
        <f>_xlfn.XLOOKUP(B671,raw_customers!A:A,raw_customers!B:B)</f>
        <v>Aynur Bağırov</v>
      </c>
      <c r="D671" t="str">
        <f>_xlfn.XLOOKUP(C671,raw_customers!B:B,raw_customers!C:C)</f>
        <v>F</v>
      </c>
      <c r="E671" t="str">
        <f>_xlfn.XLOOKUP(C671,raw_customers!B:B,raw_customers!G:G)</f>
        <v>Retail</v>
      </c>
      <c r="F671" t="str">
        <f>_xlfn.XLOOKUP(_xlfn.XLOOKUP(B671,raw_customers!A:A,raw_customers!F:F),raw_branches!A:A,raw_branches!B:B)</f>
        <v>Sumgait Branch</v>
      </c>
      <c r="G671" s="7">
        <v>22269.01</v>
      </c>
      <c r="H671" s="6">
        <v>19.74</v>
      </c>
      <c r="I671" t="s">
        <v>2377</v>
      </c>
      <c r="J671" t="str">
        <f t="shared" si="10"/>
        <v>Yüksək Risk</v>
      </c>
    </row>
    <row r="672" spans="1:10">
      <c r="A672">
        <v>921</v>
      </c>
      <c r="B672">
        <v>135</v>
      </c>
      <c r="C672" t="str">
        <f>_xlfn.XLOOKUP(B672,raw_customers!A:A,raw_customers!B:B)</f>
        <v>Lalə Sadıqov</v>
      </c>
      <c r="D672" t="str">
        <f>_xlfn.XLOOKUP(C672,raw_customers!B:B,raw_customers!C:C)</f>
        <v>F</v>
      </c>
      <c r="E672" t="str">
        <f>_xlfn.XLOOKUP(C672,raw_customers!B:B,raw_customers!G:G)</f>
        <v>Premium</v>
      </c>
      <c r="F672" t="str">
        <f>_xlfn.XLOOKUP(_xlfn.XLOOKUP(B672,raw_customers!A:A,raw_customers!F:F),raw_branches!A:A,raw_branches!B:B)</f>
        <v>Sheki Branch</v>
      </c>
      <c r="G672" s="7">
        <v>1486.47</v>
      </c>
      <c r="H672" s="6">
        <v>21.77</v>
      </c>
      <c r="I672" t="s">
        <v>2377</v>
      </c>
      <c r="J672" t="str">
        <f t="shared" si="10"/>
        <v>Yüksək Risk</v>
      </c>
    </row>
    <row r="673" spans="1:10">
      <c r="A673">
        <v>922</v>
      </c>
      <c r="B673">
        <v>553</v>
      </c>
      <c r="C673" t="str">
        <f>_xlfn.XLOOKUP(B673,raw_customers!A:A,raw_customers!B:B)</f>
        <v>Ramin Vəliyev</v>
      </c>
      <c r="D673" t="str">
        <f>_xlfn.XLOOKUP(C673,raw_customers!B:B,raw_customers!C:C)</f>
        <v>M</v>
      </c>
      <c r="E673" t="str">
        <f>_xlfn.XLOOKUP(C673,raw_customers!B:B,raw_customers!G:G)</f>
        <v>Premium</v>
      </c>
      <c r="F673" t="str">
        <f>_xlfn.XLOOKUP(_xlfn.XLOOKUP(B673,raw_customers!A:A,raw_customers!F:F),raw_branches!A:A,raw_branches!B:B)</f>
        <v>Sumgait Branch</v>
      </c>
      <c r="G673" s="7">
        <v>129314.31</v>
      </c>
      <c r="H673" s="6">
        <v>14.94</v>
      </c>
      <c r="I673" t="s">
        <v>2377</v>
      </c>
      <c r="J673" t="str">
        <f t="shared" si="10"/>
        <v>Orta Risk</v>
      </c>
    </row>
    <row r="674" spans="1:10">
      <c r="A674">
        <v>923</v>
      </c>
      <c r="B674">
        <v>421</v>
      </c>
      <c r="C674" t="str">
        <f>_xlfn.XLOOKUP(B674,raw_customers!A:A,raw_customers!B:B)</f>
        <v>Lalə Nəbiyev</v>
      </c>
      <c r="D674" t="str">
        <f>_xlfn.XLOOKUP(C674,raw_customers!B:B,raw_customers!C:C)</f>
        <v>F</v>
      </c>
      <c r="E674" t="str">
        <f>_xlfn.XLOOKUP(C674,raw_customers!B:B,raw_customers!G:G)</f>
        <v>SME</v>
      </c>
      <c r="F674" t="str">
        <f>_xlfn.XLOOKUP(_xlfn.XLOOKUP(B674,raw_customers!A:A,raw_customers!F:F),raw_branches!A:A,raw_branches!B:B)</f>
        <v>Baku Yasamal</v>
      </c>
      <c r="G674" s="7">
        <v>28395.56</v>
      </c>
      <c r="H674" s="6">
        <v>11.83</v>
      </c>
      <c r="I674" t="s">
        <v>2393</v>
      </c>
      <c r="J674" t="str">
        <f t="shared" si="10"/>
        <v>Default (Batıq)</v>
      </c>
    </row>
    <row r="675" spans="1:10">
      <c r="A675">
        <v>924</v>
      </c>
      <c r="B675">
        <v>531</v>
      </c>
      <c r="C675" t="str">
        <f>_xlfn.XLOOKUP(B675,raw_customers!A:A,raw_customers!B:B)</f>
        <v>Rəşad Quliyev</v>
      </c>
      <c r="D675" t="str">
        <f>_xlfn.XLOOKUP(C675,raw_customers!B:B,raw_customers!C:C)</f>
        <v>M</v>
      </c>
      <c r="E675" t="str">
        <f>_xlfn.XLOOKUP(C675,raw_customers!B:B,raw_customers!G:G)</f>
        <v>Retail</v>
      </c>
      <c r="F675" t="str">
        <f>_xlfn.XLOOKUP(_xlfn.XLOOKUP(B675,raw_customers!A:A,raw_customers!F:F),raw_branches!A:A,raw_branches!B:B)</f>
        <v>Baku Central</v>
      </c>
      <c r="G675" s="7">
        <v>28124.9</v>
      </c>
      <c r="H675" s="6">
        <v>6.38</v>
      </c>
      <c r="I675" t="s">
        <v>2393</v>
      </c>
      <c r="J675" t="str">
        <f t="shared" si="10"/>
        <v>Default (Batıq)</v>
      </c>
    </row>
    <row r="676" spans="1:10">
      <c r="A676">
        <v>925</v>
      </c>
      <c r="B676">
        <v>967</v>
      </c>
      <c r="C676" t="str">
        <f>_xlfn.XLOOKUP(B676,raw_customers!A:A,raw_customers!B:B)</f>
        <v>Tural Musayev</v>
      </c>
      <c r="D676" t="str">
        <f>_xlfn.XLOOKUP(C676,raw_customers!B:B,raw_customers!C:C)</f>
        <v>M</v>
      </c>
      <c r="E676" t="str">
        <f>_xlfn.XLOOKUP(C676,raw_customers!B:B,raw_customers!G:G)</f>
        <v>SME</v>
      </c>
      <c r="F676" t="str">
        <f>_xlfn.XLOOKUP(_xlfn.XLOOKUP(B676,raw_customers!A:A,raw_customers!F:F),raw_branches!A:A,raw_branches!B:B)</f>
        <v>Sumgait Branch</v>
      </c>
      <c r="G676" s="7">
        <v>113521.57</v>
      </c>
      <c r="H676" s="6">
        <v>14.54</v>
      </c>
      <c r="I676" t="s">
        <v>2377</v>
      </c>
      <c r="J676" t="str">
        <f t="shared" si="10"/>
        <v>Orta Risk</v>
      </c>
    </row>
    <row r="677" spans="1:10">
      <c r="A677">
        <v>926</v>
      </c>
      <c r="B677">
        <v>477</v>
      </c>
      <c r="C677" t="str">
        <f>_xlfn.XLOOKUP(B677,raw_customers!A:A,raw_customers!B:B)</f>
        <v>Leyla Musayev</v>
      </c>
      <c r="D677" t="str">
        <f>_xlfn.XLOOKUP(C677,raw_customers!B:B,raw_customers!C:C)</f>
        <v>F</v>
      </c>
      <c r="E677" t="str">
        <f>_xlfn.XLOOKUP(C677,raw_customers!B:B,raw_customers!G:G)</f>
        <v>Retail</v>
      </c>
      <c r="F677" t="str">
        <f>_xlfn.XLOOKUP(_xlfn.XLOOKUP(B677,raw_customers!A:A,raw_customers!F:F),raw_branches!A:A,raw_branches!B:B)</f>
        <v>Baku Central</v>
      </c>
      <c r="G677" s="7">
        <v>13650.39</v>
      </c>
      <c r="H677" s="6">
        <v>11.54</v>
      </c>
      <c r="I677" t="s">
        <v>2377</v>
      </c>
      <c r="J677" t="str">
        <f t="shared" si="10"/>
        <v>Aşağı Risk</v>
      </c>
    </row>
    <row r="678" spans="1:10">
      <c r="A678">
        <v>927</v>
      </c>
      <c r="B678">
        <v>293</v>
      </c>
      <c r="C678" t="str">
        <f>_xlfn.XLOOKUP(B678,raw_customers!A:A,raw_customers!B:B)</f>
        <v>Aysel Cəfərov</v>
      </c>
      <c r="D678" t="str">
        <f>_xlfn.XLOOKUP(C678,raw_customers!B:B,raw_customers!C:C)</f>
        <v>F</v>
      </c>
      <c r="E678" t="str">
        <f>_xlfn.XLOOKUP(C678,raw_customers!B:B,raw_customers!G:G)</f>
        <v>Retail</v>
      </c>
      <c r="F678" t="str">
        <f>_xlfn.XLOOKUP(_xlfn.XLOOKUP(B678,raw_customers!A:A,raw_customers!F:F),raw_branches!A:A,raw_branches!B:B)</f>
        <v>Baku Yasamal</v>
      </c>
      <c r="G678" s="7">
        <v>4155.1</v>
      </c>
      <c r="H678" s="6">
        <v>16.56</v>
      </c>
      <c r="I678" t="s">
        <v>2377</v>
      </c>
      <c r="J678" t="str">
        <f t="shared" si="10"/>
        <v>Orta Risk</v>
      </c>
    </row>
    <row r="679" spans="1:10">
      <c r="A679">
        <v>928</v>
      </c>
      <c r="B679">
        <v>817</v>
      </c>
      <c r="C679" t="str">
        <f>_xlfn.XLOOKUP(B679,raw_customers!A:A,raw_customers!B:B)</f>
        <v>Murad Sadıqov</v>
      </c>
      <c r="D679" t="str">
        <f>_xlfn.XLOOKUP(C679,raw_customers!B:B,raw_customers!C:C)</f>
        <v>M</v>
      </c>
      <c r="E679" t="str">
        <f>_xlfn.XLOOKUP(C679,raw_customers!B:B,raw_customers!G:G)</f>
        <v>Premium</v>
      </c>
      <c r="F679" t="str">
        <f>_xlfn.XLOOKUP(_xlfn.XLOOKUP(B679,raw_customers!A:A,raw_customers!F:F),raw_branches!A:A,raw_branches!B:B)</f>
        <v>Lankaran Branch</v>
      </c>
      <c r="G679" s="7">
        <v>24065.89</v>
      </c>
      <c r="H679" s="6">
        <v>6.16</v>
      </c>
      <c r="I679" t="s">
        <v>2377</v>
      </c>
      <c r="J679" t="str">
        <f t="shared" si="10"/>
        <v>Aşağı Risk</v>
      </c>
    </row>
    <row r="680" spans="1:10">
      <c r="A680">
        <v>929</v>
      </c>
      <c r="B680">
        <v>944</v>
      </c>
      <c r="C680" t="str">
        <f>_xlfn.XLOOKUP(B680,raw_customers!A:A,raw_customers!B:B)</f>
        <v>Nicat Bağırov</v>
      </c>
      <c r="D680" t="str">
        <f>_xlfn.XLOOKUP(C680,raw_customers!B:B,raw_customers!C:C)</f>
        <v>M</v>
      </c>
      <c r="E680" t="str">
        <f>_xlfn.XLOOKUP(C680,raw_customers!B:B,raw_customers!G:G)</f>
        <v>Premium</v>
      </c>
      <c r="F680" t="str">
        <f>_xlfn.XLOOKUP(_xlfn.XLOOKUP(B680,raw_customers!A:A,raw_customers!F:F),raw_branches!A:A,raw_branches!B:B)</f>
        <v>Baku Yasamal</v>
      </c>
      <c r="G680" s="7">
        <v>19935.6</v>
      </c>
      <c r="H680" s="6">
        <v>9.98</v>
      </c>
      <c r="I680" t="s">
        <v>2377</v>
      </c>
      <c r="J680" t="str">
        <f t="shared" si="10"/>
        <v>Aşağı Risk</v>
      </c>
    </row>
    <row r="681" spans="1:10">
      <c r="A681">
        <v>930</v>
      </c>
      <c r="B681">
        <v>296</v>
      </c>
      <c r="C681" t="str">
        <f>_xlfn.XLOOKUP(B681,raw_customers!A:A,raw_customers!B:B)</f>
        <v>Fidan Hüseynov</v>
      </c>
      <c r="D681" t="str">
        <f>_xlfn.XLOOKUP(C681,raw_customers!B:B,raw_customers!C:C)</f>
        <v>F</v>
      </c>
      <c r="E681" t="str">
        <f>_xlfn.XLOOKUP(C681,raw_customers!B:B,raw_customers!G:G)</f>
        <v>Retail</v>
      </c>
      <c r="F681" t="str">
        <f>_xlfn.XLOOKUP(_xlfn.XLOOKUP(B681,raw_customers!A:A,raw_customers!F:F),raw_branches!A:A,raw_branches!B:B)</f>
        <v>Ganja Branch</v>
      </c>
      <c r="G681" s="7">
        <v>18995.13</v>
      </c>
      <c r="H681" s="6">
        <v>6.79</v>
      </c>
      <c r="I681" t="s">
        <v>2377</v>
      </c>
      <c r="J681" t="str">
        <f t="shared" si="10"/>
        <v>Aşağı Risk</v>
      </c>
    </row>
    <row r="682" spans="1:10">
      <c r="A682">
        <v>931</v>
      </c>
      <c r="B682">
        <v>680</v>
      </c>
      <c r="C682" t="str">
        <f>_xlfn.XLOOKUP(B682,raw_customers!A:A,raw_customers!B:B)</f>
        <v>Rüfət Rəhimov</v>
      </c>
      <c r="D682" t="str">
        <f>_xlfn.XLOOKUP(C682,raw_customers!B:B,raw_customers!C:C)</f>
        <v>M</v>
      </c>
      <c r="E682" t="str">
        <f>_xlfn.XLOOKUP(C682,raw_customers!B:B,raw_customers!G:G)</f>
        <v>Retail</v>
      </c>
      <c r="F682" t="str">
        <f>_xlfn.XLOOKUP(_xlfn.XLOOKUP(B682,raw_customers!A:A,raw_customers!F:F),raw_branches!A:A,raw_branches!B:B)</f>
        <v>Baku Central</v>
      </c>
      <c r="G682" s="7">
        <v>29551.1</v>
      </c>
      <c r="H682" s="6">
        <v>20.76</v>
      </c>
      <c r="I682" t="s">
        <v>2377</v>
      </c>
      <c r="J682" t="str">
        <f t="shared" si="10"/>
        <v>Yüksək Risk</v>
      </c>
    </row>
    <row r="683" spans="1:10">
      <c r="A683">
        <v>932</v>
      </c>
      <c r="B683">
        <v>29</v>
      </c>
      <c r="C683" t="str">
        <f>_xlfn.XLOOKUP(B683,raw_customers!A:A,raw_customers!B:B)</f>
        <v>Könül Musayev</v>
      </c>
      <c r="D683" t="str">
        <f>_xlfn.XLOOKUP(C683,raw_customers!B:B,raw_customers!C:C)</f>
        <v>F</v>
      </c>
      <c r="E683" t="str">
        <f>_xlfn.XLOOKUP(C683,raw_customers!B:B,raw_customers!G:G)</f>
        <v>SME</v>
      </c>
      <c r="F683" t="str">
        <f>_xlfn.XLOOKUP(_xlfn.XLOOKUP(B683,raw_customers!A:A,raw_customers!F:F),raw_branches!A:A,raw_branches!B:B)</f>
        <v>Lankaran Branch</v>
      </c>
      <c r="G683" s="7">
        <v>24311.86</v>
      </c>
      <c r="H683" s="6">
        <v>13.45</v>
      </c>
      <c r="I683" t="s">
        <v>2377</v>
      </c>
      <c r="J683" t="str">
        <f t="shared" si="10"/>
        <v>Orta Risk</v>
      </c>
    </row>
    <row r="684" spans="1:10">
      <c r="A684">
        <v>933</v>
      </c>
      <c r="B684">
        <v>697</v>
      </c>
      <c r="C684" t="str">
        <f>_xlfn.XLOOKUP(B684,raw_customers!A:A,raw_customers!B:B)</f>
        <v>Sevinc Quliyev</v>
      </c>
      <c r="D684" t="str">
        <f>_xlfn.XLOOKUP(C684,raw_customers!B:B,raw_customers!C:C)</f>
        <v>F</v>
      </c>
      <c r="E684" t="str">
        <f>_xlfn.XLOOKUP(C684,raw_customers!B:B,raw_customers!G:G)</f>
        <v>SME</v>
      </c>
      <c r="F684" t="str">
        <f>_xlfn.XLOOKUP(_xlfn.XLOOKUP(B684,raw_customers!A:A,raw_customers!F:F),raw_branches!A:A,raw_branches!B:B)</f>
        <v>Mingachevir Branch</v>
      </c>
      <c r="G684" s="7">
        <v>14600.76</v>
      </c>
      <c r="H684" s="6">
        <v>20.57</v>
      </c>
      <c r="I684" t="s">
        <v>2377</v>
      </c>
      <c r="J684" t="str">
        <f t="shared" si="10"/>
        <v>Yüksək Risk</v>
      </c>
    </row>
    <row r="685" spans="1:10">
      <c r="A685">
        <v>934</v>
      </c>
      <c r="B685">
        <v>209</v>
      </c>
      <c r="C685" t="str">
        <f>_xlfn.XLOOKUP(B685,raw_customers!A:A,raw_customers!B:B)</f>
        <v>Səbinə Vəliyev</v>
      </c>
      <c r="D685" t="str">
        <f>_xlfn.XLOOKUP(C685,raw_customers!B:B,raw_customers!C:C)</f>
        <v>F</v>
      </c>
      <c r="E685" t="str">
        <f>_xlfn.XLOOKUP(C685,raw_customers!B:B,raw_customers!G:G)</f>
        <v>Retail</v>
      </c>
      <c r="F685" t="str">
        <f>_xlfn.XLOOKUP(_xlfn.XLOOKUP(B685,raw_customers!A:A,raw_customers!F:F),raw_branches!A:A,raw_branches!B:B)</f>
        <v>Baku Yasamal</v>
      </c>
      <c r="G685" s="7">
        <v>142681.28</v>
      </c>
      <c r="H685" s="6">
        <v>16.78</v>
      </c>
      <c r="I685" t="s">
        <v>2377</v>
      </c>
      <c r="J685" t="str">
        <f t="shared" si="10"/>
        <v>Orta Risk</v>
      </c>
    </row>
    <row r="686" spans="1:10">
      <c r="A686">
        <v>935</v>
      </c>
      <c r="B686">
        <v>671</v>
      </c>
      <c r="C686" t="str">
        <f>_xlfn.XLOOKUP(B686,raw_customers!A:A,raw_customers!B:B)</f>
        <v>Emin Hüseynov</v>
      </c>
      <c r="D686" t="str">
        <f>_xlfn.XLOOKUP(C686,raw_customers!B:B,raw_customers!C:C)</f>
        <v>M</v>
      </c>
      <c r="E686" t="str">
        <f>_xlfn.XLOOKUP(C686,raw_customers!B:B,raw_customers!G:G)</f>
        <v>SME</v>
      </c>
      <c r="F686" t="str">
        <f>_xlfn.XLOOKUP(_xlfn.XLOOKUP(B686,raw_customers!A:A,raw_customers!F:F),raw_branches!A:A,raw_branches!B:B)</f>
        <v>Lankaran Branch</v>
      </c>
      <c r="G686" s="7">
        <v>55896.51</v>
      </c>
      <c r="H686" s="6">
        <v>16.99</v>
      </c>
      <c r="I686" t="s">
        <v>2377</v>
      </c>
      <c r="J686" t="str">
        <f t="shared" si="10"/>
        <v>Orta Risk</v>
      </c>
    </row>
    <row r="687" spans="1:10">
      <c r="A687">
        <v>936</v>
      </c>
      <c r="B687">
        <v>470</v>
      </c>
      <c r="C687" t="str">
        <f>_xlfn.XLOOKUP(B687,raw_customers!A:A,raw_customers!B:B)</f>
        <v>Nicat Rzayev</v>
      </c>
      <c r="D687" t="str">
        <f>_xlfn.XLOOKUP(C687,raw_customers!B:B,raw_customers!C:C)</f>
        <v>M</v>
      </c>
      <c r="E687" t="str">
        <f>_xlfn.XLOOKUP(C687,raw_customers!B:B,raw_customers!G:G)</f>
        <v>Premium</v>
      </c>
      <c r="F687" t="str">
        <f>_xlfn.XLOOKUP(_xlfn.XLOOKUP(B687,raw_customers!A:A,raw_customers!F:F),raw_branches!A:A,raw_branches!B:B)</f>
        <v>Baku Yasamal</v>
      </c>
      <c r="G687" s="7">
        <v>7862.75</v>
      </c>
      <c r="H687" s="6">
        <v>20.68</v>
      </c>
      <c r="I687" t="s">
        <v>2377</v>
      </c>
      <c r="J687" t="str">
        <f t="shared" si="10"/>
        <v>Yüksək Risk</v>
      </c>
    </row>
    <row r="688" spans="1:10">
      <c r="A688">
        <v>937</v>
      </c>
      <c r="B688">
        <v>791</v>
      </c>
      <c r="C688" t="str">
        <f>_xlfn.XLOOKUP(B688,raw_customers!A:A,raw_customers!B:B)</f>
        <v>Türkan Əliyev</v>
      </c>
      <c r="D688" t="str">
        <f>_xlfn.XLOOKUP(C688,raw_customers!B:B,raw_customers!C:C)</f>
        <v>F</v>
      </c>
      <c r="E688" t="str">
        <f>_xlfn.XLOOKUP(C688,raw_customers!B:B,raw_customers!G:G)</f>
        <v>Premium</v>
      </c>
      <c r="F688" t="str">
        <f>_xlfn.XLOOKUP(_xlfn.XLOOKUP(B688,raw_customers!A:A,raw_customers!F:F),raw_branches!A:A,raw_branches!B:B)</f>
        <v>Baku Central</v>
      </c>
      <c r="G688" s="7">
        <v>22833.73</v>
      </c>
      <c r="H688" s="6">
        <v>8.1</v>
      </c>
      <c r="I688" t="s">
        <v>2377</v>
      </c>
      <c r="J688" t="str">
        <f t="shared" si="10"/>
        <v>Aşağı Risk</v>
      </c>
    </row>
    <row r="689" spans="1:10">
      <c r="A689">
        <v>938</v>
      </c>
      <c r="B689">
        <v>176</v>
      </c>
      <c r="C689" t="str">
        <f>_xlfn.XLOOKUP(B689,raw_customers!A:A,raw_customers!B:B)</f>
        <v>Səbinə Əzizov</v>
      </c>
      <c r="D689" t="str">
        <f>_xlfn.XLOOKUP(C689,raw_customers!B:B,raw_customers!C:C)</f>
        <v>F</v>
      </c>
      <c r="E689" t="str">
        <f>_xlfn.XLOOKUP(C689,raw_customers!B:B,raw_customers!G:G)</f>
        <v>Retail</v>
      </c>
      <c r="F689" t="str">
        <f>_xlfn.XLOOKUP(_xlfn.XLOOKUP(B689,raw_customers!A:A,raw_customers!F:F),raw_branches!A:A,raw_branches!B:B)</f>
        <v>Mingachevir Branch</v>
      </c>
      <c r="G689" s="7">
        <v>8650.81</v>
      </c>
      <c r="H689" s="6">
        <v>10.01</v>
      </c>
      <c r="I689" t="s">
        <v>2377</v>
      </c>
      <c r="J689" t="str">
        <f t="shared" si="10"/>
        <v>Aşağı Risk</v>
      </c>
    </row>
    <row r="690" spans="1:10">
      <c r="A690">
        <v>939</v>
      </c>
      <c r="B690">
        <v>397</v>
      </c>
      <c r="C690" t="str">
        <f>_xlfn.XLOOKUP(B690,raw_customers!A:A,raw_customers!B:B)</f>
        <v>Günel Rzayev</v>
      </c>
      <c r="D690" t="str">
        <f>_xlfn.XLOOKUP(C690,raw_customers!B:B,raw_customers!C:C)</f>
        <v>F</v>
      </c>
      <c r="E690" t="str">
        <f>_xlfn.XLOOKUP(C690,raw_customers!B:B,raw_customers!G:G)</f>
        <v>SME</v>
      </c>
      <c r="F690" t="str">
        <f>_xlfn.XLOOKUP(_xlfn.XLOOKUP(B690,raw_customers!A:A,raw_customers!F:F),raw_branches!A:A,raw_branches!B:B)</f>
        <v>Baku Yasamal</v>
      </c>
      <c r="G690" s="7">
        <v>9745.88</v>
      </c>
      <c r="H690" s="6">
        <v>8.27</v>
      </c>
      <c r="I690" t="s">
        <v>2377</v>
      </c>
      <c r="J690" t="str">
        <f t="shared" si="10"/>
        <v>Aşağı Risk</v>
      </c>
    </row>
    <row r="691" spans="1:10">
      <c r="A691">
        <v>940</v>
      </c>
      <c r="B691">
        <v>433</v>
      </c>
      <c r="C691" t="str">
        <f>_xlfn.XLOOKUP(B691,raw_customers!A:A,raw_customers!B:B)</f>
        <v>Ceyhun Abbasov</v>
      </c>
      <c r="D691" t="str">
        <f>_xlfn.XLOOKUP(C691,raw_customers!B:B,raw_customers!C:C)</f>
        <v>M</v>
      </c>
      <c r="E691" t="str">
        <f>_xlfn.XLOOKUP(C691,raw_customers!B:B,raw_customers!G:G)</f>
        <v>Retail</v>
      </c>
      <c r="F691" t="str">
        <f>_xlfn.XLOOKUP(_xlfn.XLOOKUP(B691,raw_customers!A:A,raw_customers!F:F),raw_branches!A:A,raw_branches!B:B)</f>
        <v>Baku Yasamal</v>
      </c>
      <c r="G691" s="7">
        <v>80769.6</v>
      </c>
      <c r="H691" s="6">
        <v>15.08</v>
      </c>
      <c r="I691" t="s">
        <v>2377</v>
      </c>
      <c r="J691" t="str">
        <f t="shared" si="10"/>
        <v>Orta Risk</v>
      </c>
    </row>
    <row r="692" spans="1:10">
      <c r="A692">
        <v>941</v>
      </c>
      <c r="B692">
        <v>44</v>
      </c>
      <c r="C692" t="str">
        <f>_xlfn.XLOOKUP(B692,raw_customers!A:A,raw_customers!B:B)</f>
        <v>Nərmin Cəfərov</v>
      </c>
      <c r="D692" t="str">
        <f>_xlfn.XLOOKUP(C692,raw_customers!B:B,raw_customers!C:C)</f>
        <v>F</v>
      </c>
      <c r="E692" t="str">
        <f>_xlfn.XLOOKUP(C692,raw_customers!B:B,raw_customers!G:G)</f>
        <v>Retail</v>
      </c>
      <c r="F692" t="str">
        <f>_xlfn.XLOOKUP(_xlfn.XLOOKUP(B692,raw_customers!A:A,raw_customers!F:F),raw_branches!A:A,raw_branches!B:B)</f>
        <v>Mingachevir Branch</v>
      </c>
      <c r="G692" s="7">
        <v>33799.54</v>
      </c>
      <c r="H692" s="6">
        <v>10.83</v>
      </c>
      <c r="I692" t="s">
        <v>2377</v>
      </c>
      <c r="J692" t="str">
        <f t="shared" si="10"/>
        <v>Aşağı Risk</v>
      </c>
    </row>
    <row r="693" spans="1:10">
      <c r="A693">
        <v>942</v>
      </c>
      <c r="B693">
        <v>793</v>
      </c>
      <c r="C693" t="str">
        <f>_xlfn.XLOOKUP(B693,raw_customers!A:A,raw_customers!B:B)</f>
        <v>Günel Rzayev</v>
      </c>
      <c r="D693" t="str">
        <f>_xlfn.XLOOKUP(C693,raw_customers!B:B,raw_customers!C:C)</f>
        <v>F</v>
      </c>
      <c r="E693" t="str">
        <f>_xlfn.XLOOKUP(C693,raw_customers!B:B,raw_customers!G:G)</f>
        <v>SME</v>
      </c>
      <c r="F693" t="str">
        <f>_xlfn.XLOOKUP(_xlfn.XLOOKUP(B693,raw_customers!A:A,raw_customers!F:F),raw_branches!A:A,raw_branches!B:B)</f>
        <v>Lankaran Branch</v>
      </c>
      <c r="G693" s="7">
        <v>9617.26</v>
      </c>
      <c r="H693" s="6">
        <v>5.5</v>
      </c>
      <c r="I693" t="s">
        <v>2377</v>
      </c>
      <c r="J693" t="str">
        <f t="shared" si="10"/>
        <v>Aşağı Risk</v>
      </c>
    </row>
    <row r="694" spans="1:10">
      <c r="A694">
        <v>943</v>
      </c>
      <c r="B694">
        <v>432</v>
      </c>
      <c r="C694" t="str">
        <f>_xlfn.XLOOKUP(B694,raw_customers!A:A,raw_customers!B:B)</f>
        <v>Samir Vəliyev</v>
      </c>
      <c r="D694" t="str">
        <f>_xlfn.XLOOKUP(C694,raw_customers!B:B,raw_customers!C:C)</f>
        <v>M</v>
      </c>
      <c r="E694" t="str">
        <f>_xlfn.XLOOKUP(C694,raw_customers!B:B,raw_customers!G:G)</f>
        <v>SME</v>
      </c>
      <c r="F694" t="str">
        <f>_xlfn.XLOOKUP(_xlfn.XLOOKUP(B694,raw_customers!A:A,raw_customers!F:F),raw_branches!A:A,raw_branches!B:B)</f>
        <v>Baku Central</v>
      </c>
      <c r="G694" s="7">
        <v>39740.81</v>
      </c>
      <c r="H694" s="6">
        <v>8.07</v>
      </c>
      <c r="I694" t="s">
        <v>2377</v>
      </c>
      <c r="J694" t="str">
        <f t="shared" si="10"/>
        <v>Aşağı Risk</v>
      </c>
    </row>
    <row r="695" spans="1:10">
      <c r="A695">
        <v>944</v>
      </c>
      <c r="B695">
        <v>62</v>
      </c>
      <c r="C695" t="str">
        <f>_xlfn.XLOOKUP(B695,raw_customers!A:A,raw_customers!B:B)</f>
        <v>Samir Musayev</v>
      </c>
      <c r="D695" t="str">
        <f>_xlfn.XLOOKUP(C695,raw_customers!B:B,raw_customers!C:C)</f>
        <v>M</v>
      </c>
      <c r="E695" t="str">
        <f>_xlfn.XLOOKUP(C695,raw_customers!B:B,raw_customers!G:G)</f>
        <v>Premium</v>
      </c>
      <c r="F695" t="str">
        <f>_xlfn.XLOOKUP(_xlfn.XLOOKUP(B695,raw_customers!A:A,raw_customers!F:F),raw_branches!A:A,raw_branches!B:B)</f>
        <v>Baku Yasamal</v>
      </c>
      <c r="G695" s="7">
        <v>8664.71</v>
      </c>
      <c r="H695" s="6">
        <v>13.46</v>
      </c>
      <c r="I695" t="s">
        <v>2383</v>
      </c>
      <c r="J695" t="str">
        <f t="shared" si="10"/>
        <v>Orta Risk</v>
      </c>
    </row>
    <row r="696" spans="1:10">
      <c r="A696">
        <v>945</v>
      </c>
      <c r="B696">
        <v>220</v>
      </c>
      <c r="C696" t="str">
        <f>_xlfn.XLOOKUP(B696,raw_customers!A:A,raw_customers!B:B)</f>
        <v>Kənan Musayev</v>
      </c>
      <c r="D696" t="str">
        <f>_xlfn.XLOOKUP(C696,raw_customers!B:B,raw_customers!C:C)</f>
        <v>M</v>
      </c>
      <c r="E696" t="str">
        <f>_xlfn.XLOOKUP(C696,raw_customers!B:B,raw_customers!G:G)</f>
        <v>Premium</v>
      </c>
      <c r="F696" t="str">
        <f>_xlfn.XLOOKUP(_xlfn.XLOOKUP(B696,raw_customers!A:A,raw_customers!F:F),raw_branches!A:A,raw_branches!B:B)</f>
        <v>Ganja Branch</v>
      </c>
      <c r="G696" s="7">
        <v>102908.3</v>
      </c>
      <c r="H696" s="6">
        <v>15.83</v>
      </c>
      <c r="I696" t="s">
        <v>2377</v>
      </c>
      <c r="J696" t="str">
        <f t="shared" si="10"/>
        <v>Orta Risk</v>
      </c>
    </row>
    <row r="697" spans="1:10">
      <c r="A697">
        <v>946</v>
      </c>
      <c r="B697">
        <v>190</v>
      </c>
      <c r="C697" t="str">
        <f>_xlfn.XLOOKUP(B697,raw_customers!A:A,raw_customers!B:B)</f>
        <v>Səbinə Hüseynov</v>
      </c>
      <c r="D697" t="str">
        <f>_xlfn.XLOOKUP(C697,raw_customers!B:B,raw_customers!C:C)</f>
        <v>F</v>
      </c>
      <c r="E697" t="str">
        <f>_xlfn.XLOOKUP(C697,raw_customers!B:B,raw_customers!G:G)</f>
        <v>Retail</v>
      </c>
      <c r="F697" t="str">
        <f>_xlfn.XLOOKUP(_xlfn.XLOOKUP(B697,raw_customers!A:A,raw_customers!F:F),raw_branches!A:A,raw_branches!B:B)</f>
        <v>Baku Yasamal</v>
      </c>
      <c r="G697" s="7">
        <v>86033.72</v>
      </c>
      <c r="H697" s="6">
        <v>8.76</v>
      </c>
      <c r="I697" t="s">
        <v>2377</v>
      </c>
      <c r="J697" t="str">
        <f t="shared" si="10"/>
        <v>Aşağı Risk</v>
      </c>
    </row>
    <row r="698" spans="1:10">
      <c r="A698">
        <v>947</v>
      </c>
      <c r="B698">
        <v>147</v>
      </c>
      <c r="C698" t="str">
        <f>_xlfn.XLOOKUP(B698,raw_customers!A:A,raw_customers!B:B)</f>
        <v>Elşən Musayev</v>
      </c>
      <c r="D698" t="str">
        <f>_xlfn.XLOOKUP(C698,raw_customers!B:B,raw_customers!C:C)</f>
        <v>M</v>
      </c>
      <c r="E698" t="str">
        <f>_xlfn.XLOOKUP(C698,raw_customers!B:B,raw_customers!G:G)</f>
        <v>Retail</v>
      </c>
      <c r="F698" t="str">
        <f>_xlfn.XLOOKUP(_xlfn.XLOOKUP(B698,raw_customers!A:A,raw_customers!F:F),raw_branches!A:A,raw_branches!B:B)</f>
        <v>Sheki Branch</v>
      </c>
      <c r="G698" s="7">
        <v>14344.48</v>
      </c>
      <c r="H698" s="6">
        <v>14.58</v>
      </c>
      <c r="I698" t="s">
        <v>2377</v>
      </c>
      <c r="J698" t="str">
        <f t="shared" si="10"/>
        <v>Orta Risk</v>
      </c>
    </row>
    <row r="699" spans="1:10">
      <c r="A699">
        <v>948</v>
      </c>
      <c r="B699">
        <v>666</v>
      </c>
      <c r="C699" t="str">
        <f>_xlfn.XLOOKUP(B699,raw_customers!A:A,raw_customers!B:B)</f>
        <v>Anar Abbasov</v>
      </c>
      <c r="D699" t="str">
        <f>_xlfn.XLOOKUP(C699,raw_customers!B:B,raw_customers!C:C)</f>
        <v>M</v>
      </c>
      <c r="E699" t="str">
        <f>_xlfn.XLOOKUP(C699,raw_customers!B:B,raw_customers!G:G)</f>
        <v>SME</v>
      </c>
      <c r="F699" t="str">
        <f>_xlfn.XLOOKUP(_xlfn.XLOOKUP(B699,raw_customers!A:A,raw_customers!F:F),raw_branches!A:A,raw_branches!B:B)</f>
        <v>Ganja Branch</v>
      </c>
      <c r="G699" s="7">
        <v>12769.49</v>
      </c>
      <c r="H699" s="6">
        <v>9.62</v>
      </c>
      <c r="I699" t="s">
        <v>2383</v>
      </c>
      <c r="J699" t="str">
        <f t="shared" si="10"/>
        <v>Aşağı Risk</v>
      </c>
    </row>
    <row r="700" spans="1:10">
      <c r="A700">
        <v>949</v>
      </c>
      <c r="B700">
        <v>939</v>
      </c>
      <c r="C700" t="str">
        <f>_xlfn.XLOOKUP(B700,raw_customers!A:A,raw_customers!B:B)</f>
        <v>Ülviyyə Novruzov</v>
      </c>
      <c r="D700" t="str">
        <f>_xlfn.XLOOKUP(C700,raw_customers!B:B,raw_customers!C:C)</f>
        <v>F</v>
      </c>
      <c r="E700" t="str">
        <f>_xlfn.XLOOKUP(C700,raw_customers!B:B,raw_customers!G:G)</f>
        <v>Retail</v>
      </c>
      <c r="F700" t="str">
        <f>_xlfn.XLOOKUP(_xlfn.XLOOKUP(B700,raw_customers!A:A,raw_customers!F:F),raw_branches!A:A,raw_branches!B:B)</f>
        <v>Baku Central</v>
      </c>
      <c r="G700" s="7">
        <v>145530.71</v>
      </c>
      <c r="H700" s="6">
        <v>9.22</v>
      </c>
      <c r="I700" t="s">
        <v>2377</v>
      </c>
      <c r="J700" t="str">
        <f t="shared" si="10"/>
        <v>Aşağı Risk</v>
      </c>
    </row>
    <row r="701" spans="1:10">
      <c r="A701">
        <v>950</v>
      </c>
      <c r="B701">
        <v>640</v>
      </c>
      <c r="C701" t="str">
        <f>_xlfn.XLOOKUP(B701,raw_customers!A:A,raw_customers!B:B)</f>
        <v>Səbinə Məmmədov</v>
      </c>
      <c r="D701" t="str">
        <f>_xlfn.XLOOKUP(C701,raw_customers!B:B,raw_customers!C:C)</f>
        <v>F</v>
      </c>
      <c r="E701" t="str">
        <f>_xlfn.XLOOKUP(C701,raw_customers!B:B,raw_customers!G:G)</f>
        <v>Retail</v>
      </c>
      <c r="F701" t="str">
        <f>_xlfn.XLOOKUP(_xlfn.XLOOKUP(B701,raw_customers!A:A,raw_customers!F:F),raw_branches!A:A,raw_branches!B:B)</f>
        <v>Baku Yasamal</v>
      </c>
      <c r="G701" s="7">
        <v>100434.83</v>
      </c>
      <c r="H701" s="6">
        <v>18.11</v>
      </c>
      <c r="I701" t="s">
        <v>2377</v>
      </c>
      <c r="J701" t="str">
        <f t="shared" si="10"/>
        <v>Yüksək Risk</v>
      </c>
    </row>
    <row r="702" spans="1:10">
      <c r="A702">
        <v>951</v>
      </c>
      <c r="B702">
        <v>391</v>
      </c>
      <c r="C702" t="str">
        <f>_xlfn.XLOOKUP(B702,raw_customers!A:A,raw_customers!B:B)</f>
        <v>Nərgiz Əzizov</v>
      </c>
      <c r="D702" t="str">
        <f>_xlfn.XLOOKUP(C702,raw_customers!B:B,raw_customers!C:C)</f>
        <v>F</v>
      </c>
      <c r="E702" t="str">
        <f>_xlfn.XLOOKUP(C702,raw_customers!B:B,raw_customers!G:G)</f>
        <v>SME</v>
      </c>
      <c r="F702" t="str">
        <f>_xlfn.XLOOKUP(_xlfn.XLOOKUP(B702,raw_customers!A:A,raw_customers!F:F),raw_branches!A:A,raw_branches!B:B)</f>
        <v>Lankaran Branch</v>
      </c>
      <c r="G702" s="7">
        <v>91309.95</v>
      </c>
      <c r="H702" s="6">
        <v>17.43</v>
      </c>
      <c r="I702" t="s">
        <v>2377</v>
      </c>
      <c r="J702" t="str">
        <f t="shared" si="10"/>
        <v>Orta Risk</v>
      </c>
    </row>
    <row r="703" spans="1:10">
      <c r="A703">
        <v>952</v>
      </c>
      <c r="B703">
        <v>19</v>
      </c>
      <c r="C703" t="str">
        <f>_xlfn.XLOOKUP(B703,raw_customers!A:A,raw_customers!B:B)</f>
        <v>Aynur Nəbiyev</v>
      </c>
      <c r="D703" t="str">
        <f>_xlfn.XLOOKUP(C703,raw_customers!B:B,raw_customers!C:C)</f>
        <v>F</v>
      </c>
      <c r="E703" t="str">
        <f>_xlfn.XLOOKUP(C703,raw_customers!B:B,raw_customers!G:G)</f>
        <v>Premium</v>
      </c>
      <c r="F703" t="str">
        <f>_xlfn.XLOOKUP(_xlfn.XLOOKUP(B703,raw_customers!A:A,raw_customers!F:F),raw_branches!A:A,raw_branches!B:B)</f>
        <v>Baku Yasamal</v>
      </c>
      <c r="G703" s="7">
        <v>121697.23</v>
      </c>
      <c r="H703" s="6">
        <v>20.93</v>
      </c>
      <c r="I703" t="s">
        <v>2377</v>
      </c>
      <c r="J703" t="str">
        <f t="shared" si="10"/>
        <v>Yüksək Risk</v>
      </c>
    </row>
    <row r="704" spans="1:10">
      <c r="A704">
        <v>953</v>
      </c>
      <c r="B704">
        <v>839</v>
      </c>
      <c r="C704" t="str">
        <f>_xlfn.XLOOKUP(B704,raw_customers!A:A,raw_customers!B:B)</f>
        <v>Samir Kərimov</v>
      </c>
      <c r="D704" t="str">
        <f>_xlfn.XLOOKUP(C704,raw_customers!B:B,raw_customers!C:C)</f>
        <v>M</v>
      </c>
      <c r="E704" t="str">
        <f>_xlfn.XLOOKUP(C704,raw_customers!B:B,raw_customers!G:G)</f>
        <v>Retail</v>
      </c>
      <c r="F704" t="str">
        <f>_xlfn.XLOOKUP(_xlfn.XLOOKUP(B704,raw_customers!A:A,raw_customers!F:F),raw_branches!A:A,raw_branches!B:B)</f>
        <v>Sumgait Branch</v>
      </c>
      <c r="G704" s="7">
        <v>17496.36</v>
      </c>
      <c r="H704" s="6">
        <v>6.52</v>
      </c>
      <c r="I704" t="s">
        <v>2383</v>
      </c>
      <c r="J704" t="str">
        <f t="shared" si="10"/>
        <v>Aşağı Risk</v>
      </c>
    </row>
    <row r="705" spans="1:10">
      <c r="A705">
        <v>954</v>
      </c>
      <c r="B705">
        <v>653</v>
      </c>
      <c r="C705" t="str">
        <f>_xlfn.XLOOKUP(B705,raw_customers!A:A,raw_customers!B:B)</f>
        <v>Orxan Hüseynov</v>
      </c>
      <c r="D705" t="str">
        <f>_xlfn.XLOOKUP(C705,raw_customers!B:B,raw_customers!C:C)</f>
        <v>M</v>
      </c>
      <c r="E705" t="str">
        <f>_xlfn.XLOOKUP(C705,raw_customers!B:B,raw_customers!G:G)</f>
        <v>Retail</v>
      </c>
      <c r="F705" t="str">
        <f>_xlfn.XLOOKUP(_xlfn.XLOOKUP(B705,raw_customers!A:A,raw_customers!F:F),raw_branches!A:A,raw_branches!B:B)</f>
        <v>Sumgait Branch</v>
      </c>
      <c r="G705" s="7">
        <v>8077.29</v>
      </c>
      <c r="H705" s="6">
        <v>20.81</v>
      </c>
      <c r="I705" t="s">
        <v>2377</v>
      </c>
      <c r="J705" t="str">
        <f t="shared" si="10"/>
        <v>Yüksək Risk</v>
      </c>
    </row>
    <row r="706" spans="1:10">
      <c r="A706">
        <v>955</v>
      </c>
      <c r="B706">
        <v>479</v>
      </c>
      <c r="C706" t="str">
        <f>_xlfn.XLOOKUP(B706,raw_customers!A:A,raw_customers!B:B)</f>
        <v>Samir Əliyev</v>
      </c>
      <c r="D706" t="str">
        <f>_xlfn.XLOOKUP(C706,raw_customers!B:B,raw_customers!C:C)</f>
        <v>M</v>
      </c>
      <c r="E706" t="str">
        <f>_xlfn.XLOOKUP(C706,raw_customers!B:B,raw_customers!G:G)</f>
        <v>Premium</v>
      </c>
      <c r="F706" t="str">
        <f>_xlfn.XLOOKUP(_xlfn.XLOOKUP(B706,raw_customers!A:A,raw_customers!F:F),raw_branches!A:A,raw_branches!B:B)</f>
        <v>Baku Yasamal</v>
      </c>
      <c r="G706" s="7">
        <v>185339.43</v>
      </c>
      <c r="H706" s="6">
        <v>11.47</v>
      </c>
      <c r="I706" t="s">
        <v>2377</v>
      </c>
      <c r="J706" t="str">
        <f t="shared" si="10"/>
        <v>Aşağı Risk</v>
      </c>
    </row>
    <row r="707" spans="1:10">
      <c r="A707">
        <v>956</v>
      </c>
      <c r="B707">
        <v>258</v>
      </c>
      <c r="C707" t="str">
        <f>_xlfn.XLOOKUP(B707,raw_customers!A:A,raw_customers!B:B)</f>
        <v>Fərid Musayev</v>
      </c>
      <c r="D707" t="str">
        <f>_xlfn.XLOOKUP(C707,raw_customers!B:B,raw_customers!C:C)</f>
        <v>M</v>
      </c>
      <c r="E707" t="str">
        <f>_xlfn.XLOOKUP(C707,raw_customers!B:B,raw_customers!G:G)</f>
        <v>Retail</v>
      </c>
      <c r="F707" t="str">
        <f>_xlfn.XLOOKUP(_xlfn.XLOOKUP(B707,raw_customers!A:A,raw_customers!F:F),raw_branches!A:A,raw_branches!B:B)</f>
        <v>Mingachevir Branch</v>
      </c>
      <c r="G707" s="7">
        <v>188791.09</v>
      </c>
      <c r="H707" s="6">
        <v>19.06</v>
      </c>
      <c r="I707" t="s">
        <v>2377</v>
      </c>
      <c r="J707" t="str">
        <f t="shared" ref="J707:J770" si="11">IF(I707="Default","Default (Batıq)",IF(H707&gt;=18,"Yüksək Risk",IF(H707&gt;=12,"Orta Risk","Aşağı Risk")))</f>
        <v>Yüksək Risk</v>
      </c>
    </row>
    <row r="708" spans="1:10">
      <c r="A708">
        <v>957</v>
      </c>
      <c r="B708">
        <v>32</v>
      </c>
      <c r="C708" t="str">
        <f>_xlfn.XLOOKUP(B708,raw_customers!A:A,raw_customers!B:B)</f>
        <v>Zaur Tağıyev</v>
      </c>
      <c r="D708" t="str">
        <f>_xlfn.XLOOKUP(C708,raw_customers!B:B,raw_customers!C:C)</f>
        <v>M</v>
      </c>
      <c r="E708" t="str">
        <f>_xlfn.XLOOKUP(C708,raw_customers!B:B,raw_customers!G:G)</f>
        <v>Retail</v>
      </c>
      <c r="F708" t="str">
        <f>_xlfn.XLOOKUP(_xlfn.XLOOKUP(B708,raw_customers!A:A,raw_customers!F:F),raw_branches!A:A,raw_branches!B:B)</f>
        <v>Baku Yasamal</v>
      </c>
      <c r="G708" s="7">
        <v>88367.47</v>
      </c>
      <c r="H708" s="6">
        <v>9.77</v>
      </c>
      <c r="I708" t="s">
        <v>2393</v>
      </c>
      <c r="J708" t="str">
        <f t="shared" si="11"/>
        <v>Default (Batıq)</v>
      </c>
    </row>
    <row r="709" spans="1:10">
      <c r="A709">
        <v>958</v>
      </c>
      <c r="B709">
        <v>103</v>
      </c>
      <c r="C709" t="str">
        <f>_xlfn.XLOOKUP(B709,raw_customers!A:A,raw_customers!B:B)</f>
        <v>Kənan Əliyev</v>
      </c>
      <c r="D709" t="str">
        <f>_xlfn.XLOOKUP(C709,raw_customers!B:B,raw_customers!C:C)</f>
        <v>M</v>
      </c>
      <c r="E709" t="str">
        <f>_xlfn.XLOOKUP(C709,raw_customers!B:B,raw_customers!G:G)</f>
        <v>SME</v>
      </c>
      <c r="F709" t="str">
        <f>_xlfn.XLOOKUP(_xlfn.XLOOKUP(B709,raw_customers!A:A,raw_customers!F:F),raw_branches!A:A,raw_branches!B:B)</f>
        <v>Ganja Branch</v>
      </c>
      <c r="G709" s="7">
        <v>6548.08</v>
      </c>
      <c r="H709" s="6">
        <v>12.1</v>
      </c>
      <c r="I709" t="s">
        <v>2377</v>
      </c>
      <c r="J709" t="str">
        <f t="shared" si="11"/>
        <v>Orta Risk</v>
      </c>
    </row>
    <row r="710" spans="1:10">
      <c r="A710">
        <v>959</v>
      </c>
      <c r="B710">
        <v>346</v>
      </c>
      <c r="C710" t="str">
        <f>_xlfn.XLOOKUP(B710,raw_customers!A:A,raw_customers!B:B)</f>
        <v>Elşən Novruzov</v>
      </c>
      <c r="D710" t="str">
        <f>_xlfn.XLOOKUP(C710,raw_customers!B:B,raw_customers!C:C)</f>
        <v>M</v>
      </c>
      <c r="E710" t="str">
        <f>_xlfn.XLOOKUP(C710,raw_customers!B:B,raw_customers!G:G)</f>
        <v>Retail</v>
      </c>
      <c r="F710" t="str">
        <f>_xlfn.XLOOKUP(_xlfn.XLOOKUP(B710,raw_customers!A:A,raw_customers!F:F),raw_branches!A:A,raw_branches!B:B)</f>
        <v>Baku Central</v>
      </c>
      <c r="G710" s="7">
        <v>12953.37</v>
      </c>
      <c r="H710" s="6">
        <v>5</v>
      </c>
      <c r="I710" t="s">
        <v>2377</v>
      </c>
      <c r="J710" t="str">
        <f t="shared" si="11"/>
        <v>Aşağı Risk</v>
      </c>
    </row>
    <row r="711" spans="1:10">
      <c r="A711">
        <v>960</v>
      </c>
      <c r="B711">
        <v>954</v>
      </c>
      <c r="C711" t="str">
        <f>_xlfn.XLOOKUP(B711,raw_customers!A:A,raw_customers!B:B)</f>
        <v>Tural Kərimov</v>
      </c>
      <c r="D711" t="str">
        <f>_xlfn.XLOOKUP(C711,raw_customers!B:B,raw_customers!C:C)</f>
        <v>M</v>
      </c>
      <c r="E711" t="str">
        <f>_xlfn.XLOOKUP(C711,raw_customers!B:B,raw_customers!G:G)</f>
        <v>Retail</v>
      </c>
      <c r="F711" t="str">
        <f>_xlfn.XLOOKUP(_xlfn.XLOOKUP(B711,raw_customers!A:A,raw_customers!F:F),raw_branches!A:A,raw_branches!B:B)</f>
        <v>Mingachevir Branch</v>
      </c>
      <c r="G711" s="7">
        <v>23427.22</v>
      </c>
      <c r="H711" s="6">
        <v>7.59</v>
      </c>
      <c r="I711" t="s">
        <v>2383</v>
      </c>
      <c r="J711" t="str">
        <f t="shared" si="11"/>
        <v>Aşağı Risk</v>
      </c>
    </row>
    <row r="712" spans="1:10">
      <c r="A712">
        <v>961</v>
      </c>
      <c r="B712">
        <v>685</v>
      </c>
      <c r="C712" t="str">
        <f>_xlfn.XLOOKUP(B712,raw_customers!A:A,raw_customers!B:B)</f>
        <v>Xəyalə Vəliyev</v>
      </c>
      <c r="D712" t="str">
        <f>_xlfn.XLOOKUP(C712,raw_customers!B:B,raw_customers!C:C)</f>
        <v>F</v>
      </c>
      <c r="E712" t="str">
        <f>_xlfn.XLOOKUP(C712,raw_customers!B:B,raw_customers!G:G)</f>
        <v>Retail</v>
      </c>
      <c r="F712" t="str">
        <f>_xlfn.XLOOKUP(_xlfn.XLOOKUP(B712,raw_customers!A:A,raw_customers!F:F),raw_branches!A:A,raw_branches!B:B)</f>
        <v>Sumgait Branch</v>
      </c>
      <c r="G712" s="7">
        <v>5519.03</v>
      </c>
      <c r="H712" s="6">
        <v>8.58</v>
      </c>
      <c r="I712" t="s">
        <v>2377</v>
      </c>
      <c r="J712" t="str">
        <f t="shared" si="11"/>
        <v>Aşağı Risk</v>
      </c>
    </row>
    <row r="713" spans="1:10">
      <c r="A713">
        <v>962</v>
      </c>
      <c r="B713">
        <v>581</v>
      </c>
      <c r="C713" t="str">
        <f>_xlfn.XLOOKUP(B713,raw_customers!A:A,raw_customers!B:B)</f>
        <v>Kənan Sadıqov</v>
      </c>
      <c r="D713" t="str">
        <f>_xlfn.XLOOKUP(C713,raw_customers!B:B,raw_customers!C:C)</f>
        <v>M</v>
      </c>
      <c r="E713" t="str">
        <f>_xlfn.XLOOKUP(C713,raw_customers!B:B,raw_customers!G:G)</f>
        <v>Retail</v>
      </c>
      <c r="F713" t="str">
        <f>_xlfn.XLOOKUP(_xlfn.XLOOKUP(B713,raw_customers!A:A,raw_customers!F:F),raw_branches!A:A,raw_branches!B:B)</f>
        <v>Sheki Branch</v>
      </c>
      <c r="G713" s="7">
        <v>58812.04</v>
      </c>
      <c r="H713" s="6">
        <v>18.57</v>
      </c>
      <c r="I713" t="s">
        <v>2377</v>
      </c>
      <c r="J713" t="str">
        <f t="shared" si="11"/>
        <v>Yüksək Risk</v>
      </c>
    </row>
    <row r="714" spans="1:10">
      <c r="A714">
        <v>963</v>
      </c>
      <c r="B714">
        <v>603</v>
      </c>
      <c r="C714" t="str">
        <f>_xlfn.XLOOKUP(B714,raw_customers!A:A,raw_customers!B:B)</f>
        <v>Elvin Quliyev</v>
      </c>
      <c r="D714" t="str">
        <f>_xlfn.XLOOKUP(C714,raw_customers!B:B,raw_customers!C:C)</f>
        <v>M</v>
      </c>
      <c r="E714" t="str">
        <f>_xlfn.XLOOKUP(C714,raw_customers!B:B,raw_customers!G:G)</f>
        <v>Retail</v>
      </c>
      <c r="F714" t="str">
        <f>_xlfn.XLOOKUP(_xlfn.XLOOKUP(B714,raw_customers!A:A,raw_customers!F:F),raw_branches!A:A,raw_branches!B:B)</f>
        <v>Ganja Branch</v>
      </c>
      <c r="G714" s="7">
        <v>2120.93</v>
      </c>
      <c r="H714" s="6">
        <v>19.06</v>
      </c>
      <c r="I714" t="s">
        <v>2377</v>
      </c>
      <c r="J714" t="str">
        <f t="shared" si="11"/>
        <v>Yüksək Risk</v>
      </c>
    </row>
    <row r="715" spans="1:10">
      <c r="A715">
        <v>964</v>
      </c>
      <c r="B715">
        <v>985</v>
      </c>
      <c r="C715" t="str">
        <f>_xlfn.XLOOKUP(B715,raw_customers!A:A,raw_customers!B:B)</f>
        <v>Elvin Orucov</v>
      </c>
      <c r="D715" t="str">
        <f>_xlfn.XLOOKUP(C715,raw_customers!B:B,raw_customers!C:C)</f>
        <v>M</v>
      </c>
      <c r="E715" t="str">
        <f>_xlfn.XLOOKUP(C715,raw_customers!B:B,raw_customers!G:G)</f>
        <v>Premium</v>
      </c>
      <c r="F715" t="str">
        <f>_xlfn.XLOOKUP(_xlfn.XLOOKUP(B715,raw_customers!A:A,raw_customers!F:F),raw_branches!A:A,raw_branches!B:B)</f>
        <v>Sumgait Branch</v>
      </c>
      <c r="G715" s="7">
        <v>51200.65</v>
      </c>
      <c r="H715" s="6">
        <v>12.36</v>
      </c>
      <c r="I715" t="s">
        <v>2383</v>
      </c>
      <c r="J715" t="str">
        <f t="shared" si="11"/>
        <v>Orta Risk</v>
      </c>
    </row>
    <row r="716" spans="1:10">
      <c r="A716">
        <v>965</v>
      </c>
      <c r="B716">
        <v>728</v>
      </c>
      <c r="C716" t="str">
        <f>_xlfn.XLOOKUP(B716,raw_customers!A:A,raw_customers!B:B)</f>
        <v>Nərmin Əzizov</v>
      </c>
      <c r="D716" t="str">
        <f>_xlfn.XLOOKUP(C716,raw_customers!B:B,raw_customers!C:C)</f>
        <v>F</v>
      </c>
      <c r="E716" t="str">
        <f>_xlfn.XLOOKUP(C716,raw_customers!B:B,raw_customers!G:G)</f>
        <v>SME</v>
      </c>
      <c r="F716" t="str">
        <f>_xlfn.XLOOKUP(_xlfn.XLOOKUP(B716,raw_customers!A:A,raw_customers!F:F),raw_branches!A:A,raw_branches!B:B)</f>
        <v>Baku Central</v>
      </c>
      <c r="G716" s="7">
        <v>61890.88</v>
      </c>
      <c r="H716" s="6">
        <v>19.83</v>
      </c>
      <c r="I716" t="s">
        <v>2393</v>
      </c>
      <c r="J716" t="str">
        <f t="shared" si="11"/>
        <v>Default (Batıq)</v>
      </c>
    </row>
    <row r="717" spans="1:10">
      <c r="A717">
        <v>966</v>
      </c>
      <c r="B717">
        <v>78</v>
      </c>
      <c r="C717" t="str">
        <f>_xlfn.XLOOKUP(B717,raw_customers!A:A,raw_customers!B:B)</f>
        <v>Xəyalə Rəhimov</v>
      </c>
      <c r="D717" t="str">
        <f>_xlfn.XLOOKUP(C717,raw_customers!B:B,raw_customers!C:C)</f>
        <v>F</v>
      </c>
      <c r="E717" t="str">
        <f>_xlfn.XLOOKUP(C717,raw_customers!B:B,raw_customers!G:G)</f>
        <v>SME</v>
      </c>
      <c r="F717" t="str">
        <f>_xlfn.XLOOKUP(_xlfn.XLOOKUP(B717,raw_customers!A:A,raw_customers!F:F),raw_branches!A:A,raw_branches!B:B)</f>
        <v>Sumgait Branch</v>
      </c>
      <c r="G717" s="7">
        <v>151819.78</v>
      </c>
      <c r="H717" s="6">
        <v>6.97</v>
      </c>
      <c r="I717" t="s">
        <v>2377</v>
      </c>
      <c r="J717" t="str">
        <f t="shared" si="11"/>
        <v>Aşağı Risk</v>
      </c>
    </row>
    <row r="718" spans="1:10">
      <c r="A718">
        <v>967</v>
      </c>
      <c r="B718">
        <v>212</v>
      </c>
      <c r="C718" t="str">
        <f>_xlfn.XLOOKUP(B718,raw_customers!A:A,raw_customers!B:B)</f>
        <v>Zaur Hüseynov</v>
      </c>
      <c r="D718" t="str">
        <f>_xlfn.XLOOKUP(C718,raw_customers!B:B,raw_customers!C:C)</f>
        <v>M</v>
      </c>
      <c r="E718" t="str">
        <f>_xlfn.XLOOKUP(C718,raw_customers!B:B,raw_customers!G:G)</f>
        <v>SME</v>
      </c>
      <c r="F718" t="str">
        <f>_xlfn.XLOOKUP(_xlfn.XLOOKUP(B718,raw_customers!A:A,raw_customers!F:F),raw_branches!A:A,raw_branches!B:B)</f>
        <v>Baku Yasamal</v>
      </c>
      <c r="G718" s="7">
        <v>20124.24</v>
      </c>
      <c r="H718" s="6">
        <v>20.86</v>
      </c>
      <c r="I718" t="s">
        <v>2383</v>
      </c>
      <c r="J718" t="str">
        <f t="shared" si="11"/>
        <v>Yüksək Risk</v>
      </c>
    </row>
    <row r="719" spans="1:10">
      <c r="A719">
        <v>968</v>
      </c>
      <c r="B719">
        <v>378</v>
      </c>
      <c r="C719" t="str">
        <f>_xlfn.XLOOKUP(B719,raw_customers!A:A,raw_customers!B:B)</f>
        <v>Xəyalə Kərimov</v>
      </c>
      <c r="D719" t="str">
        <f>_xlfn.XLOOKUP(C719,raw_customers!B:B,raw_customers!C:C)</f>
        <v>F</v>
      </c>
      <c r="E719" t="str">
        <f>_xlfn.XLOOKUP(C719,raw_customers!B:B,raw_customers!G:G)</f>
        <v>Retail</v>
      </c>
      <c r="F719" t="str">
        <f>_xlfn.XLOOKUP(_xlfn.XLOOKUP(B719,raw_customers!A:A,raw_customers!F:F),raw_branches!A:A,raw_branches!B:B)</f>
        <v>Ganja Branch</v>
      </c>
      <c r="G719" s="7">
        <v>1108.82</v>
      </c>
      <c r="H719" s="6">
        <v>14.19</v>
      </c>
      <c r="I719" t="s">
        <v>2377</v>
      </c>
      <c r="J719" t="str">
        <f t="shared" si="11"/>
        <v>Orta Risk</v>
      </c>
    </row>
    <row r="720" spans="1:10">
      <c r="A720">
        <v>969</v>
      </c>
      <c r="B720">
        <v>682</v>
      </c>
      <c r="C720" t="str">
        <f>_xlfn.XLOOKUP(B720,raw_customers!A:A,raw_customers!B:B)</f>
        <v>Günel Kərimov</v>
      </c>
      <c r="D720" t="str">
        <f>_xlfn.XLOOKUP(C720,raw_customers!B:B,raw_customers!C:C)</f>
        <v>F</v>
      </c>
      <c r="E720" t="str">
        <f>_xlfn.XLOOKUP(C720,raw_customers!B:B,raw_customers!G:G)</f>
        <v>Retail</v>
      </c>
      <c r="F720" t="str">
        <f>_xlfn.XLOOKUP(_xlfn.XLOOKUP(B720,raw_customers!A:A,raw_customers!F:F),raw_branches!A:A,raw_branches!B:B)</f>
        <v>Sumgait Branch</v>
      </c>
      <c r="G720" s="7">
        <v>30340.6</v>
      </c>
      <c r="H720" s="6">
        <v>5.73</v>
      </c>
      <c r="I720" t="s">
        <v>2377</v>
      </c>
      <c r="J720" t="str">
        <f t="shared" si="11"/>
        <v>Aşağı Risk</v>
      </c>
    </row>
    <row r="721" spans="1:10">
      <c r="A721">
        <v>970</v>
      </c>
      <c r="B721">
        <v>699</v>
      </c>
      <c r="C721" t="str">
        <f>_xlfn.XLOOKUP(B721,raw_customers!A:A,raw_customers!B:B)</f>
        <v>Səbinə Hüseynov</v>
      </c>
      <c r="D721" t="str">
        <f>_xlfn.XLOOKUP(C721,raw_customers!B:B,raw_customers!C:C)</f>
        <v>F</v>
      </c>
      <c r="E721" t="str">
        <f>_xlfn.XLOOKUP(C721,raw_customers!B:B,raw_customers!G:G)</f>
        <v>Retail</v>
      </c>
      <c r="F721" t="str">
        <f>_xlfn.XLOOKUP(_xlfn.XLOOKUP(B721,raw_customers!A:A,raw_customers!F:F),raw_branches!A:A,raw_branches!B:B)</f>
        <v>Lankaran Branch</v>
      </c>
      <c r="G721" s="7">
        <v>91691.41</v>
      </c>
      <c r="H721" s="6">
        <v>19.51</v>
      </c>
      <c r="I721" t="s">
        <v>2377</v>
      </c>
      <c r="J721" t="str">
        <f t="shared" si="11"/>
        <v>Yüksək Risk</v>
      </c>
    </row>
    <row r="722" spans="1:10">
      <c r="A722">
        <v>971</v>
      </c>
      <c r="B722">
        <v>434</v>
      </c>
      <c r="C722" t="str">
        <f>_xlfn.XLOOKUP(B722,raw_customers!A:A,raw_customers!B:B)</f>
        <v>Ramin Quliyev</v>
      </c>
      <c r="D722" t="str">
        <f>_xlfn.XLOOKUP(C722,raw_customers!B:B,raw_customers!C:C)</f>
        <v>M</v>
      </c>
      <c r="E722" t="str">
        <f>_xlfn.XLOOKUP(C722,raw_customers!B:B,raw_customers!G:G)</f>
        <v>SME</v>
      </c>
      <c r="F722" t="str">
        <f>_xlfn.XLOOKUP(_xlfn.XLOOKUP(B722,raw_customers!A:A,raw_customers!F:F),raw_branches!A:A,raw_branches!B:B)</f>
        <v>Baku Central</v>
      </c>
      <c r="G722" s="7">
        <v>39780.37</v>
      </c>
      <c r="H722" s="6">
        <v>19.19</v>
      </c>
      <c r="I722" t="s">
        <v>2377</v>
      </c>
      <c r="J722" t="str">
        <f t="shared" si="11"/>
        <v>Yüksək Risk</v>
      </c>
    </row>
    <row r="723" spans="1:10">
      <c r="A723">
        <v>972</v>
      </c>
      <c r="B723">
        <v>109</v>
      </c>
      <c r="C723" t="str">
        <f>_xlfn.XLOOKUP(B723,raw_customers!A:A,raw_customers!B:B)</f>
        <v>Aynur Musayev</v>
      </c>
      <c r="D723" t="str">
        <f>_xlfn.XLOOKUP(C723,raw_customers!B:B,raw_customers!C:C)</f>
        <v>F</v>
      </c>
      <c r="E723" t="str">
        <f>_xlfn.XLOOKUP(C723,raw_customers!B:B,raw_customers!G:G)</f>
        <v>Retail</v>
      </c>
      <c r="F723" t="str">
        <f>_xlfn.XLOOKUP(_xlfn.XLOOKUP(B723,raw_customers!A:A,raw_customers!F:F),raw_branches!A:A,raw_branches!B:B)</f>
        <v>Ganja Branch</v>
      </c>
      <c r="G723" s="7">
        <v>5503.33</v>
      </c>
      <c r="H723" s="6">
        <v>16.22</v>
      </c>
      <c r="I723" t="s">
        <v>2377</v>
      </c>
      <c r="J723" t="str">
        <f t="shared" si="11"/>
        <v>Orta Risk</v>
      </c>
    </row>
    <row r="724" spans="1:10">
      <c r="A724">
        <v>973</v>
      </c>
      <c r="B724">
        <v>926</v>
      </c>
      <c r="C724" t="str">
        <f>_xlfn.XLOOKUP(B724,raw_customers!A:A,raw_customers!B:B)</f>
        <v>Səbinə Nəbiyev</v>
      </c>
      <c r="D724" t="str">
        <f>_xlfn.XLOOKUP(C724,raw_customers!B:B,raw_customers!C:C)</f>
        <v>F</v>
      </c>
      <c r="E724" t="str">
        <f>_xlfn.XLOOKUP(C724,raw_customers!B:B,raw_customers!G:G)</f>
        <v>Retail</v>
      </c>
      <c r="F724" t="str">
        <f>_xlfn.XLOOKUP(_xlfn.XLOOKUP(B724,raw_customers!A:A,raw_customers!F:F),raw_branches!A:A,raw_branches!B:B)</f>
        <v>Baku Central</v>
      </c>
      <c r="G724" s="7">
        <v>34695.41</v>
      </c>
      <c r="H724" s="6">
        <v>21.94</v>
      </c>
      <c r="I724" t="s">
        <v>2377</v>
      </c>
      <c r="J724" t="str">
        <f t="shared" si="11"/>
        <v>Yüksək Risk</v>
      </c>
    </row>
    <row r="725" spans="1:10">
      <c r="A725">
        <v>974</v>
      </c>
      <c r="B725">
        <v>623</v>
      </c>
      <c r="C725" t="str">
        <f>_xlfn.XLOOKUP(B725,raw_customers!A:A,raw_customers!B:B)</f>
        <v>Vəfa Orucov</v>
      </c>
      <c r="D725" t="str">
        <f>_xlfn.XLOOKUP(C725,raw_customers!B:B,raw_customers!C:C)</f>
        <v>F</v>
      </c>
      <c r="E725" t="str">
        <f>_xlfn.XLOOKUP(C725,raw_customers!B:B,raw_customers!G:G)</f>
        <v>SME</v>
      </c>
      <c r="F725" t="str">
        <f>_xlfn.XLOOKUP(_xlfn.XLOOKUP(B725,raw_customers!A:A,raw_customers!F:F),raw_branches!A:A,raw_branches!B:B)</f>
        <v>Lankaran Branch</v>
      </c>
      <c r="G725" s="7">
        <v>9457.07</v>
      </c>
      <c r="H725" s="6">
        <v>6.86</v>
      </c>
      <c r="I725" t="s">
        <v>2377</v>
      </c>
      <c r="J725" t="str">
        <f t="shared" si="11"/>
        <v>Aşağı Risk</v>
      </c>
    </row>
    <row r="726" spans="1:10">
      <c r="A726">
        <v>975</v>
      </c>
      <c r="B726">
        <v>530</v>
      </c>
      <c r="C726" t="str">
        <f>_xlfn.XLOOKUP(B726,raw_customers!A:A,raw_customers!B:B)</f>
        <v>Könül Əzizov</v>
      </c>
      <c r="D726" t="str">
        <f>_xlfn.XLOOKUP(C726,raw_customers!B:B,raw_customers!C:C)</f>
        <v>F</v>
      </c>
      <c r="E726" t="str">
        <f>_xlfn.XLOOKUP(C726,raw_customers!B:B,raw_customers!G:G)</f>
        <v>SME</v>
      </c>
      <c r="F726" t="str">
        <f>_xlfn.XLOOKUP(_xlfn.XLOOKUP(B726,raw_customers!A:A,raw_customers!F:F),raw_branches!A:A,raw_branches!B:B)</f>
        <v>Sumgait Branch</v>
      </c>
      <c r="G726" s="7">
        <v>7693.49</v>
      </c>
      <c r="H726" s="6">
        <v>8.86</v>
      </c>
      <c r="I726" t="s">
        <v>2383</v>
      </c>
      <c r="J726" t="str">
        <f t="shared" si="11"/>
        <v>Aşağı Risk</v>
      </c>
    </row>
    <row r="727" spans="1:10">
      <c r="A727">
        <v>976</v>
      </c>
      <c r="B727">
        <v>446</v>
      </c>
      <c r="C727" t="str">
        <f>_xlfn.XLOOKUP(B727,raw_customers!A:A,raw_customers!B:B)</f>
        <v>Fuad Vəliyev</v>
      </c>
      <c r="D727" t="str">
        <f>_xlfn.XLOOKUP(C727,raw_customers!B:B,raw_customers!C:C)</f>
        <v>M</v>
      </c>
      <c r="E727" t="str">
        <f>_xlfn.XLOOKUP(C727,raw_customers!B:B,raw_customers!G:G)</f>
        <v>Retail</v>
      </c>
      <c r="F727" t="str">
        <f>_xlfn.XLOOKUP(_xlfn.XLOOKUP(B727,raw_customers!A:A,raw_customers!F:F),raw_branches!A:A,raw_branches!B:B)</f>
        <v>Ganja Branch</v>
      </c>
      <c r="G727" s="7">
        <v>21778.67</v>
      </c>
      <c r="H727" s="6">
        <v>21.87</v>
      </c>
      <c r="I727" t="s">
        <v>2377</v>
      </c>
      <c r="J727" t="str">
        <f t="shared" si="11"/>
        <v>Yüksək Risk</v>
      </c>
    </row>
    <row r="728" spans="1:10">
      <c r="A728">
        <v>977</v>
      </c>
      <c r="B728">
        <v>933</v>
      </c>
      <c r="C728" t="str">
        <f>_xlfn.XLOOKUP(B728,raw_customers!A:A,raw_customers!B:B)</f>
        <v>Aysel Orucov</v>
      </c>
      <c r="D728" t="str">
        <f>_xlfn.XLOOKUP(C728,raw_customers!B:B,raw_customers!C:C)</f>
        <v>F</v>
      </c>
      <c r="E728" t="str">
        <f>_xlfn.XLOOKUP(C728,raw_customers!B:B,raw_customers!G:G)</f>
        <v>Retail</v>
      </c>
      <c r="F728" t="str">
        <f>_xlfn.XLOOKUP(_xlfn.XLOOKUP(B728,raw_customers!A:A,raw_customers!F:F),raw_branches!A:A,raw_branches!B:B)</f>
        <v>Sheki Branch</v>
      </c>
      <c r="G728" s="7">
        <v>32880.19</v>
      </c>
      <c r="H728" s="6">
        <v>10.1</v>
      </c>
      <c r="I728" t="s">
        <v>2383</v>
      </c>
      <c r="J728" t="str">
        <f t="shared" si="11"/>
        <v>Aşağı Risk</v>
      </c>
    </row>
    <row r="729" spans="1:10">
      <c r="A729">
        <v>978</v>
      </c>
      <c r="B729">
        <v>56</v>
      </c>
      <c r="C729" t="str">
        <f>_xlfn.XLOOKUP(B729,raw_customers!A:A,raw_customers!B:B)</f>
        <v>Samir Rzayev</v>
      </c>
      <c r="D729" t="str">
        <f>_xlfn.XLOOKUP(C729,raw_customers!B:B,raw_customers!C:C)</f>
        <v>M</v>
      </c>
      <c r="E729" t="str">
        <f>_xlfn.XLOOKUP(C729,raw_customers!B:B,raw_customers!G:G)</f>
        <v>SME</v>
      </c>
      <c r="F729" t="str">
        <f>_xlfn.XLOOKUP(_xlfn.XLOOKUP(B729,raw_customers!A:A,raw_customers!F:F),raw_branches!A:A,raw_branches!B:B)</f>
        <v>Lankaran Branch</v>
      </c>
      <c r="G729" s="7">
        <v>139582.02</v>
      </c>
      <c r="H729" s="6">
        <v>21.06</v>
      </c>
      <c r="I729" t="s">
        <v>2377</v>
      </c>
      <c r="J729" t="str">
        <f t="shared" si="11"/>
        <v>Yüksək Risk</v>
      </c>
    </row>
    <row r="730" spans="1:10">
      <c r="A730">
        <v>979</v>
      </c>
      <c r="B730">
        <v>505</v>
      </c>
      <c r="C730" t="str">
        <f>_xlfn.XLOOKUP(B730,raw_customers!A:A,raw_customers!B:B)</f>
        <v>Zaur Əzizov</v>
      </c>
      <c r="D730" t="str">
        <f>_xlfn.XLOOKUP(C730,raw_customers!B:B,raw_customers!C:C)</f>
        <v>M</v>
      </c>
      <c r="E730" t="str">
        <f>_xlfn.XLOOKUP(C730,raw_customers!B:B,raw_customers!G:G)</f>
        <v>Retail</v>
      </c>
      <c r="F730" t="str">
        <f>_xlfn.XLOOKUP(_xlfn.XLOOKUP(B730,raw_customers!A:A,raw_customers!F:F),raw_branches!A:A,raw_branches!B:B)</f>
        <v>Baku Yasamal</v>
      </c>
      <c r="G730" s="7">
        <v>192733.87</v>
      </c>
      <c r="H730" s="6">
        <v>11.88</v>
      </c>
      <c r="I730" t="s">
        <v>2377</v>
      </c>
      <c r="J730" t="str">
        <f t="shared" si="11"/>
        <v>Aşağı Risk</v>
      </c>
    </row>
    <row r="731" spans="1:10">
      <c r="A731">
        <v>980</v>
      </c>
      <c r="B731">
        <v>371</v>
      </c>
      <c r="C731" t="str">
        <f>_xlfn.XLOOKUP(B731,raw_customers!A:A,raw_customers!B:B)</f>
        <v>Aynur Nəbiyev</v>
      </c>
      <c r="D731" t="str">
        <f>_xlfn.XLOOKUP(C731,raw_customers!B:B,raw_customers!C:C)</f>
        <v>F</v>
      </c>
      <c r="E731" t="str">
        <f>_xlfn.XLOOKUP(C731,raw_customers!B:B,raw_customers!G:G)</f>
        <v>Premium</v>
      </c>
      <c r="F731" t="str">
        <f>_xlfn.XLOOKUP(_xlfn.XLOOKUP(B731,raw_customers!A:A,raw_customers!F:F),raw_branches!A:A,raw_branches!B:B)</f>
        <v>Baku Yasamal</v>
      </c>
      <c r="G731" s="7">
        <v>131543.75</v>
      </c>
      <c r="H731" s="6">
        <v>21.81</v>
      </c>
      <c r="I731" t="s">
        <v>2377</v>
      </c>
      <c r="J731" t="str">
        <f t="shared" si="11"/>
        <v>Yüksək Risk</v>
      </c>
    </row>
    <row r="732" spans="1:10">
      <c r="A732">
        <v>981</v>
      </c>
      <c r="B732">
        <v>555</v>
      </c>
      <c r="C732" t="str">
        <f>_xlfn.XLOOKUP(B732,raw_customers!A:A,raw_customers!B:B)</f>
        <v>Könül Abbasov</v>
      </c>
      <c r="D732" t="str">
        <f>_xlfn.XLOOKUP(C732,raw_customers!B:B,raw_customers!C:C)</f>
        <v>F</v>
      </c>
      <c r="E732" t="str">
        <f>_xlfn.XLOOKUP(C732,raw_customers!B:B,raw_customers!G:G)</f>
        <v>SME</v>
      </c>
      <c r="F732" t="str">
        <f>_xlfn.XLOOKUP(_xlfn.XLOOKUP(B732,raw_customers!A:A,raw_customers!F:F),raw_branches!A:A,raw_branches!B:B)</f>
        <v>Lankaran Branch</v>
      </c>
      <c r="G732" s="7">
        <v>107237.42</v>
      </c>
      <c r="H732" s="6">
        <v>11.96</v>
      </c>
      <c r="I732" t="s">
        <v>2393</v>
      </c>
      <c r="J732" t="str">
        <f t="shared" si="11"/>
        <v>Default (Batıq)</v>
      </c>
    </row>
    <row r="733" spans="1:10">
      <c r="A733">
        <v>982</v>
      </c>
      <c r="B733">
        <v>440</v>
      </c>
      <c r="C733" t="str">
        <f>_xlfn.XLOOKUP(B733,raw_customers!A:A,raw_customers!B:B)</f>
        <v>Samir Orucov</v>
      </c>
      <c r="D733" t="str">
        <f>_xlfn.XLOOKUP(C733,raw_customers!B:B,raw_customers!C:C)</f>
        <v>M</v>
      </c>
      <c r="E733" t="str">
        <f>_xlfn.XLOOKUP(C733,raw_customers!B:B,raw_customers!G:G)</f>
        <v>Retail</v>
      </c>
      <c r="F733" t="str">
        <f>_xlfn.XLOOKUP(_xlfn.XLOOKUP(B733,raw_customers!A:A,raw_customers!F:F),raw_branches!A:A,raw_branches!B:B)</f>
        <v>Sumgait Branch</v>
      </c>
      <c r="G733" s="7">
        <v>125917.39</v>
      </c>
      <c r="H733" s="6">
        <v>21.49</v>
      </c>
      <c r="I733" t="s">
        <v>2377</v>
      </c>
      <c r="J733" t="str">
        <f t="shared" si="11"/>
        <v>Yüksək Risk</v>
      </c>
    </row>
    <row r="734" spans="1:10">
      <c r="A734">
        <v>983</v>
      </c>
      <c r="B734">
        <v>591</v>
      </c>
      <c r="C734" t="str">
        <f>_xlfn.XLOOKUP(B734,raw_customers!A:A,raw_customers!B:B)</f>
        <v>Türkan Novruzov</v>
      </c>
      <c r="D734" t="str">
        <f>_xlfn.XLOOKUP(C734,raw_customers!B:B,raw_customers!C:C)</f>
        <v>F</v>
      </c>
      <c r="E734" t="str">
        <f>_xlfn.XLOOKUP(C734,raw_customers!B:B,raw_customers!G:G)</f>
        <v>Premium</v>
      </c>
      <c r="F734" t="str">
        <f>_xlfn.XLOOKUP(_xlfn.XLOOKUP(B734,raw_customers!A:A,raw_customers!F:F),raw_branches!A:A,raw_branches!B:B)</f>
        <v>Sumgait Branch</v>
      </c>
      <c r="G734" s="7">
        <v>21571.45</v>
      </c>
      <c r="H734" s="6">
        <v>9.11</v>
      </c>
      <c r="I734" t="s">
        <v>2383</v>
      </c>
      <c r="J734" t="str">
        <f t="shared" si="11"/>
        <v>Aşağı Risk</v>
      </c>
    </row>
    <row r="735" spans="1:10">
      <c r="A735">
        <v>984</v>
      </c>
      <c r="B735">
        <v>994</v>
      </c>
      <c r="C735" t="str">
        <f>_xlfn.XLOOKUP(B735,raw_customers!A:A,raw_customers!B:B)</f>
        <v>Vüqar Novruzov</v>
      </c>
      <c r="D735" t="str">
        <f>_xlfn.XLOOKUP(C735,raw_customers!B:B,raw_customers!C:C)</f>
        <v>M</v>
      </c>
      <c r="E735" t="str">
        <f>_xlfn.XLOOKUP(C735,raw_customers!B:B,raw_customers!G:G)</f>
        <v>Retail</v>
      </c>
      <c r="F735" t="str">
        <f>_xlfn.XLOOKUP(_xlfn.XLOOKUP(B735,raw_customers!A:A,raw_customers!F:F),raw_branches!A:A,raw_branches!B:B)</f>
        <v>Ganja Branch</v>
      </c>
      <c r="G735" s="7">
        <v>190191.4</v>
      </c>
      <c r="H735" s="6">
        <v>19.27</v>
      </c>
      <c r="I735" t="s">
        <v>2377</v>
      </c>
      <c r="J735" t="str">
        <f t="shared" si="11"/>
        <v>Yüksək Risk</v>
      </c>
    </row>
    <row r="736" spans="1:10">
      <c r="A736">
        <v>985</v>
      </c>
      <c r="B736">
        <v>610</v>
      </c>
      <c r="C736" t="str">
        <f>_xlfn.XLOOKUP(B736,raw_customers!A:A,raw_customers!B:B)</f>
        <v>Aysel Əzizov</v>
      </c>
      <c r="D736" t="str">
        <f>_xlfn.XLOOKUP(C736,raw_customers!B:B,raw_customers!C:C)</f>
        <v>F</v>
      </c>
      <c r="E736" t="str">
        <f>_xlfn.XLOOKUP(C736,raw_customers!B:B,raw_customers!G:G)</f>
        <v>SME</v>
      </c>
      <c r="F736" t="str">
        <f>_xlfn.XLOOKUP(_xlfn.XLOOKUP(B736,raw_customers!A:A,raw_customers!F:F),raw_branches!A:A,raw_branches!B:B)</f>
        <v>Ganja Branch</v>
      </c>
      <c r="G736" s="7">
        <v>196819.45</v>
      </c>
      <c r="H736" s="6">
        <v>11.02</v>
      </c>
      <c r="I736" t="s">
        <v>2377</v>
      </c>
      <c r="J736" t="str">
        <f t="shared" si="11"/>
        <v>Aşağı Risk</v>
      </c>
    </row>
    <row r="737" spans="1:10">
      <c r="A737">
        <v>986</v>
      </c>
      <c r="B737">
        <v>944</v>
      </c>
      <c r="C737" t="str">
        <f>_xlfn.XLOOKUP(B737,raw_customers!A:A,raw_customers!B:B)</f>
        <v>Nicat Bağırov</v>
      </c>
      <c r="D737" t="str">
        <f>_xlfn.XLOOKUP(C737,raw_customers!B:B,raw_customers!C:C)</f>
        <v>M</v>
      </c>
      <c r="E737" t="str">
        <f>_xlfn.XLOOKUP(C737,raw_customers!B:B,raw_customers!G:G)</f>
        <v>Premium</v>
      </c>
      <c r="F737" t="str">
        <f>_xlfn.XLOOKUP(_xlfn.XLOOKUP(B737,raw_customers!A:A,raw_customers!F:F),raw_branches!A:A,raw_branches!B:B)</f>
        <v>Baku Yasamal</v>
      </c>
      <c r="G737" s="7">
        <v>22645.6</v>
      </c>
      <c r="H737" s="6">
        <v>11.36</v>
      </c>
      <c r="I737" t="s">
        <v>2377</v>
      </c>
      <c r="J737" t="str">
        <f t="shared" si="11"/>
        <v>Aşağı Risk</v>
      </c>
    </row>
    <row r="738" spans="1:10">
      <c r="A738">
        <v>987</v>
      </c>
      <c r="B738">
        <v>961</v>
      </c>
      <c r="C738" t="str">
        <f>_xlfn.XLOOKUP(B738,raw_customers!A:A,raw_customers!B:B)</f>
        <v>Ramin Əliyev</v>
      </c>
      <c r="D738" t="str">
        <f>_xlfn.XLOOKUP(C738,raw_customers!B:B,raw_customers!C:C)</f>
        <v>M</v>
      </c>
      <c r="E738" t="str">
        <f>_xlfn.XLOOKUP(C738,raw_customers!B:B,raw_customers!G:G)</f>
        <v>SME</v>
      </c>
      <c r="F738" t="str">
        <f>_xlfn.XLOOKUP(_xlfn.XLOOKUP(B738,raw_customers!A:A,raw_customers!F:F),raw_branches!A:A,raw_branches!B:B)</f>
        <v>Sheki Branch</v>
      </c>
      <c r="G738" s="7">
        <v>14548.26</v>
      </c>
      <c r="H738" s="6">
        <v>8.91</v>
      </c>
      <c r="I738" t="s">
        <v>2377</v>
      </c>
      <c r="J738" t="str">
        <f t="shared" si="11"/>
        <v>Aşağı Risk</v>
      </c>
    </row>
    <row r="739" spans="1:10">
      <c r="A739">
        <v>988</v>
      </c>
      <c r="B739">
        <v>647</v>
      </c>
      <c r="C739" t="str">
        <f>_xlfn.XLOOKUP(B739,raw_customers!A:A,raw_customers!B:B)</f>
        <v>Vüqar Həsənov</v>
      </c>
      <c r="D739" t="str">
        <f>_xlfn.XLOOKUP(C739,raw_customers!B:B,raw_customers!C:C)</f>
        <v>M</v>
      </c>
      <c r="E739" t="str">
        <f>_xlfn.XLOOKUP(C739,raw_customers!B:B,raw_customers!G:G)</f>
        <v>Retail</v>
      </c>
      <c r="F739" t="str">
        <f>_xlfn.XLOOKUP(_xlfn.XLOOKUP(B739,raw_customers!A:A,raw_customers!F:F),raw_branches!A:A,raw_branches!B:B)</f>
        <v>Sheki Branch</v>
      </c>
      <c r="G739" s="7">
        <v>690.39</v>
      </c>
      <c r="H739" s="6">
        <v>18.57</v>
      </c>
      <c r="I739" t="s">
        <v>2377</v>
      </c>
      <c r="J739" t="str">
        <f t="shared" si="11"/>
        <v>Yüksək Risk</v>
      </c>
    </row>
    <row r="740" spans="1:10">
      <c r="A740">
        <v>989</v>
      </c>
      <c r="B740">
        <v>532</v>
      </c>
      <c r="C740" t="str">
        <f>_xlfn.XLOOKUP(B740,raw_customers!A:A,raw_customers!B:B)</f>
        <v>Fidan Bağırov</v>
      </c>
      <c r="D740" t="str">
        <f>_xlfn.XLOOKUP(C740,raw_customers!B:B,raw_customers!C:C)</f>
        <v>F</v>
      </c>
      <c r="E740" t="str">
        <f>_xlfn.XLOOKUP(C740,raw_customers!B:B,raw_customers!G:G)</f>
        <v>Retail</v>
      </c>
      <c r="F740" t="str">
        <f>_xlfn.XLOOKUP(_xlfn.XLOOKUP(B740,raw_customers!A:A,raw_customers!F:F),raw_branches!A:A,raw_branches!B:B)</f>
        <v>Mingachevir Branch</v>
      </c>
      <c r="G740" s="7">
        <v>52956.77</v>
      </c>
      <c r="H740" s="6">
        <v>9.4</v>
      </c>
      <c r="I740" t="s">
        <v>2377</v>
      </c>
      <c r="J740" t="str">
        <f t="shared" si="11"/>
        <v>Aşağı Risk</v>
      </c>
    </row>
    <row r="741" spans="1:10">
      <c r="A741">
        <v>990</v>
      </c>
      <c r="B741">
        <v>862</v>
      </c>
      <c r="C741" t="str">
        <f>_xlfn.XLOOKUP(B741,raw_customers!A:A,raw_customers!B:B)</f>
        <v>Orxan Məmmədov</v>
      </c>
      <c r="D741" t="str">
        <f>_xlfn.XLOOKUP(C741,raw_customers!B:B,raw_customers!C:C)</f>
        <v>M</v>
      </c>
      <c r="E741" t="str">
        <f>_xlfn.XLOOKUP(C741,raw_customers!B:B,raw_customers!G:G)</f>
        <v>Retail</v>
      </c>
      <c r="F741" t="str">
        <f>_xlfn.XLOOKUP(_xlfn.XLOOKUP(B741,raw_customers!A:A,raw_customers!F:F),raw_branches!A:A,raw_branches!B:B)</f>
        <v>Baku Central</v>
      </c>
      <c r="G741" s="7">
        <v>129223.76</v>
      </c>
      <c r="H741" s="6">
        <v>5.95</v>
      </c>
      <c r="I741" t="s">
        <v>2377</v>
      </c>
      <c r="J741" t="str">
        <f t="shared" si="11"/>
        <v>Aşağı Risk</v>
      </c>
    </row>
    <row r="742" spans="1:10">
      <c r="A742">
        <v>991</v>
      </c>
      <c r="B742">
        <v>605</v>
      </c>
      <c r="C742" t="str">
        <f>_xlfn.XLOOKUP(B742,raw_customers!A:A,raw_customers!B:B)</f>
        <v>Leyla Bağırov</v>
      </c>
      <c r="D742" t="str">
        <f>_xlfn.XLOOKUP(C742,raw_customers!B:B,raw_customers!C:C)</f>
        <v>F</v>
      </c>
      <c r="E742" t="str">
        <f>_xlfn.XLOOKUP(C742,raw_customers!B:B,raw_customers!G:G)</f>
        <v>Premium</v>
      </c>
      <c r="F742" t="str">
        <f>_xlfn.XLOOKUP(_xlfn.XLOOKUP(B742,raw_customers!A:A,raw_customers!F:F),raw_branches!A:A,raw_branches!B:B)</f>
        <v>Mingachevir Branch</v>
      </c>
      <c r="G742" s="7">
        <v>6261.26</v>
      </c>
      <c r="H742" s="6">
        <v>8.97</v>
      </c>
      <c r="I742" t="s">
        <v>2383</v>
      </c>
      <c r="J742" t="str">
        <f t="shared" si="11"/>
        <v>Aşağı Risk</v>
      </c>
    </row>
    <row r="743" spans="1:10">
      <c r="A743">
        <v>992</v>
      </c>
      <c r="B743">
        <v>257</v>
      </c>
      <c r="C743" t="str">
        <f>_xlfn.XLOOKUP(B743,raw_customers!A:A,raw_customers!B:B)</f>
        <v>Ülviyyə Cəfərov</v>
      </c>
      <c r="D743" t="str">
        <f>_xlfn.XLOOKUP(C743,raw_customers!B:B,raw_customers!C:C)</f>
        <v>F</v>
      </c>
      <c r="E743" t="str">
        <f>_xlfn.XLOOKUP(C743,raw_customers!B:B,raw_customers!G:G)</f>
        <v>Premium</v>
      </c>
      <c r="F743" t="str">
        <f>_xlfn.XLOOKUP(_xlfn.XLOOKUP(B743,raw_customers!A:A,raw_customers!F:F),raw_branches!A:A,raw_branches!B:B)</f>
        <v>Lankaran Branch</v>
      </c>
      <c r="G743" s="7">
        <v>199825.58</v>
      </c>
      <c r="H743" s="6">
        <v>7.58</v>
      </c>
      <c r="I743" t="s">
        <v>2377</v>
      </c>
      <c r="J743" t="str">
        <f t="shared" si="11"/>
        <v>Aşağı Risk</v>
      </c>
    </row>
    <row r="744" spans="1:10">
      <c r="A744">
        <v>993</v>
      </c>
      <c r="B744">
        <v>476</v>
      </c>
      <c r="C744" t="str">
        <f>_xlfn.XLOOKUP(B744,raw_customers!A:A,raw_customers!B:B)</f>
        <v>Səbinə Abbasov</v>
      </c>
      <c r="D744" t="str">
        <f>_xlfn.XLOOKUP(C744,raw_customers!B:B,raw_customers!C:C)</f>
        <v>F</v>
      </c>
      <c r="E744" t="str">
        <f>_xlfn.XLOOKUP(C744,raw_customers!B:B,raw_customers!G:G)</f>
        <v>Retail</v>
      </c>
      <c r="F744" t="str">
        <f>_xlfn.XLOOKUP(_xlfn.XLOOKUP(B744,raw_customers!A:A,raw_customers!F:F),raw_branches!A:A,raw_branches!B:B)</f>
        <v>Baku Yasamal</v>
      </c>
      <c r="G744" s="7">
        <v>23276.38</v>
      </c>
      <c r="H744" s="6">
        <v>15.76</v>
      </c>
      <c r="I744" t="s">
        <v>2383</v>
      </c>
      <c r="J744" t="str">
        <f t="shared" si="11"/>
        <v>Orta Risk</v>
      </c>
    </row>
    <row r="745" spans="1:10">
      <c r="A745">
        <v>994</v>
      </c>
      <c r="B745">
        <v>83</v>
      </c>
      <c r="C745" t="str">
        <f>_xlfn.XLOOKUP(B745,raw_customers!A:A,raw_customers!B:B)</f>
        <v>Aynur Hüseynov</v>
      </c>
      <c r="D745" t="str">
        <f>_xlfn.XLOOKUP(C745,raw_customers!B:B,raw_customers!C:C)</f>
        <v>F</v>
      </c>
      <c r="E745" t="str">
        <f>_xlfn.XLOOKUP(C745,raw_customers!B:B,raw_customers!G:G)</f>
        <v>SME</v>
      </c>
      <c r="F745" t="str">
        <f>_xlfn.XLOOKUP(_xlfn.XLOOKUP(B745,raw_customers!A:A,raw_customers!F:F),raw_branches!A:A,raw_branches!B:B)</f>
        <v>Ganja Branch</v>
      </c>
      <c r="G745" s="7">
        <v>61959.36</v>
      </c>
      <c r="H745" s="6">
        <v>12.64</v>
      </c>
      <c r="I745" t="s">
        <v>2377</v>
      </c>
      <c r="J745" t="str">
        <f t="shared" si="11"/>
        <v>Orta Risk</v>
      </c>
    </row>
    <row r="746" spans="1:10">
      <c r="A746">
        <v>995</v>
      </c>
      <c r="B746">
        <v>483</v>
      </c>
      <c r="C746" t="str">
        <f>_xlfn.XLOOKUP(B746,raw_customers!A:A,raw_customers!B:B)</f>
        <v>Nicat Sadıqov</v>
      </c>
      <c r="D746" t="str">
        <f>_xlfn.XLOOKUP(C746,raw_customers!B:B,raw_customers!C:C)</f>
        <v>M</v>
      </c>
      <c r="E746" t="str">
        <f>_xlfn.XLOOKUP(C746,raw_customers!B:B,raw_customers!G:G)</f>
        <v>Retail</v>
      </c>
      <c r="F746" t="str">
        <f>_xlfn.XLOOKUP(_xlfn.XLOOKUP(B746,raw_customers!A:A,raw_customers!F:F),raw_branches!A:A,raw_branches!B:B)</f>
        <v>Lankaran Branch</v>
      </c>
      <c r="G746" s="7">
        <v>36312.35</v>
      </c>
      <c r="H746" s="6">
        <v>14.28</v>
      </c>
      <c r="I746" t="s">
        <v>2377</v>
      </c>
      <c r="J746" t="str">
        <f t="shared" si="11"/>
        <v>Orta Risk</v>
      </c>
    </row>
    <row r="747" spans="1:10">
      <c r="A747">
        <v>996</v>
      </c>
      <c r="B747">
        <v>25</v>
      </c>
      <c r="C747" t="str">
        <f>_xlfn.XLOOKUP(B747,raw_customers!A:A,raw_customers!B:B)</f>
        <v>Türkan Hüseynov</v>
      </c>
      <c r="D747" t="str">
        <f>_xlfn.XLOOKUP(C747,raw_customers!B:B,raw_customers!C:C)</f>
        <v>F</v>
      </c>
      <c r="E747" t="str">
        <f>_xlfn.XLOOKUP(C747,raw_customers!B:B,raw_customers!G:G)</f>
        <v>Retail</v>
      </c>
      <c r="F747" t="str">
        <f>_xlfn.XLOOKUP(_xlfn.XLOOKUP(B747,raw_customers!A:A,raw_customers!F:F),raw_branches!A:A,raw_branches!B:B)</f>
        <v>Baku Yasamal</v>
      </c>
      <c r="G747" s="7">
        <v>2460.3</v>
      </c>
      <c r="H747" s="6">
        <v>20.78</v>
      </c>
      <c r="I747" t="s">
        <v>2377</v>
      </c>
      <c r="J747" t="str">
        <f t="shared" si="11"/>
        <v>Yüksək Risk</v>
      </c>
    </row>
    <row r="748" spans="1:10">
      <c r="A748">
        <v>997</v>
      </c>
      <c r="B748">
        <v>714</v>
      </c>
      <c r="C748" t="str">
        <f>_xlfn.XLOOKUP(B748,raw_customers!A:A,raw_customers!B:B)</f>
        <v>Xəyalə Rzayev</v>
      </c>
      <c r="D748" t="str">
        <f>_xlfn.XLOOKUP(C748,raw_customers!B:B,raw_customers!C:C)</f>
        <v>F</v>
      </c>
      <c r="E748" t="str">
        <f>_xlfn.XLOOKUP(C748,raw_customers!B:B,raw_customers!G:G)</f>
        <v>Retail</v>
      </c>
      <c r="F748" t="str">
        <f>_xlfn.XLOOKUP(_xlfn.XLOOKUP(B748,raw_customers!A:A,raw_customers!F:F),raw_branches!A:A,raw_branches!B:B)</f>
        <v>Baku Central</v>
      </c>
      <c r="G748" s="7">
        <v>17210.59</v>
      </c>
      <c r="H748" s="6">
        <v>6.95</v>
      </c>
      <c r="I748" t="s">
        <v>2377</v>
      </c>
      <c r="J748" t="str">
        <f t="shared" si="11"/>
        <v>Aşağı Risk</v>
      </c>
    </row>
    <row r="749" spans="1:10">
      <c r="A749">
        <v>998</v>
      </c>
      <c r="B749">
        <v>777</v>
      </c>
      <c r="C749" t="str">
        <f>_xlfn.XLOOKUP(B749,raw_customers!A:A,raw_customers!B:B)</f>
        <v>Ramin Rəhimov</v>
      </c>
      <c r="D749" t="str">
        <f>_xlfn.XLOOKUP(C749,raw_customers!B:B,raw_customers!C:C)</f>
        <v>M</v>
      </c>
      <c r="E749" t="str">
        <f>_xlfn.XLOOKUP(C749,raw_customers!B:B,raw_customers!G:G)</f>
        <v>Retail</v>
      </c>
      <c r="F749" t="str">
        <f>_xlfn.XLOOKUP(_xlfn.XLOOKUP(B749,raw_customers!A:A,raw_customers!F:F),raw_branches!A:A,raw_branches!B:B)</f>
        <v>Ganja Branch</v>
      </c>
      <c r="G749" s="7">
        <v>7247.45</v>
      </c>
      <c r="H749" s="6">
        <v>11.04</v>
      </c>
      <c r="I749" t="s">
        <v>2377</v>
      </c>
      <c r="J749" t="str">
        <f t="shared" si="11"/>
        <v>Aşağı Risk</v>
      </c>
    </row>
    <row r="750" spans="1:10">
      <c r="A750">
        <v>999</v>
      </c>
      <c r="B750">
        <v>507</v>
      </c>
      <c r="C750" t="str">
        <f>_xlfn.XLOOKUP(B750,raw_customers!A:A,raw_customers!B:B)</f>
        <v>Ceyhun Quliyev</v>
      </c>
      <c r="D750" t="str">
        <f>_xlfn.XLOOKUP(C750,raw_customers!B:B,raw_customers!C:C)</f>
        <v>M</v>
      </c>
      <c r="E750" t="str">
        <f>_xlfn.XLOOKUP(C750,raw_customers!B:B,raw_customers!G:G)</f>
        <v>Retail</v>
      </c>
      <c r="F750" t="str">
        <f>_xlfn.XLOOKUP(_xlfn.XLOOKUP(B750,raw_customers!A:A,raw_customers!F:F),raw_branches!A:A,raw_branches!B:B)</f>
        <v>Mingachevir Branch</v>
      </c>
      <c r="G750" s="7">
        <v>6440.61</v>
      </c>
      <c r="H750" s="6">
        <v>8.12</v>
      </c>
      <c r="I750" t="s">
        <v>2377</v>
      </c>
      <c r="J750" t="str">
        <f t="shared" si="11"/>
        <v>Aşağı Risk</v>
      </c>
    </row>
    <row r="751" spans="1:10">
      <c r="A751">
        <v>1000</v>
      </c>
      <c r="B751">
        <v>82</v>
      </c>
      <c r="C751" t="str">
        <f>_xlfn.XLOOKUP(B751,raw_customers!A:A,raw_customers!B:B)</f>
        <v>Könül Kərimov</v>
      </c>
      <c r="D751" t="str">
        <f>_xlfn.XLOOKUP(C751,raw_customers!B:B,raw_customers!C:C)</f>
        <v>F</v>
      </c>
      <c r="E751" t="str">
        <f>_xlfn.XLOOKUP(C751,raw_customers!B:B,raw_customers!G:G)</f>
        <v>Retail</v>
      </c>
      <c r="F751" t="str">
        <f>_xlfn.XLOOKUP(_xlfn.XLOOKUP(B751,raw_customers!A:A,raw_customers!F:F),raw_branches!A:A,raw_branches!B:B)</f>
        <v>Baku Yasamal</v>
      </c>
      <c r="G751" s="7">
        <v>7820.62</v>
      </c>
      <c r="H751" s="6">
        <v>17.19</v>
      </c>
      <c r="I751" t="s">
        <v>2377</v>
      </c>
      <c r="J751" t="str">
        <f t="shared" si="11"/>
        <v>Orta Risk</v>
      </c>
    </row>
    <row r="752" spans="1:10">
      <c r="A752">
        <v>1001</v>
      </c>
      <c r="B752">
        <v>62</v>
      </c>
      <c r="C752" t="str">
        <f>_xlfn.XLOOKUP(B752,raw_customers!A:A,raw_customers!B:B)</f>
        <v>Samir Musayev</v>
      </c>
      <c r="D752" t="str">
        <f>_xlfn.XLOOKUP(C752,raw_customers!B:B,raw_customers!C:C)</f>
        <v>M</v>
      </c>
      <c r="E752" t="str">
        <f>_xlfn.XLOOKUP(C752,raw_customers!B:B,raw_customers!G:G)</f>
        <v>Premium</v>
      </c>
      <c r="F752" t="str">
        <f>_xlfn.XLOOKUP(_xlfn.XLOOKUP(B752,raw_customers!A:A,raw_customers!F:F),raw_branches!A:A,raw_branches!B:B)</f>
        <v>Baku Yasamal</v>
      </c>
      <c r="G752" s="7">
        <v>12768.02</v>
      </c>
      <c r="H752" s="6">
        <v>21.47</v>
      </c>
      <c r="I752" t="s">
        <v>2377</v>
      </c>
      <c r="J752" t="str">
        <f t="shared" si="11"/>
        <v>Yüksək Risk</v>
      </c>
    </row>
    <row r="753" spans="1:10">
      <c r="A753">
        <v>1002</v>
      </c>
      <c r="B753">
        <v>178</v>
      </c>
      <c r="C753" t="str">
        <f>_xlfn.XLOOKUP(B753,raw_customers!A:A,raw_customers!B:B)</f>
        <v>Orxan Novruzov</v>
      </c>
      <c r="D753" t="str">
        <f>_xlfn.XLOOKUP(C753,raw_customers!B:B,raw_customers!C:C)</f>
        <v>M</v>
      </c>
      <c r="E753" t="str">
        <f>_xlfn.XLOOKUP(C753,raw_customers!B:B,raw_customers!G:G)</f>
        <v>SME</v>
      </c>
      <c r="F753" t="str">
        <f>_xlfn.XLOOKUP(_xlfn.XLOOKUP(B753,raw_customers!A:A,raw_customers!F:F),raw_branches!A:A,raw_branches!B:B)</f>
        <v>Baku Yasamal</v>
      </c>
      <c r="G753" s="7">
        <v>10553.12</v>
      </c>
      <c r="H753" s="6">
        <v>13.87</v>
      </c>
      <c r="I753" t="s">
        <v>2377</v>
      </c>
      <c r="J753" t="str">
        <f t="shared" si="11"/>
        <v>Orta Risk</v>
      </c>
    </row>
    <row r="754" spans="1:10">
      <c r="A754">
        <v>1128</v>
      </c>
      <c r="B754">
        <v>146</v>
      </c>
      <c r="C754" t="str">
        <f>_xlfn.XLOOKUP(B754,raw_customers!A:A,raw_customers!B:B)</f>
        <v>Türkan Əzizov</v>
      </c>
      <c r="D754" t="str">
        <f>_xlfn.XLOOKUP(C754,raw_customers!B:B,raw_customers!C:C)</f>
        <v>F</v>
      </c>
      <c r="E754" t="str">
        <f>_xlfn.XLOOKUP(C754,raw_customers!B:B,raw_customers!G:G)</f>
        <v>Retail</v>
      </c>
      <c r="F754" t="str">
        <f>_xlfn.XLOOKUP(_xlfn.XLOOKUP(B754,raw_customers!A:A,raw_customers!F:F),raw_branches!A:A,raw_branches!B:B)</f>
        <v>Baku Central</v>
      </c>
      <c r="G754" s="7">
        <v>114063.73</v>
      </c>
      <c r="H754" s="6">
        <v>12.76</v>
      </c>
      <c r="I754" t="s">
        <v>2377</v>
      </c>
      <c r="J754" t="str">
        <f t="shared" si="11"/>
        <v>Orta Risk</v>
      </c>
    </row>
    <row r="755" spans="1:10">
      <c r="A755">
        <v>1129</v>
      </c>
      <c r="B755">
        <v>448</v>
      </c>
      <c r="C755" t="str">
        <f>_xlfn.XLOOKUP(B755,raw_customers!A:A,raw_customers!B:B)</f>
        <v>Sevinc Əzizov</v>
      </c>
      <c r="D755" t="str">
        <f>_xlfn.XLOOKUP(C755,raw_customers!B:B,raw_customers!C:C)</f>
        <v>F</v>
      </c>
      <c r="E755" t="str">
        <f>_xlfn.XLOOKUP(C755,raw_customers!B:B,raw_customers!G:G)</f>
        <v>Retail</v>
      </c>
      <c r="F755" t="str">
        <f>_xlfn.XLOOKUP(_xlfn.XLOOKUP(B755,raw_customers!A:A,raw_customers!F:F),raw_branches!A:A,raw_branches!B:B)</f>
        <v>Mingachevir Branch</v>
      </c>
      <c r="G755" s="7">
        <v>127917.34</v>
      </c>
      <c r="H755" s="6">
        <v>18.09</v>
      </c>
      <c r="I755" t="s">
        <v>2393</v>
      </c>
      <c r="J755" t="str">
        <f t="shared" si="11"/>
        <v>Default (Batıq)</v>
      </c>
    </row>
    <row r="756" spans="1:10">
      <c r="A756">
        <v>1130</v>
      </c>
      <c r="B756">
        <v>780</v>
      </c>
      <c r="C756" t="str">
        <f>_xlfn.XLOOKUP(B756,raw_customers!A:A,raw_customers!B:B)</f>
        <v>Fərid Musayev</v>
      </c>
      <c r="D756" t="str">
        <f>_xlfn.XLOOKUP(C756,raw_customers!B:B,raw_customers!C:C)</f>
        <v>M</v>
      </c>
      <c r="E756" t="str">
        <f>_xlfn.XLOOKUP(C756,raw_customers!B:B,raw_customers!G:G)</f>
        <v>Retail</v>
      </c>
      <c r="F756" t="str">
        <f>_xlfn.XLOOKUP(_xlfn.XLOOKUP(B756,raw_customers!A:A,raw_customers!F:F),raw_branches!A:A,raw_branches!B:B)</f>
        <v>Sheki Branch</v>
      </c>
      <c r="G756" s="7">
        <v>3347.15</v>
      </c>
      <c r="H756" s="6">
        <v>12.64</v>
      </c>
      <c r="I756" t="s">
        <v>2383</v>
      </c>
      <c r="J756" t="str">
        <f t="shared" si="11"/>
        <v>Orta Risk</v>
      </c>
    </row>
    <row r="757" spans="1:10">
      <c r="A757">
        <v>1131</v>
      </c>
      <c r="B757">
        <v>122</v>
      </c>
      <c r="C757" t="str">
        <f>_xlfn.XLOOKUP(B757,raw_customers!A:A,raw_customers!B:B)</f>
        <v>Ülviyyə Abbasov</v>
      </c>
      <c r="D757" t="str">
        <f>_xlfn.XLOOKUP(C757,raw_customers!B:B,raw_customers!C:C)</f>
        <v>F</v>
      </c>
      <c r="E757" t="str">
        <f>_xlfn.XLOOKUP(C757,raw_customers!B:B,raw_customers!G:G)</f>
        <v>SME</v>
      </c>
      <c r="F757" t="str">
        <f>_xlfn.XLOOKUP(_xlfn.XLOOKUP(B757,raw_customers!A:A,raw_customers!F:F),raw_branches!A:A,raw_branches!B:B)</f>
        <v>Ganja Branch</v>
      </c>
      <c r="G757" s="7">
        <v>8462.23</v>
      </c>
      <c r="H757" s="6">
        <v>19.32</v>
      </c>
      <c r="I757" t="s">
        <v>2377</v>
      </c>
      <c r="J757" t="str">
        <f t="shared" si="11"/>
        <v>Yüksək Risk</v>
      </c>
    </row>
    <row r="758" spans="1:10">
      <c r="A758">
        <v>1132</v>
      </c>
      <c r="B758">
        <v>505</v>
      </c>
      <c r="C758" t="str">
        <f>_xlfn.XLOOKUP(B758,raw_customers!A:A,raw_customers!B:B)</f>
        <v>Zaur Əzizov</v>
      </c>
      <c r="D758" t="str">
        <f>_xlfn.XLOOKUP(C758,raw_customers!B:B,raw_customers!C:C)</f>
        <v>M</v>
      </c>
      <c r="E758" t="str">
        <f>_xlfn.XLOOKUP(C758,raw_customers!B:B,raw_customers!G:G)</f>
        <v>Retail</v>
      </c>
      <c r="F758" t="str">
        <f>_xlfn.XLOOKUP(_xlfn.XLOOKUP(B758,raw_customers!A:A,raw_customers!F:F),raw_branches!A:A,raw_branches!B:B)</f>
        <v>Baku Yasamal</v>
      </c>
      <c r="G758" s="7">
        <v>114238.5</v>
      </c>
      <c r="H758" s="6">
        <v>16.55</v>
      </c>
      <c r="I758" t="s">
        <v>2377</v>
      </c>
      <c r="J758" t="str">
        <f t="shared" si="11"/>
        <v>Orta Risk</v>
      </c>
    </row>
    <row r="759" spans="1:10">
      <c r="A759">
        <v>1133</v>
      </c>
      <c r="B759">
        <v>554</v>
      </c>
      <c r="C759" t="str">
        <f>_xlfn.XLOOKUP(B759,raw_customers!A:A,raw_customers!B:B)</f>
        <v>Səbinə Bağırov</v>
      </c>
      <c r="D759" t="str">
        <f>_xlfn.XLOOKUP(C759,raw_customers!B:B,raw_customers!C:C)</f>
        <v>F</v>
      </c>
      <c r="E759" t="str">
        <f>_xlfn.XLOOKUP(C759,raw_customers!B:B,raw_customers!G:G)</f>
        <v>SME</v>
      </c>
      <c r="F759" t="str">
        <f>_xlfn.XLOOKUP(_xlfn.XLOOKUP(B759,raw_customers!A:A,raw_customers!F:F),raw_branches!A:A,raw_branches!B:B)</f>
        <v>Sheki Branch</v>
      </c>
      <c r="G759" s="7">
        <v>13612.5</v>
      </c>
      <c r="H759" s="6">
        <v>6.28</v>
      </c>
      <c r="I759" t="s">
        <v>2377</v>
      </c>
      <c r="J759" t="str">
        <f t="shared" si="11"/>
        <v>Aşağı Risk</v>
      </c>
    </row>
    <row r="760" spans="1:10">
      <c r="A760">
        <v>1134</v>
      </c>
      <c r="B760">
        <v>695</v>
      </c>
      <c r="C760" t="str">
        <f>_xlfn.XLOOKUP(B760,raw_customers!A:A,raw_customers!B:B)</f>
        <v>Toğrul Əzizov</v>
      </c>
      <c r="D760" t="str">
        <f>_xlfn.XLOOKUP(C760,raw_customers!B:B,raw_customers!C:C)</f>
        <v>M</v>
      </c>
      <c r="E760" t="str">
        <f>_xlfn.XLOOKUP(C760,raw_customers!B:B,raw_customers!G:G)</f>
        <v>Premium</v>
      </c>
      <c r="F760" t="str">
        <f>_xlfn.XLOOKUP(_xlfn.XLOOKUP(B760,raw_customers!A:A,raw_customers!F:F),raw_branches!A:A,raw_branches!B:B)</f>
        <v>Lankaran Branch</v>
      </c>
      <c r="G760" s="7">
        <v>29956.22</v>
      </c>
      <c r="H760" s="6">
        <v>12.15</v>
      </c>
      <c r="I760" t="s">
        <v>2383</v>
      </c>
      <c r="J760" t="str">
        <f t="shared" si="11"/>
        <v>Orta Risk</v>
      </c>
    </row>
    <row r="761" spans="1:10">
      <c r="A761">
        <v>1135</v>
      </c>
      <c r="B761">
        <v>695</v>
      </c>
      <c r="C761" t="str">
        <f>_xlfn.XLOOKUP(B761,raw_customers!A:A,raw_customers!B:B)</f>
        <v>Toğrul Əzizov</v>
      </c>
      <c r="D761" t="str">
        <f>_xlfn.XLOOKUP(C761,raw_customers!B:B,raw_customers!C:C)</f>
        <v>M</v>
      </c>
      <c r="E761" t="str">
        <f>_xlfn.XLOOKUP(C761,raw_customers!B:B,raw_customers!G:G)</f>
        <v>Premium</v>
      </c>
      <c r="F761" t="str">
        <f>_xlfn.XLOOKUP(_xlfn.XLOOKUP(B761,raw_customers!A:A,raw_customers!F:F),raw_branches!A:A,raw_branches!B:B)</f>
        <v>Lankaran Branch</v>
      </c>
      <c r="G761" s="7">
        <v>9029.55</v>
      </c>
      <c r="H761" s="6">
        <v>18.95</v>
      </c>
      <c r="I761" t="s">
        <v>2377</v>
      </c>
      <c r="J761" t="str">
        <f t="shared" si="11"/>
        <v>Yüksək Risk</v>
      </c>
    </row>
    <row r="762" spans="1:10">
      <c r="A762">
        <v>1136</v>
      </c>
      <c r="B762">
        <v>409</v>
      </c>
      <c r="C762" t="str">
        <f>_xlfn.XLOOKUP(B762,raw_customers!A:A,raw_customers!B:B)</f>
        <v>Orxan Əzizov</v>
      </c>
      <c r="D762" t="str">
        <f>_xlfn.XLOOKUP(C762,raw_customers!B:B,raw_customers!C:C)</f>
        <v>M</v>
      </c>
      <c r="E762" t="str">
        <f>_xlfn.XLOOKUP(C762,raw_customers!B:B,raw_customers!G:G)</f>
        <v>Retail</v>
      </c>
      <c r="F762" t="str">
        <f>_xlfn.XLOOKUP(_xlfn.XLOOKUP(B762,raw_customers!A:A,raw_customers!F:F),raw_branches!A:A,raw_branches!B:B)</f>
        <v>Baku Central</v>
      </c>
      <c r="G762" s="7">
        <v>7789.47</v>
      </c>
      <c r="H762" s="6">
        <v>16.41</v>
      </c>
      <c r="I762" t="s">
        <v>2377</v>
      </c>
      <c r="J762" t="str">
        <f t="shared" si="11"/>
        <v>Orta Risk</v>
      </c>
    </row>
    <row r="763" spans="1:10">
      <c r="A763">
        <v>1137</v>
      </c>
      <c r="B763">
        <v>244</v>
      </c>
      <c r="C763" t="str">
        <f>_xlfn.XLOOKUP(B763,raw_customers!A:A,raw_customers!B:B)</f>
        <v>Murad İsmayılov</v>
      </c>
      <c r="D763" t="str">
        <f>_xlfn.XLOOKUP(C763,raw_customers!B:B,raw_customers!C:C)</f>
        <v>M</v>
      </c>
      <c r="E763" t="str">
        <f>_xlfn.XLOOKUP(C763,raw_customers!B:B,raw_customers!G:G)</f>
        <v>Premium</v>
      </c>
      <c r="F763" t="str">
        <f>_xlfn.XLOOKUP(_xlfn.XLOOKUP(B763,raw_customers!A:A,raw_customers!F:F),raw_branches!A:A,raw_branches!B:B)</f>
        <v>Baku Central</v>
      </c>
      <c r="G763" s="7">
        <v>35815.5</v>
      </c>
      <c r="H763" s="6">
        <v>21.19</v>
      </c>
      <c r="I763" t="s">
        <v>2377</v>
      </c>
      <c r="J763" t="str">
        <f t="shared" si="11"/>
        <v>Yüksək Risk</v>
      </c>
    </row>
    <row r="764" spans="1:10">
      <c r="A764">
        <v>1138</v>
      </c>
      <c r="B764">
        <v>817</v>
      </c>
      <c r="C764" t="str">
        <f>_xlfn.XLOOKUP(B764,raw_customers!A:A,raw_customers!B:B)</f>
        <v>Murad Sadıqov</v>
      </c>
      <c r="D764" t="str">
        <f>_xlfn.XLOOKUP(C764,raw_customers!B:B,raw_customers!C:C)</f>
        <v>M</v>
      </c>
      <c r="E764" t="str">
        <f>_xlfn.XLOOKUP(C764,raw_customers!B:B,raw_customers!G:G)</f>
        <v>Premium</v>
      </c>
      <c r="F764" t="str">
        <f>_xlfn.XLOOKUP(_xlfn.XLOOKUP(B764,raw_customers!A:A,raw_customers!F:F),raw_branches!A:A,raw_branches!B:B)</f>
        <v>Lankaran Branch</v>
      </c>
      <c r="G764" s="7">
        <v>2581.91</v>
      </c>
      <c r="H764" s="6">
        <v>9.48</v>
      </c>
      <c r="I764" t="s">
        <v>2393</v>
      </c>
      <c r="J764" t="str">
        <f t="shared" si="11"/>
        <v>Default (Batıq)</v>
      </c>
    </row>
    <row r="765" spans="1:10">
      <c r="A765">
        <v>1139</v>
      </c>
      <c r="B765">
        <v>198</v>
      </c>
      <c r="C765" t="str">
        <f>_xlfn.XLOOKUP(B765,raw_customers!A:A,raw_customers!B:B)</f>
        <v>Kənan Vəliyev</v>
      </c>
      <c r="D765" t="str">
        <f>_xlfn.XLOOKUP(C765,raw_customers!B:B,raw_customers!C:C)</f>
        <v>M</v>
      </c>
      <c r="E765" t="str">
        <f>_xlfn.XLOOKUP(C765,raw_customers!B:B,raw_customers!G:G)</f>
        <v>Premium</v>
      </c>
      <c r="F765" t="str">
        <f>_xlfn.XLOOKUP(_xlfn.XLOOKUP(B765,raw_customers!A:A,raw_customers!F:F),raw_branches!A:A,raw_branches!B:B)</f>
        <v>Mingachevir Branch</v>
      </c>
      <c r="G765" s="7">
        <v>14096.14</v>
      </c>
      <c r="H765" s="6">
        <v>7.32</v>
      </c>
      <c r="I765" t="s">
        <v>2393</v>
      </c>
      <c r="J765" t="str">
        <f t="shared" si="11"/>
        <v>Default (Batıq)</v>
      </c>
    </row>
    <row r="766" spans="1:10">
      <c r="A766">
        <v>1140</v>
      </c>
      <c r="B766">
        <v>63</v>
      </c>
      <c r="C766" t="str">
        <f>_xlfn.XLOOKUP(B766,raw_customers!A:A,raw_customers!B:B)</f>
        <v>Ceyhun Rəhimov</v>
      </c>
      <c r="D766" t="str">
        <f>_xlfn.XLOOKUP(C766,raw_customers!B:B,raw_customers!C:C)</f>
        <v>M</v>
      </c>
      <c r="E766" t="str">
        <f>_xlfn.XLOOKUP(C766,raw_customers!B:B,raw_customers!G:G)</f>
        <v>Retail</v>
      </c>
      <c r="F766" t="str">
        <f>_xlfn.XLOOKUP(_xlfn.XLOOKUP(B766,raw_customers!A:A,raw_customers!F:F),raw_branches!A:A,raw_branches!B:B)</f>
        <v>Sumgait Branch</v>
      </c>
      <c r="G766" s="7">
        <v>109535.96</v>
      </c>
      <c r="H766" s="6">
        <v>10.82</v>
      </c>
      <c r="I766" t="s">
        <v>2377</v>
      </c>
      <c r="J766" t="str">
        <f t="shared" si="11"/>
        <v>Aşağı Risk</v>
      </c>
    </row>
    <row r="767" spans="1:10">
      <c r="A767">
        <v>1141</v>
      </c>
      <c r="B767">
        <v>86</v>
      </c>
      <c r="C767" t="str">
        <f>_xlfn.XLOOKUP(B767,raw_customers!A:A,raw_customers!B:B)</f>
        <v>Rüfət Abbasov</v>
      </c>
      <c r="D767" t="str">
        <f>_xlfn.XLOOKUP(C767,raw_customers!B:B,raw_customers!C:C)</f>
        <v>M</v>
      </c>
      <c r="E767" t="str">
        <f>_xlfn.XLOOKUP(C767,raw_customers!B:B,raw_customers!G:G)</f>
        <v>SME</v>
      </c>
      <c r="F767" t="str">
        <f>_xlfn.XLOOKUP(_xlfn.XLOOKUP(B767,raw_customers!A:A,raw_customers!F:F),raw_branches!A:A,raw_branches!B:B)</f>
        <v>Baku Central</v>
      </c>
      <c r="G767" s="7">
        <v>23908.71</v>
      </c>
      <c r="H767" s="6">
        <v>8.62</v>
      </c>
      <c r="I767" t="s">
        <v>2377</v>
      </c>
      <c r="J767" t="str">
        <f t="shared" si="11"/>
        <v>Aşağı Risk</v>
      </c>
    </row>
    <row r="768" spans="1:10">
      <c r="A768">
        <v>1142</v>
      </c>
      <c r="B768">
        <v>641</v>
      </c>
      <c r="C768" t="str">
        <f>_xlfn.XLOOKUP(B768,raw_customers!A:A,raw_customers!B:B)</f>
        <v>Nərmin Bağırov</v>
      </c>
      <c r="D768" t="str">
        <f>_xlfn.XLOOKUP(C768,raw_customers!B:B,raw_customers!C:C)</f>
        <v>F</v>
      </c>
      <c r="E768" t="str">
        <f>_xlfn.XLOOKUP(C768,raw_customers!B:B,raw_customers!G:G)</f>
        <v>Premium</v>
      </c>
      <c r="F768" t="str">
        <f>_xlfn.XLOOKUP(_xlfn.XLOOKUP(B768,raw_customers!A:A,raw_customers!F:F),raw_branches!A:A,raw_branches!B:B)</f>
        <v>Baku Central</v>
      </c>
      <c r="G768" s="7">
        <v>144140.39</v>
      </c>
      <c r="H768" s="6">
        <v>13.61</v>
      </c>
      <c r="I768" t="s">
        <v>2377</v>
      </c>
      <c r="J768" t="str">
        <f t="shared" si="11"/>
        <v>Orta Risk</v>
      </c>
    </row>
    <row r="769" spans="1:10">
      <c r="A769">
        <v>1143</v>
      </c>
      <c r="B769">
        <v>146</v>
      </c>
      <c r="C769" t="str">
        <f>_xlfn.XLOOKUP(B769,raw_customers!A:A,raw_customers!B:B)</f>
        <v>Türkan Əzizov</v>
      </c>
      <c r="D769" t="str">
        <f>_xlfn.XLOOKUP(C769,raw_customers!B:B,raw_customers!C:C)</f>
        <v>F</v>
      </c>
      <c r="E769" t="str">
        <f>_xlfn.XLOOKUP(C769,raw_customers!B:B,raw_customers!G:G)</f>
        <v>Retail</v>
      </c>
      <c r="F769" t="str">
        <f>_xlfn.XLOOKUP(_xlfn.XLOOKUP(B769,raw_customers!A:A,raw_customers!F:F),raw_branches!A:A,raw_branches!B:B)</f>
        <v>Baku Central</v>
      </c>
      <c r="G769" s="7">
        <v>17379.81</v>
      </c>
      <c r="H769" s="6">
        <v>8.78</v>
      </c>
      <c r="I769" t="s">
        <v>2377</v>
      </c>
      <c r="J769" t="str">
        <f t="shared" si="11"/>
        <v>Aşağı Risk</v>
      </c>
    </row>
    <row r="770" spans="1:10">
      <c r="A770">
        <v>1144</v>
      </c>
      <c r="B770">
        <v>486</v>
      </c>
      <c r="C770" t="str">
        <f>_xlfn.XLOOKUP(B770,raw_customers!A:A,raw_customers!B:B)</f>
        <v>Leyla Əzizov</v>
      </c>
      <c r="D770" t="str">
        <f>_xlfn.XLOOKUP(C770,raw_customers!B:B,raw_customers!C:C)</f>
        <v>F</v>
      </c>
      <c r="E770" t="str">
        <f>_xlfn.XLOOKUP(C770,raw_customers!B:B,raw_customers!G:G)</f>
        <v>Retail</v>
      </c>
      <c r="F770" t="str">
        <f>_xlfn.XLOOKUP(_xlfn.XLOOKUP(B770,raw_customers!A:A,raw_customers!F:F),raw_branches!A:A,raw_branches!B:B)</f>
        <v>Ganja Branch</v>
      </c>
      <c r="G770" s="7">
        <v>39799.62</v>
      </c>
      <c r="H770" s="6">
        <v>14.11</v>
      </c>
      <c r="I770" t="s">
        <v>2377</v>
      </c>
      <c r="J770" t="str">
        <f t="shared" si="11"/>
        <v>Orta Risk</v>
      </c>
    </row>
    <row r="771" spans="1:10">
      <c r="A771">
        <v>1145</v>
      </c>
      <c r="B771">
        <v>218</v>
      </c>
      <c r="C771" t="str">
        <f>_xlfn.XLOOKUP(B771,raw_customers!A:A,raw_customers!B:B)</f>
        <v>Kamran Sadıqov</v>
      </c>
      <c r="D771" t="str">
        <f>_xlfn.XLOOKUP(C771,raw_customers!B:B,raw_customers!C:C)</f>
        <v>M</v>
      </c>
      <c r="E771" t="str">
        <f>_xlfn.XLOOKUP(C771,raw_customers!B:B,raw_customers!G:G)</f>
        <v>Retail</v>
      </c>
      <c r="F771" t="str">
        <f>_xlfn.XLOOKUP(_xlfn.XLOOKUP(B771,raw_customers!A:A,raw_customers!F:F),raw_branches!A:A,raw_branches!B:B)</f>
        <v>Mingachevir Branch</v>
      </c>
      <c r="G771" s="7">
        <v>119786.72</v>
      </c>
      <c r="H771" s="6">
        <v>11.8</v>
      </c>
      <c r="I771" t="s">
        <v>2377</v>
      </c>
      <c r="J771" t="str">
        <f t="shared" ref="J771:J834" si="12">IF(I771="Default","Default (Batıq)",IF(H771&gt;=18,"Yüksək Risk",IF(H771&gt;=12,"Orta Risk","Aşağı Risk")))</f>
        <v>Aşağı Risk</v>
      </c>
    </row>
    <row r="772" spans="1:10">
      <c r="A772">
        <v>1146</v>
      </c>
      <c r="B772">
        <v>429</v>
      </c>
      <c r="C772" t="str">
        <f>_xlfn.XLOOKUP(B772,raw_customers!A:A,raw_customers!B:B)</f>
        <v>Elşən Həsənov</v>
      </c>
      <c r="D772" t="str">
        <f>_xlfn.XLOOKUP(C772,raw_customers!B:B,raw_customers!C:C)</f>
        <v>M</v>
      </c>
      <c r="E772" t="str">
        <f>_xlfn.XLOOKUP(C772,raw_customers!B:B,raw_customers!G:G)</f>
        <v>Retail</v>
      </c>
      <c r="F772" t="str">
        <f>_xlfn.XLOOKUP(_xlfn.XLOOKUP(B772,raw_customers!A:A,raw_customers!F:F),raw_branches!A:A,raw_branches!B:B)</f>
        <v>Mingachevir Branch</v>
      </c>
      <c r="G772" s="7">
        <v>8868.43</v>
      </c>
      <c r="H772" s="6">
        <v>10.98</v>
      </c>
      <c r="I772" t="s">
        <v>2383</v>
      </c>
      <c r="J772" t="str">
        <f t="shared" si="12"/>
        <v>Aşağı Risk</v>
      </c>
    </row>
    <row r="773" spans="1:10">
      <c r="A773">
        <v>1147</v>
      </c>
      <c r="B773">
        <v>209</v>
      </c>
      <c r="C773" t="str">
        <f>_xlfn.XLOOKUP(B773,raw_customers!A:A,raw_customers!B:B)</f>
        <v>Səbinə Vəliyev</v>
      </c>
      <c r="D773" t="str">
        <f>_xlfn.XLOOKUP(C773,raw_customers!B:B,raw_customers!C:C)</f>
        <v>F</v>
      </c>
      <c r="E773" t="str">
        <f>_xlfn.XLOOKUP(C773,raw_customers!B:B,raw_customers!G:G)</f>
        <v>Retail</v>
      </c>
      <c r="F773" t="str">
        <f>_xlfn.XLOOKUP(_xlfn.XLOOKUP(B773,raw_customers!A:A,raw_customers!F:F),raw_branches!A:A,raw_branches!B:B)</f>
        <v>Baku Yasamal</v>
      </c>
      <c r="G773" s="7">
        <v>10660.36</v>
      </c>
      <c r="H773" s="6">
        <v>14.6</v>
      </c>
      <c r="I773" t="s">
        <v>2377</v>
      </c>
      <c r="J773" t="str">
        <f t="shared" si="12"/>
        <v>Orta Risk</v>
      </c>
    </row>
    <row r="774" spans="1:10">
      <c r="A774">
        <v>1148</v>
      </c>
      <c r="B774">
        <v>536</v>
      </c>
      <c r="C774" t="str">
        <f>_xlfn.XLOOKUP(B774,raw_customers!A:A,raw_customers!B:B)</f>
        <v>Fuad Abbasov</v>
      </c>
      <c r="D774" t="str">
        <f>_xlfn.XLOOKUP(C774,raw_customers!B:B,raw_customers!C:C)</f>
        <v>M</v>
      </c>
      <c r="E774" t="str">
        <f>_xlfn.XLOOKUP(C774,raw_customers!B:B,raw_customers!G:G)</f>
        <v>Retail</v>
      </c>
      <c r="F774" t="str">
        <f>_xlfn.XLOOKUP(_xlfn.XLOOKUP(B774,raw_customers!A:A,raw_customers!F:F),raw_branches!A:A,raw_branches!B:B)</f>
        <v>Baku Central</v>
      </c>
      <c r="G774" s="7">
        <v>9599.5</v>
      </c>
      <c r="H774" s="6">
        <v>21.23</v>
      </c>
      <c r="I774" t="s">
        <v>2377</v>
      </c>
      <c r="J774" t="str">
        <f t="shared" si="12"/>
        <v>Yüksək Risk</v>
      </c>
    </row>
    <row r="775" spans="1:10">
      <c r="A775">
        <v>1149</v>
      </c>
      <c r="B775">
        <v>509</v>
      </c>
      <c r="C775" t="str">
        <f>_xlfn.XLOOKUP(B775,raw_customers!A:A,raw_customers!B:B)</f>
        <v>Nərgiz Rəhimov</v>
      </c>
      <c r="D775" t="str">
        <f>_xlfn.XLOOKUP(C775,raw_customers!B:B,raw_customers!C:C)</f>
        <v>F</v>
      </c>
      <c r="E775" t="str">
        <f>_xlfn.XLOOKUP(C775,raw_customers!B:B,raw_customers!G:G)</f>
        <v>Retail</v>
      </c>
      <c r="F775" t="str">
        <f>_xlfn.XLOOKUP(_xlfn.XLOOKUP(B775,raw_customers!A:A,raw_customers!F:F),raw_branches!A:A,raw_branches!B:B)</f>
        <v>Mingachevir Branch</v>
      </c>
      <c r="G775" s="7">
        <v>92825.93</v>
      </c>
      <c r="H775" s="6">
        <v>12.81</v>
      </c>
      <c r="I775" t="s">
        <v>2377</v>
      </c>
      <c r="J775" t="str">
        <f t="shared" si="12"/>
        <v>Orta Risk</v>
      </c>
    </row>
    <row r="776" spans="1:10">
      <c r="A776">
        <v>1150</v>
      </c>
      <c r="B776">
        <v>311</v>
      </c>
      <c r="C776" t="str">
        <f>_xlfn.XLOOKUP(B776,raw_customers!A:A,raw_customers!B:B)</f>
        <v>Tural Əliyev</v>
      </c>
      <c r="D776" t="str">
        <f>_xlfn.XLOOKUP(C776,raw_customers!B:B,raw_customers!C:C)</f>
        <v>M</v>
      </c>
      <c r="E776" t="str">
        <f>_xlfn.XLOOKUP(C776,raw_customers!B:B,raw_customers!G:G)</f>
        <v>Retail</v>
      </c>
      <c r="F776" t="str">
        <f>_xlfn.XLOOKUP(_xlfn.XLOOKUP(B776,raw_customers!A:A,raw_customers!F:F),raw_branches!A:A,raw_branches!B:B)</f>
        <v>Ganja Branch</v>
      </c>
      <c r="G776" s="7">
        <v>117561.09</v>
      </c>
      <c r="H776" s="6">
        <v>18.68</v>
      </c>
      <c r="I776" t="s">
        <v>2377</v>
      </c>
      <c r="J776" t="str">
        <f t="shared" si="12"/>
        <v>Yüksək Risk</v>
      </c>
    </row>
    <row r="777" spans="1:10">
      <c r="A777">
        <v>1151</v>
      </c>
      <c r="B777">
        <v>985</v>
      </c>
      <c r="C777" t="str">
        <f>_xlfn.XLOOKUP(B777,raw_customers!A:A,raw_customers!B:B)</f>
        <v>Elvin Orucov</v>
      </c>
      <c r="D777" t="str">
        <f>_xlfn.XLOOKUP(C777,raw_customers!B:B,raw_customers!C:C)</f>
        <v>M</v>
      </c>
      <c r="E777" t="str">
        <f>_xlfn.XLOOKUP(C777,raw_customers!B:B,raw_customers!G:G)</f>
        <v>Premium</v>
      </c>
      <c r="F777" t="str">
        <f>_xlfn.XLOOKUP(_xlfn.XLOOKUP(B777,raw_customers!A:A,raw_customers!F:F),raw_branches!A:A,raw_branches!B:B)</f>
        <v>Sumgait Branch</v>
      </c>
      <c r="G777" s="7">
        <v>6578.31</v>
      </c>
      <c r="H777" s="6">
        <v>7.39</v>
      </c>
      <c r="I777" t="s">
        <v>2383</v>
      </c>
      <c r="J777" t="str">
        <f t="shared" si="12"/>
        <v>Aşağı Risk</v>
      </c>
    </row>
    <row r="778" spans="1:10">
      <c r="A778">
        <v>1152</v>
      </c>
      <c r="B778">
        <v>208</v>
      </c>
      <c r="C778" t="str">
        <f>_xlfn.XLOOKUP(B778,raw_customers!A:A,raw_customers!B:B)</f>
        <v>Nigar Tağıyev</v>
      </c>
      <c r="D778" t="str">
        <f>_xlfn.XLOOKUP(C778,raw_customers!B:B,raw_customers!C:C)</f>
        <v>F</v>
      </c>
      <c r="E778" t="str">
        <f>_xlfn.XLOOKUP(C778,raw_customers!B:B,raw_customers!G:G)</f>
        <v>SME</v>
      </c>
      <c r="F778" t="str">
        <f>_xlfn.XLOOKUP(_xlfn.XLOOKUP(B778,raw_customers!A:A,raw_customers!F:F),raw_branches!A:A,raw_branches!B:B)</f>
        <v>Lankaran Branch</v>
      </c>
      <c r="G778" s="7">
        <v>15217.92</v>
      </c>
      <c r="H778" s="6">
        <v>9.64</v>
      </c>
      <c r="I778" t="s">
        <v>2377</v>
      </c>
      <c r="J778" t="str">
        <f t="shared" si="12"/>
        <v>Aşağı Risk</v>
      </c>
    </row>
    <row r="779" spans="1:10">
      <c r="A779">
        <v>1153</v>
      </c>
      <c r="B779">
        <v>613</v>
      </c>
      <c r="C779" t="str">
        <f>_xlfn.XLOOKUP(B779,raw_customers!A:A,raw_customers!B:B)</f>
        <v>Röya Əzizov</v>
      </c>
      <c r="D779" t="str">
        <f>_xlfn.XLOOKUP(C779,raw_customers!B:B,raw_customers!C:C)</f>
        <v>F</v>
      </c>
      <c r="E779" t="str">
        <f>_xlfn.XLOOKUP(C779,raw_customers!B:B,raw_customers!G:G)</f>
        <v>Retail</v>
      </c>
      <c r="F779" t="str">
        <f>_xlfn.XLOOKUP(_xlfn.XLOOKUP(B779,raw_customers!A:A,raw_customers!F:F),raw_branches!A:A,raw_branches!B:B)</f>
        <v>Mingachevir Branch</v>
      </c>
      <c r="G779" s="7">
        <v>25557.48</v>
      </c>
      <c r="H779" s="6">
        <v>10.66</v>
      </c>
      <c r="I779" t="s">
        <v>2383</v>
      </c>
      <c r="J779" t="str">
        <f t="shared" si="12"/>
        <v>Aşağı Risk</v>
      </c>
    </row>
    <row r="780" spans="1:10">
      <c r="A780">
        <v>1154</v>
      </c>
      <c r="B780">
        <v>827</v>
      </c>
      <c r="C780" t="str">
        <f>_xlfn.XLOOKUP(B780,raw_customers!A:A,raw_customers!B:B)</f>
        <v>Fərid Əzizov</v>
      </c>
      <c r="D780" t="str">
        <f>_xlfn.XLOOKUP(C780,raw_customers!B:B,raw_customers!C:C)</f>
        <v>M</v>
      </c>
      <c r="E780" t="str">
        <f>_xlfn.XLOOKUP(C780,raw_customers!B:B,raw_customers!G:G)</f>
        <v>SME</v>
      </c>
      <c r="F780" t="str">
        <f>_xlfn.XLOOKUP(_xlfn.XLOOKUP(B780,raw_customers!A:A,raw_customers!F:F),raw_branches!A:A,raw_branches!B:B)</f>
        <v>Ganja Branch</v>
      </c>
      <c r="G780" s="7">
        <v>4688.64</v>
      </c>
      <c r="H780" s="6">
        <v>20.44</v>
      </c>
      <c r="I780" t="s">
        <v>2377</v>
      </c>
      <c r="J780" t="str">
        <f t="shared" si="12"/>
        <v>Yüksək Risk</v>
      </c>
    </row>
    <row r="781" spans="1:10">
      <c r="A781">
        <v>1155</v>
      </c>
      <c r="B781">
        <v>492</v>
      </c>
      <c r="C781" t="str">
        <f>_xlfn.XLOOKUP(B781,raw_customers!A:A,raw_customers!B:B)</f>
        <v>Nərmin Orucov</v>
      </c>
      <c r="D781" t="str">
        <f>_xlfn.XLOOKUP(C781,raw_customers!B:B,raw_customers!C:C)</f>
        <v>F</v>
      </c>
      <c r="E781" t="str">
        <f>_xlfn.XLOOKUP(C781,raw_customers!B:B,raw_customers!G:G)</f>
        <v>Retail</v>
      </c>
      <c r="F781" t="str">
        <f>_xlfn.XLOOKUP(_xlfn.XLOOKUP(B781,raw_customers!A:A,raw_customers!F:F),raw_branches!A:A,raw_branches!B:B)</f>
        <v>Sumgait Branch</v>
      </c>
      <c r="G781" s="7">
        <v>7626.7</v>
      </c>
      <c r="H781" s="6">
        <v>21.3</v>
      </c>
      <c r="I781" t="s">
        <v>2383</v>
      </c>
      <c r="J781" t="str">
        <f t="shared" si="12"/>
        <v>Yüksək Risk</v>
      </c>
    </row>
    <row r="782" spans="1:10">
      <c r="A782">
        <v>1156</v>
      </c>
      <c r="B782">
        <v>612</v>
      </c>
      <c r="C782" t="str">
        <f>_xlfn.XLOOKUP(B782,raw_customers!A:A,raw_customers!B:B)</f>
        <v>Zaur Orucov</v>
      </c>
      <c r="D782" t="str">
        <f>_xlfn.XLOOKUP(C782,raw_customers!B:B,raw_customers!C:C)</f>
        <v>M</v>
      </c>
      <c r="E782" t="str">
        <f>_xlfn.XLOOKUP(C782,raw_customers!B:B,raw_customers!G:G)</f>
        <v>SME</v>
      </c>
      <c r="F782" t="str">
        <f>_xlfn.XLOOKUP(_xlfn.XLOOKUP(B782,raw_customers!A:A,raw_customers!F:F),raw_branches!A:A,raw_branches!B:B)</f>
        <v>Sheki Branch</v>
      </c>
      <c r="G782" s="7">
        <v>33566.31</v>
      </c>
      <c r="H782" s="6">
        <v>9.43</v>
      </c>
      <c r="I782" t="s">
        <v>2383</v>
      </c>
      <c r="J782" t="str">
        <f t="shared" si="12"/>
        <v>Aşağı Risk</v>
      </c>
    </row>
    <row r="783" spans="1:10">
      <c r="A783">
        <v>1157</v>
      </c>
      <c r="B783">
        <v>140</v>
      </c>
      <c r="C783" t="str">
        <f>_xlfn.XLOOKUP(B783,raw_customers!A:A,raw_customers!B:B)</f>
        <v>Emin Quliyev</v>
      </c>
      <c r="D783" t="str">
        <f>_xlfn.XLOOKUP(C783,raw_customers!B:B,raw_customers!C:C)</f>
        <v>M</v>
      </c>
      <c r="E783" t="str">
        <f>_xlfn.XLOOKUP(C783,raw_customers!B:B,raw_customers!G:G)</f>
        <v>Retail</v>
      </c>
      <c r="F783" t="str">
        <f>_xlfn.XLOOKUP(_xlfn.XLOOKUP(B783,raw_customers!A:A,raw_customers!F:F),raw_branches!A:A,raw_branches!B:B)</f>
        <v>Baku Central</v>
      </c>
      <c r="G783" s="7">
        <v>13931.06</v>
      </c>
      <c r="H783" s="6">
        <v>21.98</v>
      </c>
      <c r="I783" t="s">
        <v>2377</v>
      </c>
      <c r="J783" t="str">
        <f t="shared" si="12"/>
        <v>Yüksək Risk</v>
      </c>
    </row>
    <row r="784" spans="1:10">
      <c r="A784">
        <v>1158</v>
      </c>
      <c r="B784">
        <v>299</v>
      </c>
      <c r="C784" t="str">
        <f>_xlfn.XLOOKUP(B784,raw_customers!A:A,raw_customers!B:B)</f>
        <v>Ülviyyə Orucov</v>
      </c>
      <c r="D784" t="str">
        <f>_xlfn.XLOOKUP(C784,raw_customers!B:B,raw_customers!C:C)</f>
        <v>F</v>
      </c>
      <c r="E784" t="str">
        <f>_xlfn.XLOOKUP(C784,raw_customers!B:B,raw_customers!G:G)</f>
        <v>Retail</v>
      </c>
      <c r="F784" t="str">
        <f>_xlfn.XLOOKUP(_xlfn.XLOOKUP(B784,raw_customers!A:A,raw_customers!F:F),raw_branches!A:A,raw_branches!B:B)</f>
        <v>Lankaran Branch</v>
      </c>
      <c r="G784" s="7">
        <v>126625.71</v>
      </c>
      <c r="H784" s="6">
        <v>21.97</v>
      </c>
      <c r="I784" t="s">
        <v>2377</v>
      </c>
      <c r="J784" t="str">
        <f t="shared" si="12"/>
        <v>Yüksək Risk</v>
      </c>
    </row>
    <row r="785" spans="1:10">
      <c r="A785">
        <v>1159</v>
      </c>
      <c r="B785">
        <v>44</v>
      </c>
      <c r="C785" t="str">
        <f>_xlfn.XLOOKUP(B785,raw_customers!A:A,raw_customers!B:B)</f>
        <v>Nərmin Cəfərov</v>
      </c>
      <c r="D785" t="str">
        <f>_xlfn.XLOOKUP(C785,raw_customers!B:B,raw_customers!C:C)</f>
        <v>F</v>
      </c>
      <c r="E785" t="str">
        <f>_xlfn.XLOOKUP(C785,raw_customers!B:B,raw_customers!G:G)</f>
        <v>Retail</v>
      </c>
      <c r="F785" t="str">
        <f>_xlfn.XLOOKUP(_xlfn.XLOOKUP(B785,raw_customers!A:A,raw_customers!F:F),raw_branches!A:A,raw_branches!B:B)</f>
        <v>Mingachevir Branch</v>
      </c>
      <c r="G785" s="7">
        <v>29833.81</v>
      </c>
      <c r="H785" s="6">
        <v>15.45</v>
      </c>
      <c r="I785" t="s">
        <v>2377</v>
      </c>
      <c r="J785" t="str">
        <f t="shared" si="12"/>
        <v>Orta Risk</v>
      </c>
    </row>
    <row r="786" spans="1:10">
      <c r="A786">
        <v>1160</v>
      </c>
      <c r="B786">
        <v>308</v>
      </c>
      <c r="C786" t="str">
        <f>_xlfn.XLOOKUP(B786,raw_customers!A:A,raw_customers!B:B)</f>
        <v>Anar Hüseynov</v>
      </c>
      <c r="D786" t="str">
        <f>_xlfn.XLOOKUP(C786,raw_customers!B:B,raw_customers!C:C)</f>
        <v>M</v>
      </c>
      <c r="E786" t="str">
        <f>_xlfn.XLOOKUP(C786,raw_customers!B:B,raw_customers!G:G)</f>
        <v>Retail</v>
      </c>
      <c r="F786" t="str">
        <f>_xlfn.XLOOKUP(_xlfn.XLOOKUP(B786,raw_customers!A:A,raw_customers!F:F),raw_branches!A:A,raw_branches!B:B)</f>
        <v>Sheki Branch</v>
      </c>
      <c r="G786" s="7">
        <v>11041.32</v>
      </c>
      <c r="H786" s="6">
        <v>18.76</v>
      </c>
      <c r="I786" t="s">
        <v>2377</v>
      </c>
      <c r="J786" t="str">
        <f t="shared" si="12"/>
        <v>Yüksək Risk</v>
      </c>
    </row>
    <row r="787" spans="1:10">
      <c r="A787">
        <v>1161</v>
      </c>
      <c r="B787">
        <v>295</v>
      </c>
      <c r="C787" t="str">
        <f>_xlfn.XLOOKUP(B787,raw_customers!A:A,raw_customers!B:B)</f>
        <v>Günel Məmmədov</v>
      </c>
      <c r="D787" t="str">
        <f>_xlfn.XLOOKUP(C787,raw_customers!B:B,raw_customers!C:C)</f>
        <v>F</v>
      </c>
      <c r="E787" t="str">
        <f>_xlfn.XLOOKUP(C787,raw_customers!B:B,raw_customers!G:G)</f>
        <v>Retail</v>
      </c>
      <c r="F787" t="str">
        <f>_xlfn.XLOOKUP(_xlfn.XLOOKUP(B787,raw_customers!A:A,raw_customers!F:F),raw_branches!A:A,raw_branches!B:B)</f>
        <v>Ganja Branch</v>
      </c>
      <c r="G787" s="7">
        <v>82286.22</v>
      </c>
      <c r="H787" s="6">
        <v>13.92</v>
      </c>
      <c r="I787" t="s">
        <v>2377</v>
      </c>
      <c r="J787" t="str">
        <f t="shared" si="12"/>
        <v>Orta Risk</v>
      </c>
    </row>
    <row r="788" spans="1:10">
      <c r="A788">
        <v>1162</v>
      </c>
      <c r="B788">
        <v>400</v>
      </c>
      <c r="C788" t="str">
        <f>_xlfn.XLOOKUP(B788,raw_customers!A:A,raw_customers!B:B)</f>
        <v>Şəbnəm Abbasov</v>
      </c>
      <c r="D788" t="str">
        <f>_xlfn.XLOOKUP(C788,raw_customers!B:B,raw_customers!C:C)</f>
        <v>F</v>
      </c>
      <c r="E788" t="str">
        <f>_xlfn.XLOOKUP(C788,raw_customers!B:B,raw_customers!G:G)</f>
        <v>SME</v>
      </c>
      <c r="F788" t="str">
        <f>_xlfn.XLOOKUP(_xlfn.XLOOKUP(B788,raw_customers!A:A,raw_customers!F:F),raw_branches!A:A,raw_branches!B:B)</f>
        <v>Mingachevir Branch</v>
      </c>
      <c r="G788" s="7">
        <v>36808.82</v>
      </c>
      <c r="H788" s="6">
        <v>20.93</v>
      </c>
      <c r="I788" t="s">
        <v>2377</v>
      </c>
      <c r="J788" t="str">
        <f t="shared" si="12"/>
        <v>Yüksək Risk</v>
      </c>
    </row>
    <row r="789" spans="1:10">
      <c r="A789">
        <v>1163</v>
      </c>
      <c r="B789">
        <v>857</v>
      </c>
      <c r="C789" t="str">
        <f>_xlfn.XLOOKUP(B789,raw_customers!A:A,raw_customers!B:B)</f>
        <v>Leyla Novruzov</v>
      </c>
      <c r="D789" t="str">
        <f>_xlfn.XLOOKUP(C789,raw_customers!B:B,raw_customers!C:C)</f>
        <v>F</v>
      </c>
      <c r="E789" t="str">
        <f>_xlfn.XLOOKUP(C789,raw_customers!B:B,raw_customers!G:G)</f>
        <v>SME</v>
      </c>
      <c r="F789" t="str">
        <f>_xlfn.XLOOKUP(_xlfn.XLOOKUP(B789,raw_customers!A:A,raw_customers!F:F),raw_branches!A:A,raw_branches!B:B)</f>
        <v>Sumgait Branch</v>
      </c>
      <c r="G789" s="7">
        <v>38705.02</v>
      </c>
      <c r="H789" s="6">
        <v>14.77</v>
      </c>
      <c r="I789" t="s">
        <v>2377</v>
      </c>
      <c r="J789" t="str">
        <f t="shared" si="12"/>
        <v>Orta Risk</v>
      </c>
    </row>
    <row r="790" spans="1:10">
      <c r="A790">
        <v>1164</v>
      </c>
      <c r="B790">
        <v>166</v>
      </c>
      <c r="C790" t="str">
        <f>_xlfn.XLOOKUP(B790,raw_customers!A:A,raw_customers!B:B)</f>
        <v>Orxan Sadıqov</v>
      </c>
      <c r="D790" t="str">
        <f>_xlfn.XLOOKUP(C790,raw_customers!B:B,raw_customers!C:C)</f>
        <v>M</v>
      </c>
      <c r="E790" t="str">
        <f>_xlfn.XLOOKUP(C790,raw_customers!B:B,raw_customers!G:G)</f>
        <v>Retail</v>
      </c>
      <c r="F790" t="str">
        <f>_xlfn.XLOOKUP(_xlfn.XLOOKUP(B790,raw_customers!A:A,raw_customers!F:F),raw_branches!A:A,raw_branches!B:B)</f>
        <v>Sheki Branch</v>
      </c>
      <c r="G790" s="7">
        <v>12787.15</v>
      </c>
      <c r="H790" s="6">
        <v>20.8</v>
      </c>
      <c r="I790" t="s">
        <v>2383</v>
      </c>
      <c r="J790" t="str">
        <f t="shared" si="12"/>
        <v>Yüksək Risk</v>
      </c>
    </row>
    <row r="791" spans="1:10">
      <c r="A791">
        <v>1165</v>
      </c>
      <c r="B791">
        <v>593</v>
      </c>
      <c r="C791" t="str">
        <f>_xlfn.XLOOKUP(B791,raw_customers!A:A,raw_customers!B:B)</f>
        <v>Fərid Rəhimov</v>
      </c>
      <c r="D791" t="str">
        <f>_xlfn.XLOOKUP(C791,raw_customers!B:B,raw_customers!C:C)</f>
        <v>M</v>
      </c>
      <c r="E791" t="str">
        <f>_xlfn.XLOOKUP(C791,raw_customers!B:B,raw_customers!G:G)</f>
        <v>SME</v>
      </c>
      <c r="F791" t="str">
        <f>_xlfn.XLOOKUP(_xlfn.XLOOKUP(B791,raw_customers!A:A,raw_customers!F:F),raw_branches!A:A,raw_branches!B:B)</f>
        <v>Sheki Branch</v>
      </c>
      <c r="G791" s="7">
        <v>5190.52</v>
      </c>
      <c r="H791" s="6">
        <v>13.88</v>
      </c>
      <c r="I791" t="s">
        <v>2377</v>
      </c>
      <c r="J791" t="str">
        <f t="shared" si="12"/>
        <v>Orta Risk</v>
      </c>
    </row>
    <row r="792" spans="1:10">
      <c r="A792">
        <v>1166</v>
      </c>
      <c r="B792">
        <v>443</v>
      </c>
      <c r="C792" t="str">
        <f>_xlfn.XLOOKUP(B792,raw_customers!A:A,raw_customers!B:B)</f>
        <v>Ceyhun Bağırov</v>
      </c>
      <c r="D792" t="str">
        <f>_xlfn.XLOOKUP(C792,raw_customers!B:B,raw_customers!C:C)</f>
        <v>M</v>
      </c>
      <c r="E792" t="str">
        <f>_xlfn.XLOOKUP(C792,raw_customers!B:B,raw_customers!G:G)</f>
        <v>Retail</v>
      </c>
      <c r="F792" t="str">
        <f>_xlfn.XLOOKUP(_xlfn.XLOOKUP(B792,raw_customers!A:A,raw_customers!F:F),raw_branches!A:A,raw_branches!B:B)</f>
        <v>Baku Yasamal</v>
      </c>
      <c r="G792" s="7">
        <v>9156.15</v>
      </c>
      <c r="H792" s="6">
        <v>14.38</v>
      </c>
      <c r="I792" t="s">
        <v>2377</v>
      </c>
      <c r="J792" t="str">
        <f t="shared" si="12"/>
        <v>Orta Risk</v>
      </c>
    </row>
    <row r="793" spans="1:10">
      <c r="A793">
        <v>1167</v>
      </c>
      <c r="B793">
        <v>164</v>
      </c>
      <c r="C793" t="str">
        <f>_xlfn.XLOOKUP(B793,raw_customers!A:A,raw_customers!B:B)</f>
        <v>Aysel İsmayılov</v>
      </c>
      <c r="D793" t="str">
        <f>_xlfn.XLOOKUP(C793,raw_customers!B:B,raw_customers!C:C)</f>
        <v>F</v>
      </c>
      <c r="E793" t="str">
        <f>_xlfn.XLOOKUP(C793,raw_customers!B:B,raw_customers!G:G)</f>
        <v>SME</v>
      </c>
      <c r="F793" t="str">
        <f>_xlfn.XLOOKUP(_xlfn.XLOOKUP(B793,raw_customers!A:A,raw_customers!F:F),raw_branches!A:A,raw_branches!B:B)</f>
        <v>Baku Central</v>
      </c>
      <c r="G793" s="7">
        <v>151515.39</v>
      </c>
      <c r="H793" s="6">
        <v>11.53</v>
      </c>
      <c r="I793" t="s">
        <v>2377</v>
      </c>
      <c r="J793" t="str">
        <f t="shared" si="12"/>
        <v>Aşağı Risk</v>
      </c>
    </row>
    <row r="794" spans="1:10">
      <c r="A794">
        <v>1168</v>
      </c>
      <c r="B794">
        <v>461</v>
      </c>
      <c r="C794" t="str">
        <f>_xlfn.XLOOKUP(B794,raw_customers!A:A,raw_customers!B:B)</f>
        <v>Fərid Kərimov</v>
      </c>
      <c r="D794" t="str">
        <f>_xlfn.XLOOKUP(C794,raw_customers!B:B,raw_customers!C:C)</f>
        <v>M</v>
      </c>
      <c r="E794" t="str">
        <f>_xlfn.XLOOKUP(C794,raw_customers!B:B,raw_customers!G:G)</f>
        <v>SME</v>
      </c>
      <c r="F794" t="str">
        <f>_xlfn.XLOOKUP(_xlfn.XLOOKUP(B794,raw_customers!A:A,raw_customers!F:F),raw_branches!A:A,raw_branches!B:B)</f>
        <v>Sheki Branch</v>
      </c>
      <c r="G794" s="7">
        <v>18274.06</v>
      </c>
      <c r="H794" s="6">
        <v>12.71</v>
      </c>
      <c r="I794" t="s">
        <v>2377</v>
      </c>
      <c r="J794" t="str">
        <f t="shared" si="12"/>
        <v>Orta Risk</v>
      </c>
    </row>
    <row r="795" spans="1:10">
      <c r="A795">
        <v>1169</v>
      </c>
      <c r="B795">
        <v>977</v>
      </c>
      <c r="C795" t="str">
        <f>_xlfn.XLOOKUP(B795,raw_customers!A:A,raw_customers!B:B)</f>
        <v>Elşən Rzayev</v>
      </c>
      <c r="D795" t="str">
        <f>_xlfn.XLOOKUP(C795,raw_customers!B:B,raw_customers!C:C)</f>
        <v>M</v>
      </c>
      <c r="E795" t="str">
        <f>_xlfn.XLOOKUP(C795,raw_customers!B:B,raw_customers!G:G)</f>
        <v>Retail</v>
      </c>
      <c r="F795" t="str">
        <f>_xlfn.XLOOKUP(_xlfn.XLOOKUP(B795,raw_customers!A:A,raw_customers!F:F),raw_branches!A:A,raw_branches!B:B)</f>
        <v>Baku Central</v>
      </c>
      <c r="G795" s="7">
        <v>11715.79</v>
      </c>
      <c r="H795" s="6">
        <v>14.04</v>
      </c>
      <c r="I795" t="s">
        <v>2377</v>
      </c>
      <c r="J795" t="str">
        <f t="shared" si="12"/>
        <v>Orta Risk</v>
      </c>
    </row>
    <row r="796" spans="1:10">
      <c r="A796">
        <v>1170</v>
      </c>
      <c r="B796">
        <v>414</v>
      </c>
      <c r="C796" t="str">
        <f>_xlfn.XLOOKUP(B796,raw_customers!A:A,raw_customers!B:B)</f>
        <v>Şəbnəm Məmmədov</v>
      </c>
      <c r="D796" t="str">
        <f>_xlfn.XLOOKUP(C796,raw_customers!B:B,raw_customers!C:C)</f>
        <v>F</v>
      </c>
      <c r="E796" t="str">
        <f>_xlfn.XLOOKUP(C796,raw_customers!B:B,raw_customers!G:G)</f>
        <v>SME</v>
      </c>
      <c r="F796" t="str">
        <f>_xlfn.XLOOKUP(_xlfn.XLOOKUP(B796,raw_customers!A:A,raw_customers!F:F),raw_branches!A:A,raw_branches!B:B)</f>
        <v>Mingachevir Branch</v>
      </c>
      <c r="G796" s="7">
        <v>3217.27</v>
      </c>
      <c r="H796" s="6">
        <v>8.72</v>
      </c>
      <c r="I796" t="s">
        <v>2377</v>
      </c>
      <c r="J796" t="str">
        <f t="shared" si="12"/>
        <v>Aşağı Risk</v>
      </c>
    </row>
    <row r="797" spans="1:10">
      <c r="A797">
        <v>1171</v>
      </c>
      <c r="B797">
        <v>218</v>
      </c>
      <c r="C797" t="str">
        <f>_xlfn.XLOOKUP(B797,raw_customers!A:A,raw_customers!B:B)</f>
        <v>Kamran Sadıqov</v>
      </c>
      <c r="D797" t="str">
        <f>_xlfn.XLOOKUP(C797,raw_customers!B:B,raw_customers!C:C)</f>
        <v>M</v>
      </c>
      <c r="E797" t="str">
        <f>_xlfn.XLOOKUP(C797,raw_customers!B:B,raw_customers!G:G)</f>
        <v>Retail</v>
      </c>
      <c r="F797" t="str">
        <f>_xlfn.XLOOKUP(_xlfn.XLOOKUP(B797,raw_customers!A:A,raw_customers!F:F),raw_branches!A:A,raw_branches!B:B)</f>
        <v>Mingachevir Branch</v>
      </c>
      <c r="G797" s="7">
        <v>23010.24</v>
      </c>
      <c r="H797" s="6">
        <v>19.09</v>
      </c>
      <c r="I797" t="s">
        <v>2377</v>
      </c>
      <c r="J797" t="str">
        <f t="shared" si="12"/>
        <v>Yüksək Risk</v>
      </c>
    </row>
    <row r="798" spans="1:10">
      <c r="A798">
        <v>1172</v>
      </c>
      <c r="B798">
        <v>621</v>
      </c>
      <c r="C798" t="str">
        <f>_xlfn.XLOOKUP(B798,raw_customers!A:A,raw_customers!B:B)</f>
        <v>Günel Kərimov</v>
      </c>
      <c r="D798" t="str">
        <f>_xlfn.XLOOKUP(C798,raw_customers!B:B,raw_customers!C:C)</f>
        <v>F</v>
      </c>
      <c r="E798" t="str">
        <f>_xlfn.XLOOKUP(C798,raw_customers!B:B,raw_customers!G:G)</f>
        <v>Retail</v>
      </c>
      <c r="F798" t="str">
        <f>_xlfn.XLOOKUP(_xlfn.XLOOKUP(B798,raw_customers!A:A,raw_customers!F:F),raw_branches!A:A,raw_branches!B:B)</f>
        <v>Sumgait Branch</v>
      </c>
      <c r="G798" s="7">
        <v>196430.32</v>
      </c>
      <c r="H798" s="6">
        <v>11.95</v>
      </c>
      <c r="I798" t="s">
        <v>2377</v>
      </c>
      <c r="J798" t="str">
        <f t="shared" si="12"/>
        <v>Aşağı Risk</v>
      </c>
    </row>
    <row r="799" spans="1:10">
      <c r="A799">
        <v>1173</v>
      </c>
      <c r="B799">
        <v>348</v>
      </c>
      <c r="C799" t="str">
        <f>_xlfn.XLOOKUP(B799,raw_customers!A:A,raw_customers!B:B)</f>
        <v>Murad Məmmədov</v>
      </c>
      <c r="D799" t="str">
        <f>_xlfn.XLOOKUP(C799,raw_customers!B:B,raw_customers!C:C)</f>
        <v>M</v>
      </c>
      <c r="E799" t="str">
        <f>_xlfn.XLOOKUP(C799,raw_customers!B:B,raw_customers!G:G)</f>
        <v>Retail</v>
      </c>
      <c r="F799" t="str">
        <f>_xlfn.XLOOKUP(_xlfn.XLOOKUP(B799,raw_customers!A:A,raw_customers!F:F),raw_branches!A:A,raw_branches!B:B)</f>
        <v>Lankaran Branch</v>
      </c>
      <c r="G799" s="7">
        <v>10669.63</v>
      </c>
      <c r="H799" s="6">
        <v>10.76</v>
      </c>
      <c r="I799" t="s">
        <v>2377</v>
      </c>
      <c r="J799" t="str">
        <f t="shared" si="12"/>
        <v>Aşağı Risk</v>
      </c>
    </row>
    <row r="800" spans="1:10">
      <c r="A800">
        <v>1174</v>
      </c>
      <c r="B800">
        <v>580</v>
      </c>
      <c r="C800" t="str">
        <f>_xlfn.XLOOKUP(B800,raw_customers!A:A,raw_customers!B:B)</f>
        <v>Səbinə İsmayılov</v>
      </c>
      <c r="D800" t="str">
        <f>_xlfn.XLOOKUP(C800,raw_customers!B:B,raw_customers!C:C)</f>
        <v>F</v>
      </c>
      <c r="E800" t="str">
        <f>_xlfn.XLOOKUP(C800,raw_customers!B:B,raw_customers!G:G)</f>
        <v>Retail</v>
      </c>
      <c r="F800" t="str">
        <f>_xlfn.XLOOKUP(_xlfn.XLOOKUP(B800,raw_customers!A:A,raw_customers!F:F),raw_branches!A:A,raw_branches!B:B)</f>
        <v>Baku Yasamal</v>
      </c>
      <c r="G800" s="7">
        <v>14205.21</v>
      </c>
      <c r="H800" s="6">
        <v>13.73</v>
      </c>
      <c r="I800" t="s">
        <v>2383</v>
      </c>
      <c r="J800" t="str">
        <f t="shared" si="12"/>
        <v>Orta Risk</v>
      </c>
    </row>
    <row r="801" spans="1:10">
      <c r="A801">
        <v>1175</v>
      </c>
      <c r="B801">
        <v>791</v>
      </c>
      <c r="C801" t="str">
        <f>_xlfn.XLOOKUP(B801,raw_customers!A:A,raw_customers!B:B)</f>
        <v>Türkan Əliyev</v>
      </c>
      <c r="D801" t="str">
        <f>_xlfn.XLOOKUP(C801,raw_customers!B:B,raw_customers!C:C)</f>
        <v>F</v>
      </c>
      <c r="E801" t="str">
        <f>_xlfn.XLOOKUP(C801,raw_customers!B:B,raw_customers!G:G)</f>
        <v>Premium</v>
      </c>
      <c r="F801" t="str">
        <f>_xlfn.XLOOKUP(_xlfn.XLOOKUP(B801,raw_customers!A:A,raw_customers!F:F),raw_branches!A:A,raw_branches!B:B)</f>
        <v>Baku Central</v>
      </c>
      <c r="G801" s="7">
        <v>17050.61</v>
      </c>
      <c r="H801" s="6">
        <v>5.46</v>
      </c>
      <c r="I801" t="s">
        <v>2393</v>
      </c>
      <c r="J801" t="str">
        <f t="shared" si="12"/>
        <v>Default (Batıq)</v>
      </c>
    </row>
    <row r="802" spans="1:10">
      <c r="A802">
        <v>1176</v>
      </c>
      <c r="B802">
        <v>880</v>
      </c>
      <c r="C802" t="str">
        <f>_xlfn.XLOOKUP(B802,raw_customers!A:A,raw_customers!B:B)</f>
        <v>Nigar Tağıyev</v>
      </c>
      <c r="D802" t="str">
        <f>_xlfn.XLOOKUP(C802,raw_customers!B:B,raw_customers!C:C)</f>
        <v>F</v>
      </c>
      <c r="E802" t="str">
        <f>_xlfn.XLOOKUP(C802,raw_customers!B:B,raw_customers!G:G)</f>
        <v>SME</v>
      </c>
      <c r="F802" t="str">
        <f>_xlfn.XLOOKUP(_xlfn.XLOOKUP(B802,raw_customers!A:A,raw_customers!F:F),raw_branches!A:A,raw_branches!B:B)</f>
        <v>Ganja Branch</v>
      </c>
      <c r="G802" s="7">
        <v>3795.54</v>
      </c>
      <c r="H802" s="6">
        <v>16.93</v>
      </c>
      <c r="I802" t="s">
        <v>2377</v>
      </c>
      <c r="J802" t="str">
        <f t="shared" si="12"/>
        <v>Orta Risk</v>
      </c>
    </row>
    <row r="803" spans="1:10">
      <c r="A803">
        <v>1177</v>
      </c>
      <c r="B803">
        <v>607</v>
      </c>
      <c r="C803" t="str">
        <f>_xlfn.XLOOKUP(B803,raw_customers!A:A,raw_customers!B:B)</f>
        <v>Fidan Hüseynov</v>
      </c>
      <c r="D803" t="str">
        <f>_xlfn.XLOOKUP(C803,raw_customers!B:B,raw_customers!C:C)</f>
        <v>F</v>
      </c>
      <c r="E803" t="str">
        <f>_xlfn.XLOOKUP(C803,raw_customers!B:B,raw_customers!G:G)</f>
        <v>Retail</v>
      </c>
      <c r="F803" t="str">
        <f>_xlfn.XLOOKUP(_xlfn.XLOOKUP(B803,raw_customers!A:A,raw_customers!F:F),raw_branches!A:A,raw_branches!B:B)</f>
        <v>Mingachevir Branch</v>
      </c>
      <c r="G803" s="7">
        <v>82104.27</v>
      </c>
      <c r="H803" s="6">
        <v>5.65</v>
      </c>
      <c r="I803" t="s">
        <v>2377</v>
      </c>
      <c r="J803" t="str">
        <f t="shared" si="12"/>
        <v>Aşağı Risk</v>
      </c>
    </row>
    <row r="804" spans="1:10">
      <c r="A804">
        <v>1178</v>
      </c>
      <c r="B804">
        <v>49</v>
      </c>
      <c r="C804" t="str">
        <f>_xlfn.XLOOKUP(B804,raw_customers!A:A,raw_customers!B:B)</f>
        <v>Aynur Rzayev</v>
      </c>
      <c r="D804" t="str">
        <f>_xlfn.XLOOKUP(C804,raw_customers!B:B,raw_customers!C:C)</f>
        <v>F</v>
      </c>
      <c r="E804" t="str">
        <f>_xlfn.XLOOKUP(C804,raw_customers!B:B,raw_customers!G:G)</f>
        <v>Retail</v>
      </c>
      <c r="F804" t="str">
        <f>_xlfn.XLOOKUP(_xlfn.XLOOKUP(B804,raw_customers!A:A,raw_customers!F:F),raw_branches!A:A,raw_branches!B:B)</f>
        <v>Sheki Branch</v>
      </c>
      <c r="G804" s="7">
        <v>120393.58</v>
      </c>
      <c r="H804" s="6">
        <v>7.61</v>
      </c>
      <c r="I804" t="s">
        <v>2377</v>
      </c>
      <c r="J804" t="str">
        <f t="shared" si="12"/>
        <v>Aşağı Risk</v>
      </c>
    </row>
    <row r="805" spans="1:10">
      <c r="A805">
        <v>1179</v>
      </c>
      <c r="B805">
        <v>555</v>
      </c>
      <c r="C805" t="str">
        <f>_xlfn.XLOOKUP(B805,raw_customers!A:A,raw_customers!B:B)</f>
        <v>Könül Abbasov</v>
      </c>
      <c r="D805" t="str">
        <f>_xlfn.XLOOKUP(C805,raw_customers!B:B,raw_customers!C:C)</f>
        <v>F</v>
      </c>
      <c r="E805" t="str">
        <f>_xlfn.XLOOKUP(C805,raw_customers!B:B,raw_customers!G:G)</f>
        <v>SME</v>
      </c>
      <c r="F805" t="str">
        <f>_xlfn.XLOOKUP(_xlfn.XLOOKUP(B805,raw_customers!A:A,raw_customers!F:F),raw_branches!A:A,raw_branches!B:B)</f>
        <v>Lankaran Branch</v>
      </c>
      <c r="G805" s="7">
        <v>28972.62</v>
      </c>
      <c r="H805" s="6">
        <v>14.67</v>
      </c>
      <c r="I805" t="s">
        <v>2377</v>
      </c>
      <c r="J805" t="str">
        <f t="shared" si="12"/>
        <v>Orta Risk</v>
      </c>
    </row>
    <row r="806" spans="1:10">
      <c r="A806">
        <v>1180</v>
      </c>
      <c r="B806">
        <v>291</v>
      </c>
      <c r="C806" t="str">
        <f>_xlfn.XLOOKUP(B806,raw_customers!A:A,raw_customers!B:B)</f>
        <v>Ülviyyə Həsənov</v>
      </c>
      <c r="D806" t="str">
        <f>_xlfn.XLOOKUP(C806,raw_customers!B:B,raw_customers!C:C)</f>
        <v>F</v>
      </c>
      <c r="E806" t="str">
        <f>_xlfn.XLOOKUP(C806,raw_customers!B:B,raw_customers!G:G)</f>
        <v>Premium</v>
      </c>
      <c r="F806" t="str">
        <f>_xlfn.XLOOKUP(_xlfn.XLOOKUP(B806,raw_customers!A:A,raw_customers!F:F),raw_branches!A:A,raw_branches!B:B)</f>
        <v>Lankaran Branch</v>
      </c>
      <c r="G806" s="7">
        <v>32174.13</v>
      </c>
      <c r="H806" s="6">
        <v>18.47</v>
      </c>
      <c r="I806" t="s">
        <v>2377</v>
      </c>
      <c r="J806" t="str">
        <f t="shared" si="12"/>
        <v>Yüksək Risk</v>
      </c>
    </row>
    <row r="807" spans="1:10">
      <c r="A807">
        <v>1181</v>
      </c>
      <c r="B807">
        <v>615</v>
      </c>
      <c r="C807" t="str">
        <f>_xlfn.XLOOKUP(B807,raw_customers!A:A,raw_customers!B:B)</f>
        <v>Nərmin Əzizov</v>
      </c>
      <c r="D807" t="str">
        <f>_xlfn.XLOOKUP(C807,raw_customers!B:B,raw_customers!C:C)</f>
        <v>F</v>
      </c>
      <c r="E807" t="str">
        <f>_xlfn.XLOOKUP(C807,raw_customers!B:B,raw_customers!G:G)</f>
        <v>SME</v>
      </c>
      <c r="F807" t="str">
        <f>_xlfn.XLOOKUP(_xlfn.XLOOKUP(B807,raw_customers!A:A,raw_customers!F:F),raw_branches!A:A,raw_branches!B:B)</f>
        <v>Baku Central</v>
      </c>
      <c r="G807" s="7">
        <v>62315.24</v>
      </c>
      <c r="H807" s="6">
        <v>16.93</v>
      </c>
      <c r="I807" t="s">
        <v>2393</v>
      </c>
      <c r="J807" t="str">
        <f t="shared" si="12"/>
        <v>Default (Batıq)</v>
      </c>
    </row>
    <row r="808" spans="1:10">
      <c r="A808">
        <v>1182</v>
      </c>
      <c r="B808">
        <v>236</v>
      </c>
      <c r="C808" t="str">
        <f>_xlfn.XLOOKUP(B808,raw_customers!A:A,raw_customers!B:B)</f>
        <v>Zeynəb Novruzov</v>
      </c>
      <c r="D808" t="str">
        <f>_xlfn.XLOOKUP(C808,raw_customers!B:B,raw_customers!C:C)</f>
        <v>F</v>
      </c>
      <c r="E808" t="str">
        <f>_xlfn.XLOOKUP(C808,raw_customers!B:B,raw_customers!G:G)</f>
        <v>Retail</v>
      </c>
      <c r="F808" t="str">
        <f>_xlfn.XLOOKUP(_xlfn.XLOOKUP(B808,raw_customers!A:A,raw_customers!F:F),raw_branches!A:A,raw_branches!B:B)</f>
        <v>Baku Central</v>
      </c>
      <c r="G808" s="7">
        <v>190970.02</v>
      </c>
      <c r="H808" s="6">
        <v>9.24</v>
      </c>
      <c r="I808" t="s">
        <v>2377</v>
      </c>
      <c r="J808" t="str">
        <f t="shared" si="12"/>
        <v>Aşağı Risk</v>
      </c>
    </row>
    <row r="809" spans="1:10">
      <c r="A809">
        <v>1183</v>
      </c>
      <c r="B809">
        <v>229</v>
      </c>
      <c r="C809" t="str">
        <f>_xlfn.XLOOKUP(B809,raw_customers!A:A,raw_customers!B:B)</f>
        <v>Orxan Novruzov</v>
      </c>
      <c r="D809" t="str">
        <f>_xlfn.XLOOKUP(C809,raw_customers!B:B,raw_customers!C:C)</f>
        <v>M</v>
      </c>
      <c r="E809" t="str">
        <f>_xlfn.XLOOKUP(C809,raw_customers!B:B,raw_customers!G:G)</f>
        <v>SME</v>
      </c>
      <c r="F809" t="str">
        <f>_xlfn.XLOOKUP(_xlfn.XLOOKUP(B809,raw_customers!A:A,raw_customers!F:F),raw_branches!A:A,raw_branches!B:B)</f>
        <v>Mingachevir Branch</v>
      </c>
      <c r="G809" s="7">
        <v>79379.01</v>
      </c>
      <c r="H809" s="6">
        <v>7.63</v>
      </c>
      <c r="I809" t="s">
        <v>2377</v>
      </c>
      <c r="J809" t="str">
        <f t="shared" si="12"/>
        <v>Aşağı Risk</v>
      </c>
    </row>
    <row r="810" spans="1:10">
      <c r="A810">
        <v>1184</v>
      </c>
      <c r="B810">
        <v>466</v>
      </c>
      <c r="C810" t="str">
        <f>_xlfn.XLOOKUP(B810,raw_customers!A:A,raw_customers!B:B)</f>
        <v>Rüfət Orucov</v>
      </c>
      <c r="D810" t="str">
        <f>_xlfn.XLOOKUP(C810,raw_customers!B:B,raw_customers!C:C)</f>
        <v>M</v>
      </c>
      <c r="E810" t="str">
        <f>_xlfn.XLOOKUP(C810,raw_customers!B:B,raw_customers!G:G)</f>
        <v>SME</v>
      </c>
      <c r="F810" t="str">
        <f>_xlfn.XLOOKUP(_xlfn.XLOOKUP(B810,raw_customers!A:A,raw_customers!F:F),raw_branches!A:A,raw_branches!B:B)</f>
        <v>Baku Yasamal</v>
      </c>
      <c r="G810" s="7">
        <v>4516.24</v>
      </c>
      <c r="H810" s="6">
        <v>10.89</v>
      </c>
      <c r="I810" t="s">
        <v>2383</v>
      </c>
      <c r="J810" t="str">
        <f t="shared" si="12"/>
        <v>Aşağı Risk</v>
      </c>
    </row>
    <row r="811" spans="1:10">
      <c r="A811">
        <v>1185</v>
      </c>
      <c r="B811">
        <v>664</v>
      </c>
      <c r="C811" t="str">
        <f>_xlfn.XLOOKUP(B811,raw_customers!A:A,raw_customers!B:B)</f>
        <v>Elşən İsmayılov</v>
      </c>
      <c r="D811" t="str">
        <f>_xlfn.XLOOKUP(C811,raw_customers!B:B,raw_customers!C:C)</f>
        <v>M</v>
      </c>
      <c r="E811" t="str">
        <f>_xlfn.XLOOKUP(C811,raw_customers!B:B,raw_customers!G:G)</f>
        <v>Retail</v>
      </c>
      <c r="F811" t="str">
        <f>_xlfn.XLOOKUP(_xlfn.XLOOKUP(B811,raw_customers!A:A,raw_customers!F:F),raw_branches!A:A,raw_branches!B:B)</f>
        <v>Ganja Branch</v>
      </c>
      <c r="G811" s="7">
        <v>2368.64</v>
      </c>
      <c r="H811" s="6">
        <v>19.53</v>
      </c>
      <c r="I811" t="s">
        <v>2377</v>
      </c>
      <c r="J811" t="str">
        <f t="shared" si="12"/>
        <v>Yüksək Risk</v>
      </c>
    </row>
    <row r="812" spans="1:10">
      <c r="A812">
        <v>1186</v>
      </c>
      <c r="B812">
        <v>791</v>
      </c>
      <c r="C812" t="str">
        <f>_xlfn.XLOOKUP(B812,raw_customers!A:A,raw_customers!B:B)</f>
        <v>Türkan Əliyev</v>
      </c>
      <c r="D812" t="str">
        <f>_xlfn.XLOOKUP(C812,raw_customers!B:B,raw_customers!C:C)</f>
        <v>F</v>
      </c>
      <c r="E812" t="str">
        <f>_xlfn.XLOOKUP(C812,raw_customers!B:B,raw_customers!G:G)</f>
        <v>Premium</v>
      </c>
      <c r="F812" t="str">
        <f>_xlfn.XLOOKUP(_xlfn.XLOOKUP(B812,raw_customers!A:A,raw_customers!F:F),raw_branches!A:A,raw_branches!B:B)</f>
        <v>Baku Central</v>
      </c>
      <c r="G812" s="7">
        <v>27046.23</v>
      </c>
      <c r="H812" s="6">
        <v>18.92</v>
      </c>
      <c r="I812" t="s">
        <v>2377</v>
      </c>
      <c r="J812" t="str">
        <f t="shared" si="12"/>
        <v>Yüksək Risk</v>
      </c>
    </row>
    <row r="813" spans="1:10">
      <c r="A813">
        <v>1187</v>
      </c>
      <c r="B813">
        <v>520</v>
      </c>
      <c r="C813" t="str">
        <f>_xlfn.XLOOKUP(B813,raw_customers!A:A,raw_customers!B:B)</f>
        <v>Anar Əliyev</v>
      </c>
      <c r="D813" t="str">
        <f>_xlfn.XLOOKUP(C813,raw_customers!B:B,raw_customers!C:C)</f>
        <v>M</v>
      </c>
      <c r="E813" t="str">
        <f>_xlfn.XLOOKUP(C813,raw_customers!B:B,raw_customers!G:G)</f>
        <v>Retail</v>
      </c>
      <c r="F813" t="str">
        <f>_xlfn.XLOOKUP(_xlfn.XLOOKUP(B813,raw_customers!A:A,raw_customers!F:F),raw_branches!A:A,raw_branches!B:B)</f>
        <v>Lankaran Branch</v>
      </c>
      <c r="G813" s="7">
        <v>38441.65</v>
      </c>
      <c r="H813" s="6">
        <v>21.1</v>
      </c>
      <c r="I813" t="s">
        <v>2393</v>
      </c>
      <c r="J813" t="str">
        <f t="shared" si="12"/>
        <v>Default (Batıq)</v>
      </c>
    </row>
    <row r="814" spans="1:10">
      <c r="A814">
        <v>1188</v>
      </c>
      <c r="B814">
        <v>81</v>
      </c>
      <c r="C814" t="str">
        <f>_xlfn.XLOOKUP(B814,raw_customers!A:A,raw_customers!B:B)</f>
        <v>Zaur Əzizov</v>
      </c>
      <c r="D814" t="str">
        <f>_xlfn.XLOOKUP(C814,raw_customers!B:B,raw_customers!C:C)</f>
        <v>M</v>
      </c>
      <c r="E814" t="str">
        <f>_xlfn.XLOOKUP(C814,raw_customers!B:B,raw_customers!G:G)</f>
        <v>Retail</v>
      </c>
      <c r="F814" t="str">
        <f>_xlfn.XLOOKUP(_xlfn.XLOOKUP(B814,raw_customers!A:A,raw_customers!F:F),raw_branches!A:A,raw_branches!B:B)</f>
        <v>Sumgait Branch</v>
      </c>
      <c r="G814" s="7">
        <v>117274.3</v>
      </c>
      <c r="H814" s="6">
        <v>5.82</v>
      </c>
      <c r="I814" t="s">
        <v>2383</v>
      </c>
      <c r="J814" t="str">
        <f t="shared" si="12"/>
        <v>Aşağı Risk</v>
      </c>
    </row>
    <row r="815" spans="1:10">
      <c r="A815">
        <v>1189</v>
      </c>
      <c r="B815">
        <v>502</v>
      </c>
      <c r="C815" t="str">
        <f>_xlfn.XLOOKUP(B815,raw_customers!A:A,raw_customers!B:B)</f>
        <v>Səbinə Nəbiyev</v>
      </c>
      <c r="D815" t="str">
        <f>_xlfn.XLOOKUP(C815,raw_customers!B:B,raw_customers!C:C)</f>
        <v>F</v>
      </c>
      <c r="E815" t="str">
        <f>_xlfn.XLOOKUP(C815,raw_customers!B:B,raw_customers!G:G)</f>
        <v>Retail</v>
      </c>
      <c r="F815" t="str">
        <f>_xlfn.XLOOKUP(_xlfn.XLOOKUP(B815,raw_customers!A:A,raw_customers!F:F),raw_branches!A:A,raw_branches!B:B)</f>
        <v>Ganja Branch</v>
      </c>
      <c r="G815" s="7">
        <v>39870.52</v>
      </c>
      <c r="H815" s="6">
        <v>5.61</v>
      </c>
      <c r="I815" t="s">
        <v>2377</v>
      </c>
      <c r="J815" t="str">
        <f t="shared" si="12"/>
        <v>Aşağı Risk</v>
      </c>
    </row>
    <row r="816" spans="1:10">
      <c r="A816">
        <v>1190</v>
      </c>
      <c r="B816">
        <v>225</v>
      </c>
      <c r="C816" t="str">
        <f>_xlfn.XLOOKUP(B816,raw_customers!A:A,raw_customers!B:B)</f>
        <v>Samir Əliyev</v>
      </c>
      <c r="D816" t="str">
        <f>_xlfn.XLOOKUP(C816,raw_customers!B:B,raw_customers!C:C)</f>
        <v>M</v>
      </c>
      <c r="E816" t="str">
        <f>_xlfn.XLOOKUP(C816,raw_customers!B:B,raw_customers!G:G)</f>
        <v>Premium</v>
      </c>
      <c r="F816" t="str">
        <f>_xlfn.XLOOKUP(_xlfn.XLOOKUP(B816,raw_customers!A:A,raw_customers!F:F),raw_branches!A:A,raw_branches!B:B)</f>
        <v>Sumgait Branch</v>
      </c>
      <c r="G816" s="7">
        <v>9364.83</v>
      </c>
      <c r="H816" s="6">
        <v>6.52</v>
      </c>
      <c r="I816" t="s">
        <v>2377</v>
      </c>
      <c r="J816" t="str">
        <f t="shared" si="12"/>
        <v>Aşağı Risk</v>
      </c>
    </row>
    <row r="817" spans="1:10">
      <c r="A817">
        <v>1191</v>
      </c>
      <c r="B817">
        <v>416</v>
      </c>
      <c r="C817" t="str">
        <f>_xlfn.XLOOKUP(B817,raw_customers!A:A,raw_customers!B:B)</f>
        <v>Ceyhun Həsənov</v>
      </c>
      <c r="D817" t="str">
        <f>_xlfn.XLOOKUP(C817,raw_customers!B:B,raw_customers!C:C)</f>
        <v>M</v>
      </c>
      <c r="E817" t="str">
        <f>_xlfn.XLOOKUP(C817,raw_customers!B:B,raw_customers!G:G)</f>
        <v>Retail</v>
      </c>
      <c r="F817" t="str">
        <f>_xlfn.XLOOKUP(_xlfn.XLOOKUP(B817,raw_customers!A:A,raw_customers!F:F),raw_branches!A:A,raw_branches!B:B)</f>
        <v>Sheki Branch</v>
      </c>
      <c r="G817" s="7">
        <v>9247.33</v>
      </c>
      <c r="H817" s="6">
        <v>18.22</v>
      </c>
      <c r="I817" t="s">
        <v>2377</v>
      </c>
      <c r="J817" t="str">
        <f t="shared" si="12"/>
        <v>Yüksək Risk</v>
      </c>
    </row>
    <row r="818" spans="1:10">
      <c r="A818">
        <v>1192</v>
      </c>
      <c r="B818">
        <v>744</v>
      </c>
      <c r="C818" t="str">
        <f>_xlfn.XLOOKUP(B818,raw_customers!A:A,raw_customers!B:B)</f>
        <v>Ramin Nəbiyev</v>
      </c>
      <c r="D818" t="str">
        <f>_xlfn.XLOOKUP(C818,raw_customers!B:B,raw_customers!C:C)</f>
        <v>M</v>
      </c>
      <c r="E818" t="str">
        <f>_xlfn.XLOOKUP(C818,raw_customers!B:B,raw_customers!G:G)</f>
        <v>Premium</v>
      </c>
      <c r="F818" t="str">
        <f>_xlfn.XLOOKUP(_xlfn.XLOOKUP(B818,raw_customers!A:A,raw_customers!F:F),raw_branches!A:A,raw_branches!B:B)</f>
        <v>Sumgait Branch</v>
      </c>
      <c r="G818" s="7">
        <v>35072.77</v>
      </c>
      <c r="H818" s="6">
        <v>20.36</v>
      </c>
      <c r="I818" t="s">
        <v>2377</v>
      </c>
      <c r="J818" t="str">
        <f t="shared" si="12"/>
        <v>Yüksək Risk</v>
      </c>
    </row>
    <row r="819" spans="1:10">
      <c r="A819">
        <v>1193</v>
      </c>
      <c r="B819">
        <v>639</v>
      </c>
      <c r="C819" t="str">
        <f>_xlfn.XLOOKUP(B819,raw_customers!A:A,raw_customers!B:B)</f>
        <v>Şəbnəm Hüseynov</v>
      </c>
      <c r="D819" t="str">
        <f>_xlfn.XLOOKUP(C819,raw_customers!B:B,raw_customers!C:C)</f>
        <v>F</v>
      </c>
      <c r="E819" t="str">
        <f>_xlfn.XLOOKUP(C819,raw_customers!B:B,raw_customers!G:G)</f>
        <v>Premium</v>
      </c>
      <c r="F819" t="str">
        <f>_xlfn.XLOOKUP(_xlfn.XLOOKUP(B819,raw_customers!A:A,raw_customers!F:F),raw_branches!A:A,raw_branches!B:B)</f>
        <v>Sumgait Branch</v>
      </c>
      <c r="G819" s="7">
        <v>3150.54</v>
      </c>
      <c r="H819" s="6">
        <v>17.39</v>
      </c>
      <c r="I819" t="s">
        <v>2393</v>
      </c>
      <c r="J819" t="str">
        <f t="shared" si="12"/>
        <v>Default (Batıq)</v>
      </c>
    </row>
    <row r="820" spans="1:10">
      <c r="A820">
        <v>1194</v>
      </c>
      <c r="B820">
        <v>63</v>
      </c>
      <c r="C820" t="str">
        <f>_xlfn.XLOOKUP(B820,raw_customers!A:A,raw_customers!B:B)</f>
        <v>Ceyhun Rəhimov</v>
      </c>
      <c r="D820" t="str">
        <f>_xlfn.XLOOKUP(C820,raw_customers!B:B,raw_customers!C:C)</f>
        <v>M</v>
      </c>
      <c r="E820" t="str">
        <f>_xlfn.XLOOKUP(C820,raw_customers!B:B,raw_customers!G:G)</f>
        <v>Retail</v>
      </c>
      <c r="F820" t="str">
        <f>_xlfn.XLOOKUP(_xlfn.XLOOKUP(B820,raw_customers!A:A,raw_customers!F:F),raw_branches!A:A,raw_branches!B:B)</f>
        <v>Sumgait Branch</v>
      </c>
      <c r="G820" s="7">
        <v>164571.85</v>
      </c>
      <c r="H820" s="6">
        <v>6.49</v>
      </c>
      <c r="I820" t="s">
        <v>2377</v>
      </c>
      <c r="J820" t="str">
        <f t="shared" si="12"/>
        <v>Aşağı Risk</v>
      </c>
    </row>
    <row r="821" spans="1:10">
      <c r="A821">
        <v>1195</v>
      </c>
      <c r="B821">
        <v>980</v>
      </c>
      <c r="C821" t="str">
        <f>_xlfn.XLOOKUP(B821,raw_customers!A:A,raw_customers!B:B)</f>
        <v>Türkan Rzayev</v>
      </c>
      <c r="D821" t="str">
        <f>_xlfn.XLOOKUP(C821,raw_customers!B:B,raw_customers!C:C)</f>
        <v>F</v>
      </c>
      <c r="E821" t="str">
        <f>_xlfn.XLOOKUP(C821,raw_customers!B:B,raw_customers!G:G)</f>
        <v>Retail</v>
      </c>
      <c r="F821" t="str">
        <f>_xlfn.XLOOKUP(_xlfn.XLOOKUP(B821,raw_customers!A:A,raw_customers!F:F),raw_branches!A:A,raw_branches!B:B)</f>
        <v>Mingachevir Branch</v>
      </c>
      <c r="G821" s="7">
        <v>82698.38</v>
      </c>
      <c r="H821" s="6">
        <v>14.1</v>
      </c>
      <c r="I821" t="s">
        <v>2377</v>
      </c>
      <c r="J821" t="str">
        <f t="shared" si="12"/>
        <v>Orta Risk</v>
      </c>
    </row>
    <row r="822" spans="1:10">
      <c r="A822">
        <v>1196</v>
      </c>
      <c r="B822">
        <v>245</v>
      </c>
      <c r="C822" t="str">
        <f>_xlfn.XLOOKUP(B822,raw_customers!A:A,raw_customers!B:B)</f>
        <v>Fərid Tağıyev</v>
      </c>
      <c r="D822" t="str">
        <f>_xlfn.XLOOKUP(C822,raw_customers!B:B,raw_customers!C:C)</f>
        <v>M</v>
      </c>
      <c r="E822" t="str">
        <f>_xlfn.XLOOKUP(C822,raw_customers!B:B,raw_customers!G:G)</f>
        <v>Retail</v>
      </c>
      <c r="F822" t="str">
        <f>_xlfn.XLOOKUP(_xlfn.XLOOKUP(B822,raw_customers!A:A,raw_customers!F:F),raw_branches!A:A,raw_branches!B:B)</f>
        <v>Sumgait Branch</v>
      </c>
      <c r="G822" s="7">
        <v>5501.88</v>
      </c>
      <c r="H822" s="6">
        <v>6.94</v>
      </c>
      <c r="I822" t="s">
        <v>2377</v>
      </c>
      <c r="J822" t="str">
        <f t="shared" si="12"/>
        <v>Aşağı Risk</v>
      </c>
    </row>
    <row r="823" spans="1:10">
      <c r="A823">
        <v>1197</v>
      </c>
      <c r="B823">
        <v>11</v>
      </c>
      <c r="C823" t="str">
        <f>_xlfn.XLOOKUP(B823,raw_customers!A:A,raw_customers!B:B)</f>
        <v>Elşən Sadıqov</v>
      </c>
      <c r="D823" t="str">
        <f>_xlfn.XLOOKUP(C823,raw_customers!B:B,raw_customers!C:C)</f>
        <v>M</v>
      </c>
      <c r="E823" t="str">
        <f>_xlfn.XLOOKUP(C823,raw_customers!B:B,raw_customers!G:G)</f>
        <v>Premium</v>
      </c>
      <c r="F823" t="str">
        <f>_xlfn.XLOOKUP(_xlfn.XLOOKUP(B823,raw_customers!A:A,raw_customers!F:F),raw_branches!A:A,raw_branches!B:B)</f>
        <v>Baku Yasamal</v>
      </c>
      <c r="G823" s="7">
        <v>80436.15</v>
      </c>
      <c r="H823" s="6">
        <v>12.04</v>
      </c>
      <c r="I823" t="s">
        <v>2377</v>
      </c>
      <c r="J823" t="str">
        <f t="shared" si="12"/>
        <v>Orta Risk</v>
      </c>
    </row>
    <row r="824" spans="1:10">
      <c r="A824">
        <v>1198</v>
      </c>
      <c r="B824">
        <v>929</v>
      </c>
      <c r="C824" t="str">
        <f>_xlfn.XLOOKUP(B824,raw_customers!A:A,raw_customers!B:B)</f>
        <v>Sevinc Musayev</v>
      </c>
      <c r="D824" t="str">
        <f>_xlfn.XLOOKUP(C824,raw_customers!B:B,raw_customers!C:C)</f>
        <v>F</v>
      </c>
      <c r="E824" t="str">
        <f>_xlfn.XLOOKUP(C824,raw_customers!B:B,raw_customers!G:G)</f>
        <v>Retail</v>
      </c>
      <c r="F824" t="str">
        <f>_xlfn.XLOOKUP(_xlfn.XLOOKUP(B824,raw_customers!A:A,raw_customers!F:F),raw_branches!A:A,raw_branches!B:B)</f>
        <v>Lankaran Branch</v>
      </c>
      <c r="G824" s="7">
        <v>2884.83</v>
      </c>
      <c r="H824" s="6">
        <v>16.08</v>
      </c>
      <c r="I824" t="s">
        <v>2377</v>
      </c>
      <c r="J824" t="str">
        <f t="shared" si="12"/>
        <v>Orta Risk</v>
      </c>
    </row>
    <row r="825" spans="1:10">
      <c r="A825">
        <v>1199</v>
      </c>
      <c r="B825">
        <v>105</v>
      </c>
      <c r="C825" t="str">
        <f>_xlfn.XLOOKUP(B825,raw_customers!A:A,raw_customers!B:B)</f>
        <v>Nigar Sadıqov</v>
      </c>
      <c r="D825" t="str">
        <f>_xlfn.XLOOKUP(C825,raw_customers!B:B,raw_customers!C:C)</f>
        <v>F</v>
      </c>
      <c r="E825" t="str">
        <f>_xlfn.XLOOKUP(C825,raw_customers!B:B,raw_customers!G:G)</f>
        <v>Retail</v>
      </c>
      <c r="F825" t="str">
        <f>_xlfn.XLOOKUP(_xlfn.XLOOKUP(B825,raw_customers!A:A,raw_customers!F:F),raw_branches!A:A,raw_branches!B:B)</f>
        <v>Mingachevir Branch</v>
      </c>
      <c r="G825" s="2">
        <v>11045</v>
      </c>
      <c r="H825" s="6">
        <v>9.72</v>
      </c>
      <c r="I825" t="s">
        <v>2393</v>
      </c>
      <c r="J825" t="str">
        <f t="shared" si="12"/>
        <v>Default (Batıq)</v>
      </c>
    </row>
    <row r="826" spans="1:10">
      <c r="A826">
        <v>1200</v>
      </c>
      <c r="B826">
        <v>466</v>
      </c>
      <c r="C826" t="str">
        <f>_xlfn.XLOOKUP(B826,raw_customers!A:A,raw_customers!B:B)</f>
        <v>Rüfət Orucov</v>
      </c>
      <c r="D826" t="str">
        <f>_xlfn.XLOOKUP(C826,raw_customers!B:B,raw_customers!C:C)</f>
        <v>M</v>
      </c>
      <c r="E826" t="str">
        <f>_xlfn.XLOOKUP(C826,raw_customers!B:B,raw_customers!G:G)</f>
        <v>SME</v>
      </c>
      <c r="F826" t="str">
        <f>_xlfn.XLOOKUP(_xlfn.XLOOKUP(B826,raw_customers!A:A,raw_customers!F:F),raw_branches!A:A,raw_branches!B:B)</f>
        <v>Baku Yasamal</v>
      </c>
      <c r="G826" s="7">
        <v>9279.05</v>
      </c>
      <c r="H826" s="6">
        <v>6.12</v>
      </c>
      <c r="I826" t="s">
        <v>2383</v>
      </c>
      <c r="J826" t="str">
        <f t="shared" si="12"/>
        <v>Aşağı Risk</v>
      </c>
    </row>
    <row r="827" spans="1:10">
      <c r="A827">
        <v>1201</v>
      </c>
      <c r="B827">
        <v>73</v>
      </c>
      <c r="C827" t="str">
        <f>_xlfn.XLOOKUP(B827,raw_customers!A:A,raw_customers!B:B)</f>
        <v>Səbinə Rəhimov</v>
      </c>
      <c r="D827" t="str">
        <f>_xlfn.XLOOKUP(C827,raw_customers!B:B,raw_customers!C:C)</f>
        <v>F</v>
      </c>
      <c r="E827" t="str">
        <f>_xlfn.XLOOKUP(C827,raw_customers!B:B,raw_customers!G:G)</f>
        <v>Premium</v>
      </c>
      <c r="F827" t="str">
        <f>_xlfn.XLOOKUP(_xlfn.XLOOKUP(B827,raw_customers!A:A,raw_customers!F:F),raw_branches!A:A,raw_branches!B:B)</f>
        <v>Sheki Branch</v>
      </c>
      <c r="G827" s="7">
        <v>49731.75</v>
      </c>
      <c r="H827" s="6">
        <v>13.53</v>
      </c>
      <c r="I827" t="s">
        <v>2377</v>
      </c>
      <c r="J827" t="str">
        <f t="shared" si="12"/>
        <v>Orta Risk</v>
      </c>
    </row>
    <row r="828" spans="1:10">
      <c r="A828">
        <v>1202</v>
      </c>
      <c r="B828">
        <v>908</v>
      </c>
      <c r="C828" t="str">
        <f>_xlfn.XLOOKUP(B828,raw_customers!A:A,raw_customers!B:B)</f>
        <v>Murad Nəbiyev</v>
      </c>
      <c r="D828" t="str">
        <f>_xlfn.XLOOKUP(C828,raw_customers!B:B,raw_customers!C:C)</f>
        <v>M</v>
      </c>
      <c r="E828" t="str">
        <f>_xlfn.XLOOKUP(C828,raw_customers!B:B,raw_customers!G:G)</f>
        <v>Retail</v>
      </c>
      <c r="F828" t="str">
        <f>_xlfn.XLOOKUP(_xlfn.XLOOKUP(B828,raw_customers!A:A,raw_customers!F:F),raw_branches!A:A,raw_branches!B:B)</f>
        <v>Ganja Branch</v>
      </c>
      <c r="G828" s="7">
        <v>27741.64</v>
      </c>
      <c r="H828" s="6">
        <v>8.18</v>
      </c>
      <c r="I828" t="s">
        <v>2377</v>
      </c>
      <c r="J828" t="str">
        <f t="shared" si="12"/>
        <v>Aşağı Risk</v>
      </c>
    </row>
    <row r="829" spans="1:10">
      <c r="A829">
        <v>1203</v>
      </c>
      <c r="B829">
        <v>350</v>
      </c>
      <c r="C829" t="str">
        <f>_xlfn.XLOOKUP(B829,raw_customers!A:A,raw_customers!B:B)</f>
        <v>Kənan Quliyev</v>
      </c>
      <c r="D829" t="str">
        <f>_xlfn.XLOOKUP(C829,raw_customers!B:B,raw_customers!C:C)</f>
        <v>M</v>
      </c>
      <c r="E829" t="str">
        <f>_xlfn.XLOOKUP(C829,raw_customers!B:B,raw_customers!G:G)</f>
        <v>Retail</v>
      </c>
      <c r="F829" t="str">
        <f>_xlfn.XLOOKUP(_xlfn.XLOOKUP(B829,raw_customers!A:A,raw_customers!F:F),raw_branches!A:A,raw_branches!B:B)</f>
        <v>Mingachevir Branch</v>
      </c>
      <c r="G829" s="7">
        <v>27893.46</v>
      </c>
      <c r="H829" s="6">
        <v>11.66</v>
      </c>
      <c r="I829" t="s">
        <v>2377</v>
      </c>
      <c r="J829" t="str">
        <f t="shared" si="12"/>
        <v>Aşağı Risk</v>
      </c>
    </row>
    <row r="830" spans="1:10">
      <c r="A830">
        <v>1204</v>
      </c>
      <c r="B830">
        <v>476</v>
      </c>
      <c r="C830" t="str">
        <f>_xlfn.XLOOKUP(B830,raw_customers!A:A,raw_customers!B:B)</f>
        <v>Səbinə Abbasov</v>
      </c>
      <c r="D830" t="str">
        <f>_xlfn.XLOOKUP(C830,raw_customers!B:B,raw_customers!C:C)</f>
        <v>F</v>
      </c>
      <c r="E830" t="str">
        <f>_xlfn.XLOOKUP(C830,raw_customers!B:B,raw_customers!G:G)</f>
        <v>Retail</v>
      </c>
      <c r="F830" t="str">
        <f>_xlfn.XLOOKUP(_xlfn.XLOOKUP(B830,raw_customers!A:A,raw_customers!F:F),raw_branches!A:A,raw_branches!B:B)</f>
        <v>Baku Yasamal</v>
      </c>
      <c r="G830" s="7">
        <v>9800.12</v>
      </c>
      <c r="H830" s="6">
        <v>13.16</v>
      </c>
      <c r="I830" t="s">
        <v>2383</v>
      </c>
      <c r="J830" t="str">
        <f t="shared" si="12"/>
        <v>Orta Risk</v>
      </c>
    </row>
    <row r="831" spans="1:10">
      <c r="A831">
        <v>1205</v>
      </c>
      <c r="B831">
        <v>550</v>
      </c>
      <c r="C831" t="str">
        <f>_xlfn.XLOOKUP(B831,raw_customers!A:A,raw_customers!B:B)</f>
        <v>Mehriban Musayev</v>
      </c>
      <c r="D831" t="str">
        <f>_xlfn.XLOOKUP(C831,raw_customers!B:B,raw_customers!C:C)</f>
        <v>F</v>
      </c>
      <c r="E831" t="str">
        <f>_xlfn.XLOOKUP(C831,raw_customers!B:B,raw_customers!G:G)</f>
        <v>Retail</v>
      </c>
      <c r="F831" t="str">
        <f>_xlfn.XLOOKUP(_xlfn.XLOOKUP(B831,raw_customers!A:A,raw_customers!F:F),raw_branches!A:A,raw_branches!B:B)</f>
        <v>Baku Central</v>
      </c>
      <c r="G831" s="7">
        <v>138727.68</v>
      </c>
      <c r="H831" s="6">
        <v>11.24</v>
      </c>
      <c r="I831" t="s">
        <v>2393</v>
      </c>
      <c r="J831" t="str">
        <f t="shared" si="12"/>
        <v>Default (Batıq)</v>
      </c>
    </row>
    <row r="832" spans="1:10">
      <c r="A832">
        <v>1206</v>
      </c>
      <c r="B832">
        <v>631</v>
      </c>
      <c r="C832" t="str">
        <f>_xlfn.XLOOKUP(B832,raw_customers!A:A,raw_customers!B:B)</f>
        <v>Orxan Hüseynov</v>
      </c>
      <c r="D832" t="str">
        <f>_xlfn.XLOOKUP(C832,raw_customers!B:B,raw_customers!C:C)</f>
        <v>M</v>
      </c>
      <c r="E832" t="str">
        <f>_xlfn.XLOOKUP(C832,raw_customers!B:B,raw_customers!G:G)</f>
        <v>Retail</v>
      </c>
      <c r="F832" t="str">
        <f>_xlfn.XLOOKUP(_xlfn.XLOOKUP(B832,raw_customers!A:A,raw_customers!F:F),raw_branches!A:A,raw_branches!B:B)</f>
        <v>Sheki Branch</v>
      </c>
      <c r="G832" s="7">
        <v>14233.44</v>
      </c>
      <c r="H832" s="6">
        <v>15.64</v>
      </c>
      <c r="I832" t="s">
        <v>2377</v>
      </c>
      <c r="J832" t="str">
        <f t="shared" si="12"/>
        <v>Orta Risk</v>
      </c>
    </row>
    <row r="833" spans="1:10">
      <c r="A833">
        <v>1207</v>
      </c>
      <c r="B833">
        <v>233</v>
      </c>
      <c r="C833" t="str">
        <f>_xlfn.XLOOKUP(B833,raw_customers!A:A,raw_customers!B:B)</f>
        <v>Vüqar Nəbiyev</v>
      </c>
      <c r="D833" t="str">
        <f>_xlfn.XLOOKUP(C833,raw_customers!B:B,raw_customers!C:C)</f>
        <v>M</v>
      </c>
      <c r="E833" t="str">
        <f>_xlfn.XLOOKUP(C833,raw_customers!B:B,raw_customers!G:G)</f>
        <v>SME</v>
      </c>
      <c r="F833" t="str">
        <f>_xlfn.XLOOKUP(_xlfn.XLOOKUP(B833,raw_customers!A:A,raw_customers!F:F),raw_branches!A:A,raw_branches!B:B)</f>
        <v>Baku Central</v>
      </c>
      <c r="G833" s="7">
        <v>59233.34</v>
      </c>
      <c r="H833" s="6">
        <v>8.99</v>
      </c>
      <c r="I833" t="s">
        <v>2377</v>
      </c>
      <c r="J833" t="str">
        <f t="shared" si="12"/>
        <v>Aşağı Risk</v>
      </c>
    </row>
    <row r="834" spans="1:10">
      <c r="A834">
        <v>1208</v>
      </c>
      <c r="B834">
        <v>549</v>
      </c>
      <c r="C834" t="str">
        <f>_xlfn.XLOOKUP(B834,raw_customers!A:A,raw_customers!B:B)</f>
        <v>Sevinc Sadıqov</v>
      </c>
      <c r="D834" t="str">
        <f>_xlfn.XLOOKUP(C834,raw_customers!B:B,raw_customers!C:C)</f>
        <v>F</v>
      </c>
      <c r="E834" t="str">
        <f>_xlfn.XLOOKUP(C834,raw_customers!B:B,raw_customers!G:G)</f>
        <v>Premium</v>
      </c>
      <c r="F834" t="str">
        <f>_xlfn.XLOOKUP(_xlfn.XLOOKUP(B834,raw_customers!A:A,raw_customers!F:F),raw_branches!A:A,raw_branches!B:B)</f>
        <v>Sumgait Branch</v>
      </c>
      <c r="G834" s="7">
        <v>17118.71</v>
      </c>
      <c r="H834" s="6">
        <v>21.69</v>
      </c>
      <c r="I834" t="s">
        <v>2377</v>
      </c>
      <c r="J834" t="str">
        <f t="shared" si="12"/>
        <v>Yüksək Risk</v>
      </c>
    </row>
    <row r="835" spans="1:10">
      <c r="A835">
        <v>1209</v>
      </c>
      <c r="B835">
        <v>618</v>
      </c>
      <c r="C835" t="str">
        <f>_xlfn.XLOOKUP(B835,raw_customers!A:A,raw_customers!B:B)</f>
        <v>Samir Cəfərov</v>
      </c>
      <c r="D835" t="str">
        <f>_xlfn.XLOOKUP(C835,raw_customers!B:B,raw_customers!C:C)</f>
        <v>M</v>
      </c>
      <c r="E835" t="str">
        <f>_xlfn.XLOOKUP(C835,raw_customers!B:B,raw_customers!G:G)</f>
        <v>Retail</v>
      </c>
      <c r="F835" t="str">
        <f>_xlfn.XLOOKUP(_xlfn.XLOOKUP(B835,raw_customers!A:A,raw_customers!F:F),raw_branches!A:A,raw_branches!B:B)</f>
        <v>Sumgait Branch</v>
      </c>
      <c r="G835" s="7">
        <v>39053.5</v>
      </c>
      <c r="H835" s="6">
        <v>21.35</v>
      </c>
      <c r="I835" t="s">
        <v>2393</v>
      </c>
      <c r="J835" t="str">
        <f t="shared" ref="J835:J898" si="13">IF(I835="Default","Default (Batıq)",IF(H835&gt;=18,"Yüksək Risk",IF(H835&gt;=12,"Orta Risk","Aşağı Risk")))</f>
        <v>Default (Batıq)</v>
      </c>
    </row>
    <row r="836" spans="1:10">
      <c r="A836">
        <v>1210</v>
      </c>
      <c r="B836">
        <v>845</v>
      </c>
      <c r="C836" t="str">
        <f>_xlfn.XLOOKUP(B836,raw_customers!A:A,raw_customers!B:B)</f>
        <v>Tural Novruzov</v>
      </c>
      <c r="D836" t="str">
        <f>_xlfn.XLOOKUP(C836,raw_customers!B:B,raw_customers!C:C)</f>
        <v>M</v>
      </c>
      <c r="E836" t="str">
        <f>_xlfn.XLOOKUP(C836,raw_customers!B:B,raw_customers!G:G)</f>
        <v>Retail</v>
      </c>
      <c r="F836" t="str">
        <f>_xlfn.XLOOKUP(_xlfn.XLOOKUP(B836,raw_customers!A:A,raw_customers!F:F),raw_branches!A:A,raw_branches!B:B)</f>
        <v>Mingachevir Branch</v>
      </c>
      <c r="G836" s="7">
        <v>30689.01</v>
      </c>
      <c r="H836" s="6">
        <v>11.99</v>
      </c>
      <c r="I836" t="s">
        <v>2377</v>
      </c>
      <c r="J836" t="str">
        <f t="shared" si="13"/>
        <v>Aşağı Risk</v>
      </c>
    </row>
    <row r="837" spans="1:10">
      <c r="A837">
        <v>1211</v>
      </c>
      <c r="B837">
        <v>269</v>
      </c>
      <c r="C837" t="str">
        <f>_xlfn.XLOOKUP(B837,raw_customers!A:A,raw_customers!B:B)</f>
        <v>Aysel Musayev</v>
      </c>
      <c r="D837" t="str">
        <f>_xlfn.XLOOKUP(C837,raw_customers!B:B,raw_customers!C:C)</f>
        <v>F</v>
      </c>
      <c r="E837" t="str">
        <f>_xlfn.XLOOKUP(C837,raw_customers!B:B,raw_customers!G:G)</f>
        <v>Premium</v>
      </c>
      <c r="F837" t="str">
        <f>_xlfn.XLOOKUP(_xlfn.XLOOKUP(B837,raw_customers!A:A,raw_customers!F:F),raw_branches!A:A,raw_branches!B:B)</f>
        <v>Baku Central</v>
      </c>
      <c r="G837" s="7">
        <v>23286.73</v>
      </c>
      <c r="H837" s="6">
        <v>21.94</v>
      </c>
      <c r="I837" t="s">
        <v>2377</v>
      </c>
      <c r="J837" t="str">
        <f t="shared" si="13"/>
        <v>Yüksək Risk</v>
      </c>
    </row>
    <row r="838" spans="1:10">
      <c r="A838">
        <v>1212</v>
      </c>
      <c r="B838">
        <v>199</v>
      </c>
      <c r="C838" t="str">
        <f>_xlfn.XLOOKUP(B838,raw_customers!A:A,raw_customers!B:B)</f>
        <v>Könül Həsənov</v>
      </c>
      <c r="D838" t="str">
        <f>_xlfn.XLOOKUP(C838,raw_customers!B:B,raw_customers!C:C)</f>
        <v>F</v>
      </c>
      <c r="E838" t="str">
        <f>_xlfn.XLOOKUP(C838,raw_customers!B:B,raw_customers!G:G)</f>
        <v>Premium</v>
      </c>
      <c r="F838" t="str">
        <f>_xlfn.XLOOKUP(_xlfn.XLOOKUP(B838,raw_customers!A:A,raw_customers!F:F),raw_branches!A:A,raw_branches!B:B)</f>
        <v>Lankaran Branch</v>
      </c>
      <c r="G838" s="7">
        <v>19163.96</v>
      </c>
      <c r="H838" s="6">
        <v>21.84</v>
      </c>
      <c r="I838" t="s">
        <v>2377</v>
      </c>
      <c r="J838" t="str">
        <f t="shared" si="13"/>
        <v>Yüksək Risk</v>
      </c>
    </row>
    <row r="839" spans="1:10">
      <c r="A839">
        <v>1213</v>
      </c>
      <c r="B839">
        <v>916</v>
      </c>
      <c r="C839" t="str">
        <f>_xlfn.XLOOKUP(B839,raw_customers!A:A,raw_customers!B:B)</f>
        <v>Zaur Əliyev</v>
      </c>
      <c r="D839" t="str">
        <f>_xlfn.XLOOKUP(C839,raw_customers!B:B,raw_customers!C:C)</f>
        <v>M</v>
      </c>
      <c r="E839" t="str">
        <f>_xlfn.XLOOKUP(C839,raw_customers!B:B,raw_customers!G:G)</f>
        <v>Retail</v>
      </c>
      <c r="F839" t="str">
        <f>_xlfn.XLOOKUP(_xlfn.XLOOKUP(B839,raw_customers!A:A,raw_customers!F:F),raw_branches!A:A,raw_branches!B:B)</f>
        <v>Sheki Branch</v>
      </c>
      <c r="G839" s="7">
        <v>26813.91</v>
      </c>
      <c r="H839" s="6">
        <v>20.48</v>
      </c>
      <c r="I839" t="s">
        <v>2377</v>
      </c>
      <c r="J839" t="str">
        <f t="shared" si="13"/>
        <v>Yüksək Risk</v>
      </c>
    </row>
    <row r="840" spans="1:10">
      <c r="A840">
        <v>1214</v>
      </c>
      <c r="B840">
        <v>973</v>
      </c>
      <c r="C840" t="str">
        <f>_xlfn.XLOOKUP(B840,raw_customers!A:A,raw_customers!B:B)</f>
        <v>Kənan Orucov</v>
      </c>
      <c r="D840" t="str">
        <f>_xlfn.XLOOKUP(C840,raw_customers!B:B,raw_customers!C:C)</f>
        <v>M</v>
      </c>
      <c r="E840" t="str">
        <f>_xlfn.XLOOKUP(C840,raw_customers!B:B,raw_customers!G:G)</f>
        <v>Retail</v>
      </c>
      <c r="F840" t="str">
        <f>_xlfn.XLOOKUP(_xlfn.XLOOKUP(B840,raw_customers!A:A,raw_customers!F:F),raw_branches!A:A,raw_branches!B:B)</f>
        <v>Sheki Branch</v>
      </c>
      <c r="G840" s="7">
        <v>14627.79</v>
      </c>
      <c r="H840" s="6">
        <v>13</v>
      </c>
      <c r="I840" t="s">
        <v>2393</v>
      </c>
      <c r="J840" t="str">
        <f t="shared" si="13"/>
        <v>Default (Batıq)</v>
      </c>
    </row>
    <row r="841" spans="1:10">
      <c r="A841">
        <v>1215</v>
      </c>
      <c r="B841">
        <v>776</v>
      </c>
      <c r="C841" t="str">
        <f>_xlfn.XLOOKUP(B841,raw_customers!A:A,raw_customers!B:B)</f>
        <v>Türkan İsmayılov</v>
      </c>
      <c r="D841" t="str">
        <f>_xlfn.XLOOKUP(C841,raw_customers!B:B,raw_customers!C:C)</f>
        <v>F</v>
      </c>
      <c r="E841" t="str">
        <f>_xlfn.XLOOKUP(C841,raw_customers!B:B,raw_customers!G:G)</f>
        <v>SME</v>
      </c>
      <c r="F841" t="str">
        <f>_xlfn.XLOOKUP(_xlfn.XLOOKUP(B841,raw_customers!A:A,raw_customers!F:F),raw_branches!A:A,raw_branches!B:B)</f>
        <v>Ganja Branch</v>
      </c>
      <c r="G841" s="7">
        <v>4323.97</v>
      </c>
      <c r="H841" s="6">
        <v>5.11</v>
      </c>
      <c r="I841" t="s">
        <v>2377</v>
      </c>
      <c r="J841" t="str">
        <f t="shared" si="13"/>
        <v>Aşağı Risk</v>
      </c>
    </row>
    <row r="842" spans="1:10">
      <c r="A842">
        <v>1216</v>
      </c>
      <c r="B842">
        <v>709</v>
      </c>
      <c r="C842" t="str">
        <f>_xlfn.XLOOKUP(B842,raw_customers!A:A,raw_customers!B:B)</f>
        <v>Vəfa Quliyev</v>
      </c>
      <c r="D842" t="str">
        <f>_xlfn.XLOOKUP(C842,raw_customers!B:B,raw_customers!C:C)</f>
        <v>F</v>
      </c>
      <c r="E842" t="str">
        <f>_xlfn.XLOOKUP(C842,raw_customers!B:B,raw_customers!G:G)</f>
        <v>Premium</v>
      </c>
      <c r="F842" t="str">
        <f>_xlfn.XLOOKUP(_xlfn.XLOOKUP(B842,raw_customers!A:A,raw_customers!F:F),raw_branches!A:A,raw_branches!B:B)</f>
        <v>Baku Central</v>
      </c>
      <c r="G842" s="7">
        <v>28347.36</v>
      </c>
      <c r="H842" s="6">
        <v>19.4</v>
      </c>
      <c r="I842" t="s">
        <v>2377</v>
      </c>
      <c r="J842" t="str">
        <f t="shared" si="13"/>
        <v>Yüksək Risk</v>
      </c>
    </row>
    <row r="843" spans="1:10">
      <c r="A843">
        <v>1217</v>
      </c>
      <c r="B843">
        <v>592</v>
      </c>
      <c r="C843" t="str">
        <f>_xlfn.XLOOKUP(B843,raw_customers!A:A,raw_customers!B:B)</f>
        <v>Murad Abbasov</v>
      </c>
      <c r="D843" t="str">
        <f>_xlfn.XLOOKUP(C843,raw_customers!B:B,raw_customers!C:C)</f>
        <v>M</v>
      </c>
      <c r="E843" t="str">
        <f>_xlfn.XLOOKUP(C843,raw_customers!B:B,raw_customers!G:G)</f>
        <v>SME</v>
      </c>
      <c r="F843" t="str">
        <f>_xlfn.XLOOKUP(_xlfn.XLOOKUP(B843,raw_customers!A:A,raw_customers!F:F),raw_branches!A:A,raw_branches!B:B)</f>
        <v>Sheki Branch</v>
      </c>
      <c r="G843" s="7">
        <v>105227.01</v>
      </c>
      <c r="H843" s="6">
        <v>5.94</v>
      </c>
      <c r="I843" t="s">
        <v>2383</v>
      </c>
      <c r="J843" t="str">
        <f t="shared" si="13"/>
        <v>Aşağı Risk</v>
      </c>
    </row>
    <row r="844" spans="1:10">
      <c r="A844">
        <v>1218</v>
      </c>
      <c r="B844">
        <v>999</v>
      </c>
      <c r="C844" t="str">
        <f>_xlfn.XLOOKUP(B844,raw_customers!A:A,raw_customers!B:B)</f>
        <v>Toğrul Məmmədov</v>
      </c>
      <c r="D844" t="str">
        <f>_xlfn.XLOOKUP(C844,raw_customers!B:B,raw_customers!C:C)</f>
        <v>M</v>
      </c>
      <c r="E844" t="str">
        <f>_xlfn.XLOOKUP(C844,raw_customers!B:B,raw_customers!G:G)</f>
        <v>Retail</v>
      </c>
      <c r="F844" t="str">
        <f>_xlfn.XLOOKUP(_xlfn.XLOOKUP(B844,raw_customers!A:A,raw_customers!F:F),raw_branches!A:A,raw_branches!B:B)</f>
        <v>Sheki Branch</v>
      </c>
      <c r="G844" s="7">
        <v>14574.66</v>
      </c>
      <c r="H844" s="6">
        <v>18.81</v>
      </c>
      <c r="I844" t="s">
        <v>2383</v>
      </c>
      <c r="J844" t="str">
        <f t="shared" si="13"/>
        <v>Yüksək Risk</v>
      </c>
    </row>
    <row r="845" spans="1:10">
      <c r="A845">
        <v>1219</v>
      </c>
      <c r="B845">
        <v>509</v>
      </c>
      <c r="C845" t="str">
        <f>_xlfn.XLOOKUP(B845,raw_customers!A:A,raw_customers!B:B)</f>
        <v>Nərgiz Rəhimov</v>
      </c>
      <c r="D845" t="str">
        <f>_xlfn.XLOOKUP(C845,raw_customers!B:B,raw_customers!C:C)</f>
        <v>F</v>
      </c>
      <c r="E845" t="str">
        <f>_xlfn.XLOOKUP(C845,raw_customers!B:B,raw_customers!G:G)</f>
        <v>Retail</v>
      </c>
      <c r="F845" t="str">
        <f>_xlfn.XLOOKUP(_xlfn.XLOOKUP(B845,raw_customers!A:A,raw_customers!F:F),raw_branches!A:A,raw_branches!B:B)</f>
        <v>Mingachevir Branch</v>
      </c>
      <c r="G845" s="7">
        <v>99051.25</v>
      </c>
      <c r="H845" s="6">
        <v>12.11</v>
      </c>
      <c r="I845" t="s">
        <v>2383</v>
      </c>
      <c r="J845" t="str">
        <f t="shared" si="13"/>
        <v>Orta Risk</v>
      </c>
    </row>
    <row r="846" spans="1:10">
      <c r="A846">
        <v>1220</v>
      </c>
      <c r="B846">
        <v>304</v>
      </c>
      <c r="C846" t="str">
        <f>_xlfn.XLOOKUP(B846,raw_customers!A:A,raw_customers!B:B)</f>
        <v>Emin Musayev</v>
      </c>
      <c r="D846" t="str">
        <f>_xlfn.XLOOKUP(C846,raw_customers!B:B,raw_customers!C:C)</f>
        <v>M</v>
      </c>
      <c r="E846" t="str">
        <f>_xlfn.XLOOKUP(C846,raw_customers!B:B,raw_customers!G:G)</f>
        <v>Premium</v>
      </c>
      <c r="F846" t="str">
        <f>_xlfn.XLOOKUP(_xlfn.XLOOKUP(B846,raw_customers!A:A,raw_customers!F:F),raw_branches!A:A,raw_branches!B:B)</f>
        <v>Baku Central</v>
      </c>
      <c r="G846" s="7">
        <v>73179.73</v>
      </c>
      <c r="H846" s="6">
        <v>10.11</v>
      </c>
      <c r="I846" t="s">
        <v>2377</v>
      </c>
      <c r="J846" t="str">
        <f t="shared" si="13"/>
        <v>Aşağı Risk</v>
      </c>
    </row>
    <row r="847" spans="1:10">
      <c r="A847">
        <v>1221</v>
      </c>
      <c r="B847">
        <v>254</v>
      </c>
      <c r="C847" t="str">
        <f>_xlfn.XLOOKUP(B847,raw_customers!A:A,raw_customers!B:B)</f>
        <v>Nicat Vəliyev</v>
      </c>
      <c r="D847" t="str">
        <f>_xlfn.XLOOKUP(C847,raw_customers!B:B,raw_customers!C:C)</f>
        <v>M</v>
      </c>
      <c r="E847" t="str">
        <f>_xlfn.XLOOKUP(C847,raw_customers!B:B,raw_customers!G:G)</f>
        <v>Retail</v>
      </c>
      <c r="F847" t="str">
        <f>_xlfn.XLOOKUP(_xlfn.XLOOKUP(B847,raw_customers!A:A,raw_customers!F:F),raw_branches!A:A,raw_branches!B:B)</f>
        <v>Baku Central</v>
      </c>
      <c r="G847" s="7">
        <v>134653.55</v>
      </c>
      <c r="H847" s="6">
        <v>10.81</v>
      </c>
      <c r="I847" t="s">
        <v>2377</v>
      </c>
      <c r="J847" t="str">
        <f t="shared" si="13"/>
        <v>Aşağı Risk</v>
      </c>
    </row>
    <row r="848" spans="1:10">
      <c r="A848">
        <v>1222</v>
      </c>
      <c r="B848">
        <v>690</v>
      </c>
      <c r="C848" t="str">
        <f>_xlfn.XLOOKUP(B848,raw_customers!A:A,raw_customers!B:B)</f>
        <v>Günel Rəhimov</v>
      </c>
      <c r="D848" t="str">
        <f>_xlfn.XLOOKUP(C848,raw_customers!B:B,raw_customers!C:C)</f>
        <v>F</v>
      </c>
      <c r="E848" t="str">
        <f>_xlfn.XLOOKUP(C848,raw_customers!B:B,raw_customers!G:G)</f>
        <v>SME</v>
      </c>
      <c r="F848" t="str">
        <f>_xlfn.XLOOKUP(_xlfn.XLOOKUP(B848,raw_customers!A:A,raw_customers!F:F),raw_branches!A:A,raw_branches!B:B)</f>
        <v>Baku Central</v>
      </c>
      <c r="G848" s="7">
        <v>18117.26</v>
      </c>
      <c r="H848" s="6">
        <v>21.38</v>
      </c>
      <c r="I848" t="s">
        <v>2393</v>
      </c>
      <c r="J848" t="str">
        <f t="shared" si="13"/>
        <v>Default (Batıq)</v>
      </c>
    </row>
    <row r="849" spans="1:10">
      <c r="A849">
        <v>1223</v>
      </c>
      <c r="B849">
        <v>12</v>
      </c>
      <c r="C849" t="str">
        <f>_xlfn.XLOOKUP(B849,raw_customers!A:A,raw_customers!B:B)</f>
        <v>Türkan Musayev</v>
      </c>
      <c r="D849" t="str">
        <f>_xlfn.XLOOKUP(C849,raw_customers!B:B,raw_customers!C:C)</f>
        <v>F</v>
      </c>
      <c r="E849" t="str">
        <f>_xlfn.XLOOKUP(C849,raw_customers!B:B,raw_customers!G:G)</f>
        <v>Retail</v>
      </c>
      <c r="F849" t="str">
        <f>_xlfn.XLOOKUP(_xlfn.XLOOKUP(B849,raw_customers!A:A,raw_customers!F:F),raw_branches!A:A,raw_branches!B:B)</f>
        <v>Sheki Branch</v>
      </c>
      <c r="G849" s="7">
        <v>9120.98</v>
      </c>
      <c r="H849" s="6">
        <v>5.92</v>
      </c>
      <c r="I849" t="s">
        <v>2377</v>
      </c>
      <c r="J849" t="str">
        <f t="shared" si="13"/>
        <v>Aşağı Risk</v>
      </c>
    </row>
    <row r="850" spans="1:10">
      <c r="A850">
        <v>1224</v>
      </c>
      <c r="B850">
        <v>308</v>
      </c>
      <c r="C850" t="str">
        <f>_xlfn.XLOOKUP(B850,raw_customers!A:A,raw_customers!B:B)</f>
        <v>Anar Hüseynov</v>
      </c>
      <c r="D850" t="str">
        <f>_xlfn.XLOOKUP(C850,raw_customers!B:B,raw_customers!C:C)</f>
        <v>M</v>
      </c>
      <c r="E850" t="str">
        <f>_xlfn.XLOOKUP(C850,raw_customers!B:B,raw_customers!G:G)</f>
        <v>Retail</v>
      </c>
      <c r="F850" t="str">
        <f>_xlfn.XLOOKUP(_xlfn.XLOOKUP(B850,raw_customers!A:A,raw_customers!F:F),raw_branches!A:A,raw_branches!B:B)</f>
        <v>Sheki Branch</v>
      </c>
      <c r="G850" s="7">
        <v>26307.93</v>
      </c>
      <c r="H850" s="6">
        <v>15.97</v>
      </c>
      <c r="I850" t="s">
        <v>2383</v>
      </c>
      <c r="J850" t="str">
        <f t="shared" si="13"/>
        <v>Orta Risk</v>
      </c>
    </row>
    <row r="851" spans="1:10">
      <c r="A851">
        <v>1225</v>
      </c>
      <c r="B851">
        <v>589</v>
      </c>
      <c r="C851" t="str">
        <f>_xlfn.XLOOKUP(B851,raw_customers!A:A,raw_customers!B:B)</f>
        <v>Fidan Vəliyev</v>
      </c>
      <c r="D851" t="str">
        <f>_xlfn.XLOOKUP(C851,raw_customers!B:B,raw_customers!C:C)</f>
        <v>F</v>
      </c>
      <c r="E851" t="str">
        <f>_xlfn.XLOOKUP(C851,raw_customers!B:B,raw_customers!G:G)</f>
        <v>SME</v>
      </c>
      <c r="F851" t="str">
        <f>_xlfn.XLOOKUP(_xlfn.XLOOKUP(B851,raw_customers!A:A,raw_customers!F:F),raw_branches!A:A,raw_branches!B:B)</f>
        <v>Baku Central</v>
      </c>
      <c r="G851" s="7">
        <v>5842.47</v>
      </c>
      <c r="H851" s="6">
        <v>10.29</v>
      </c>
      <c r="I851" t="s">
        <v>2377</v>
      </c>
      <c r="J851" t="str">
        <f t="shared" si="13"/>
        <v>Aşağı Risk</v>
      </c>
    </row>
    <row r="852" spans="1:10">
      <c r="A852">
        <v>1226</v>
      </c>
      <c r="B852">
        <v>817</v>
      </c>
      <c r="C852" t="str">
        <f>_xlfn.XLOOKUP(B852,raw_customers!A:A,raw_customers!B:B)</f>
        <v>Murad Sadıqov</v>
      </c>
      <c r="D852" t="str">
        <f>_xlfn.XLOOKUP(C852,raw_customers!B:B,raw_customers!C:C)</f>
        <v>M</v>
      </c>
      <c r="E852" t="str">
        <f>_xlfn.XLOOKUP(C852,raw_customers!B:B,raw_customers!G:G)</f>
        <v>Premium</v>
      </c>
      <c r="F852" t="str">
        <f>_xlfn.XLOOKUP(_xlfn.XLOOKUP(B852,raw_customers!A:A,raw_customers!F:F),raw_branches!A:A,raw_branches!B:B)</f>
        <v>Lankaran Branch</v>
      </c>
      <c r="G852" s="7">
        <v>16792.38</v>
      </c>
      <c r="H852" s="6">
        <v>16.2</v>
      </c>
      <c r="I852" t="s">
        <v>2377</v>
      </c>
      <c r="J852" t="str">
        <f t="shared" si="13"/>
        <v>Orta Risk</v>
      </c>
    </row>
    <row r="853" spans="1:10">
      <c r="A853">
        <v>1227</v>
      </c>
      <c r="B853">
        <v>333</v>
      </c>
      <c r="C853" t="str">
        <f>_xlfn.XLOOKUP(B853,raw_customers!A:A,raw_customers!B:B)</f>
        <v>Nərmin Rzayev</v>
      </c>
      <c r="D853" t="str">
        <f>_xlfn.XLOOKUP(C853,raw_customers!B:B,raw_customers!C:C)</f>
        <v>F</v>
      </c>
      <c r="E853" t="str">
        <f>_xlfn.XLOOKUP(C853,raw_customers!B:B,raw_customers!G:G)</f>
        <v>Premium</v>
      </c>
      <c r="F853" t="str">
        <f>_xlfn.XLOOKUP(_xlfn.XLOOKUP(B853,raw_customers!A:A,raw_customers!F:F),raw_branches!A:A,raw_branches!B:B)</f>
        <v>Mingachevir Branch</v>
      </c>
      <c r="G853" s="7">
        <v>80933.46</v>
      </c>
      <c r="H853" s="6">
        <v>6.92</v>
      </c>
      <c r="I853" t="s">
        <v>2377</v>
      </c>
      <c r="J853" t="str">
        <f t="shared" si="13"/>
        <v>Aşağı Risk</v>
      </c>
    </row>
    <row r="854" spans="1:10">
      <c r="A854">
        <v>1228</v>
      </c>
      <c r="B854">
        <v>477</v>
      </c>
      <c r="C854" t="str">
        <f>_xlfn.XLOOKUP(B854,raw_customers!A:A,raw_customers!B:B)</f>
        <v>Leyla Musayev</v>
      </c>
      <c r="D854" t="str">
        <f>_xlfn.XLOOKUP(C854,raw_customers!B:B,raw_customers!C:C)</f>
        <v>F</v>
      </c>
      <c r="E854" t="str">
        <f>_xlfn.XLOOKUP(C854,raw_customers!B:B,raw_customers!G:G)</f>
        <v>Retail</v>
      </c>
      <c r="F854" t="str">
        <f>_xlfn.XLOOKUP(_xlfn.XLOOKUP(B854,raw_customers!A:A,raw_customers!F:F),raw_branches!A:A,raw_branches!B:B)</f>
        <v>Baku Central</v>
      </c>
      <c r="G854" s="7">
        <v>64608.91</v>
      </c>
      <c r="H854" s="6">
        <v>14.4</v>
      </c>
      <c r="I854" t="s">
        <v>2383</v>
      </c>
      <c r="J854" t="str">
        <f t="shared" si="13"/>
        <v>Orta Risk</v>
      </c>
    </row>
    <row r="855" spans="1:10">
      <c r="A855">
        <v>1229</v>
      </c>
      <c r="B855">
        <v>600</v>
      </c>
      <c r="C855" t="str">
        <f>_xlfn.XLOOKUP(B855,raw_customers!A:A,raw_customers!B:B)</f>
        <v>Samir Musayev</v>
      </c>
      <c r="D855" t="str">
        <f>_xlfn.XLOOKUP(C855,raw_customers!B:B,raw_customers!C:C)</f>
        <v>M</v>
      </c>
      <c r="E855" t="str">
        <f>_xlfn.XLOOKUP(C855,raw_customers!B:B,raw_customers!G:G)</f>
        <v>Premium</v>
      </c>
      <c r="F855" t="str">
        <f>_xlfn.XLOOKUP(_xlfn.XLOOKUP(B855,raw_customers!A:A,raw_customers!F:F),raw_branches!A:A,raw_branches!B:B)</f>
        <v>Ganja Branch</v>
      </c>
      <c r="G855" s="7">
        <v>5991.42</v>
      </c>
      <c r="H855" s="6">
        <v>13.56</v>
      </c>
      <c r="I855" t="s">
        <v>2393</v>
      </c>
      <c r="J855" t="str">
        <f t="shared" si="13"/>
        <v>Default (Batıq)</v>
      </c>
    </row>
    <row r="856" spans="1:10">
      <c r="A856">
        <v>1230</v>
      </c>
      <c r="B856">
        <v>829</v>
      </c>
      <c r="C856" t="str">
        <f>_xlfn.XLOOKUP(B856,raw_customers!A:A,raw_customers!B:B)</f>
        <v>Günel Quliyev</v>
      </c>
      <c r="D856" t="str">
        <f>_xlfn.XLOOKUP(C856,raw_customers!B:B,raw_customers!C:C)</f>
        <v>F</v>
      </c>
      <c r="E856" t="str">
        <f>_xlfn.XLOOKUP(C856,raw_customers!B:B,raw_customers!G:G)</f>
        <v>Retail</v>
      </c>
      <c r="F856" t="str">
        <f>_xlfn.XLOOKUP(_xlfn.XLOOKUP(B856,raw_customers!A:A,raw_customers!F:F),raw_branches!A:A,raw_branches!B:B)</f>
        <v>Baku Yasamal</v>
      </c>
      <c r="G856" s="7">
        <v>5337.09</v>
      </c>
      <c r="H856" s="6">
        <v>17.12</v>
      </c>
      <c r="I856" t="s">
        <v>2383</v>
      </c>
      <c r="J856" t="str">
        <f t="shared" si="13"/>
        <v>Orta Risk</v>
      </c>
    </row>
    <row r="857" spans="1:10">
      <c r="A857">
        <v>1231</v>
      </c>
      <c r="B857">
        <v>264</v>
      </c>
      <c r="C857" t="str">
        <f>_xlfn.XLOOKUP(B857,raw_customers!A:A,raw_customers!B:B)</f>
        <v>Fərid Quliyev</v>
      </c>
      <c r="D857" t="str">
        <f>_xlfn.XLOOKUP(C857,raw_customers!B:B,raw_customers!C:C)</f>
        <v>M</v>
      </c>
      <c r="E857" t="str">
        <f>_xlfn.XLOOKUP(C857,raw_customers!B:B,raw_customers!G:G)</f>
        <v>Retail</v>
      </c>
      <c r="F857" t="str">
        <f>_xlfn.XLOOKUP(_xlfn.XLOOKUP(B857,raw_customers!A:A,raw_customers!F:F),raw_branches!A:A,raw_branches!B:B)</f>
        <v>Ganja Branch</v>
      </c>
      <c r="G857" s="7">
        <v>7994.88</v>
      </c>
      <c r="H857" s="6">
        <v>17.43</v>
      </c>
      <c r="I857" t="s">
        <v>2377</v>
      </c>
      <c r="J857" t="str">
        <f t="shared" si="13"/>
        <v>Orta Risk</v>
      </c>
    </row>
    <row r="858" spans="1:10">
      <c r="A858">
        <v>1232</v>
      </c>
      <c r="B858">
        <v>150</v>
      </c>
      <c r="C858" t="str">
        <f>_xlfn.XLOOKUP(B858,raw_customers!A:A,raw_customers!B:B)</f>
        <v>Orxan Kərimov</v>
      </c>
      <c r="D858" t="str">
        <f>_xlfn.XLOOKUP(C858,raw_customers!B:B,raw_customers!C:C)</f>
        <v>M</v>
      </c>
      <c r="E858" t="str">
        <f>_xlfn.XLOOKUP(C858,raw_customers!B:B,raw_customers!G:G)</f>
        <v>Premium</v>
      </c>
      <c r="F858" t="str">
        <f>_xlfn.XLOOKUP(_xlfn.XLOOKUP(B858,raw_customers!A:A,raw_customers!F:F),raw_branches!A:A,raw_branches!B:B)</f>
        <v>Baku Yasamal</v>
      </c>
      <c r="G858" s="7">
        <v>30363.04</v>
      </c>
      <c r="H858" s="6">
        <v>10.07</v>
      </c>
      <c r="I858" t="s">
        <v>2377</v>
      </c>
      <c r="J858" t="str">
        <f t="shared" si="13"/>
        <v>Aşağı Risk</v>
      </c>
    </row>
    <row r="859" spans="1:10">
      <c r="A859">
        <v>1233</v>
      </c>
      <c r="B859">
        <v>157</v>
      </c>
      <c r="C859" t="str">
        <f>_xlfn.XLOOKUP(B859,raw_customers!A:A,raw_customers!B:B)</f>
        <v>Leyla Abbasov</v>
      </c>
      <c r="D859" t="str">
        <f>_xlfn.XLOOKUP(C859,raw_customers!B:B,raw_customers!C:C)</f>
        <v>F</v>
      </c>
      <c r="E859" t="str">
        <f>_xlfn.XLOOKUP(C859,raw_customers!B:B,raw_customers!G:G)</f>
        <v>Retail</v>
      </c>
      <c r="F859" t="str">
        <f>_xlfn.XLOOKUP(_xlfn.XLOOKUP(B859,raw_customers!A:A,raw_customers!F:F),raw_branches!A:A,raw_branches!B:B)</f>
        <v>Ganja Branch</v>
      </c>
      <c r="G859" s="7">
        <v>13641.19</v>
      </c>
      <c r="H859" s="6">
        <v>10.1</v>
      </c>
      <c r="I859" t="s">
        <v>2377</v>
      </c>
      <c r="J859" t="str">
        <f t="shared" si="13"/>
        <v>Aşağı Risk</v>
      </c>
    </row>
    <row r="860" spans="1:10">
      <c r="A860">
        <v>1234</v>
      </c>
      <c r="B860">
        <v>143</v>
      </c>
      <c r="C860" t="str">
        <f>_xlfn.XLOOKUP(B860,raw_customers!A:A,raw_customers!B:B)</f>
        <v>Vüqar Hüseynov</v>
      </c>
      <c r="D860" t="str">
        <f>_xlfn.XLOOKUP(C860,raw_customers!B:B,raw_customers!C:C)</f>
        <v>M</v>
      </c>
      <c r="E860" t="str">
        <f>_xlfn.XLOOKUP(C860,raw_customers!B:B,raw_customers!G:G)</f>
        <v>Retail</v>
      </c>
      <c r="F860" t="str">
        <f>_xlfn.XLOOKUP(_xlfn.XLOOKUP(B860,raw_customers!A:A,raw_customers!F:F),raw_branches!A:A,raw_branches!B:B)</f>
        <v>Ganja Branch</v>
      </c>
      <c r="G860" s="7">
        <v>5243.87</v>
      </c>
      <c r="H860" s="6">
        <v>6.16</v>
      </c>
      <c r="I860" t="s">
        <v>2383</v>
      </c>
      <c r="J860" t="str">
        <f t="shared" si="13"/>
        <v>Aşağı Risk</v>
      </c>
    </row>
    <row r="861" spans="1:10">
      <c r="A861">
        <v>1235</v>
      </c>
      <c r="B861">
        <v>935</v>
      </c>
      <c r="C861" t="str">
        <f>_xlfn.XLOOKUP(B861,raw_customers!A:A,raw_customers!B:B)</f>
        <v>Rüfət Sadıqov</v>
      </c>
      <c r="D861" t="str">
        <f>_xlfn.XLOOKUP(C861,raw_customers!B:B,raw_customers!C:C)</f>
        <v>M</v>
      </c>
      <c r="E861" t="str">
        <f>_xlfn.XLOOKUP(C861,raw_customers!B:B,raw_customers!G:G)</f>
        <v>SME</v>
      </c>
      <c r="F861" t="str">
        <f>_xlfn.XLOOKUP(_xlfn.XLOOKUP(B861,raw_customers!A:A,raw_customers!F:F),raw_branches!A:A,raw_branches!B:B)</f>
        <v>Baku Central</v>
      </c>
      <c r="G861" s="7">
        <v>39234.36</v>
      </c>
      <c r="H861" s="6">
        <v>19.09</v>
      </c>
      <c r="I861" t="s">
        <v>2377</v>
      </c>
      <c r="J861" t="str">
        <f t="shared" si="13"/>
        <v>Yüksək Risk</v>
      </c>
    </row>
    <row r="862" spans="1:10">
      <c r="A862">
        <v>1236</v>
      </c>
      <c r="B862">
        <v>889</v>
      </c>
      <c r="C862" t="str">
        <f>_xlfn.XLOOKUP(B862,raw_customers!A:A,raw_customers!B:B)</f>
        <v>Orxan Hüseynov</v>
      </c>
      <c r="D862" t="str">
        <f>_xlfn.XLOOKUP(C862,raw_customers!B:B,raw_customers!C:C)</f>
        <v>M</v>
      </c>
      <c r="E862" t="str">
        <f>_xlfn.XLOOKUP(C862,raw_customers!B:B,raw_customers!G:G)</f>
        <v>Retail</v>
      </c>
      <c r="F862" t="str">
        <f>_xlfn.XLOOKUP(_xlfn.XLOOKUP(B862,raw_customers!A:A,raw_customers!F:F),raw_branches!A:A,raw_branches!B:B)</f>
        <v>Ganja Branch</v>
      </c>
      <c r="G862" s="7">
        <v>5909.87</v>
      </c>
      <c r="H862" s="6">
        <v>14.47</v>
      </c>
      <c r="I862" t="s">
        <v>2377</v>
      </c>
      <c r="J862" t="str">
        <f t="shared" si="13"/>
        <v>Orta Risk</v>
      </c>
    </row>
    <row r="863" spans="1:10">
      <c r="A863">
        <v>1237</v>
      </c>
      <c r="B863">
        <v>121</v>
      </c>
      <c r="C863" t="str">
        <f>_xlfn.XLOOKUP(B863,raw_customers!A:A,raw_customers!B:B)</f>
        <v>Səbinə Orucov</v>
      </c>
      <c r="D863" t="str">
        <f>_xlfn.XLOOKUP(C863,raw_customers!B:B,raw_customers!C:C)</f>
        <v>F</v>
      </c>
      <c r="E863" t="str">
        <f>_xlfn.XLOOKUP(C863,raw_customers!B:B,raw_customers!G:G)</f>
        <v>Retail</v>
      </c>
      <c r="F863" t="str">
        <f>_xlfn.XLOOKUP(_xlfn.XLOOKUP(B863,raw_customers!A:A,raw_customers!F:F),raw_branches!A:A,raw_branches!B:B)</f>
        <v>Baku Central</v>
      </c>
      <c r="G863" s="7">
        <v>7165.33</v>
      </c>
      <c r="H863" s="6">
        <v>10.49</v>
      </c>
      <c r="I863" t="s">
        <v>2377</v>
      </c>
      <c r="J863" t="str">
        <f t="shared" si="13"/>
        <v>Aşağı Risk</v>
      </c>
    </row>
    <row r="864" spans="1:10">
      <c r="A864">
        <v>1238</v>
      </c>
      <c r="B864">
        <v>406</v>
      </c>
      <c r="C864" t="str">
        <f>_xlfn.XLOOKUP(B864,raw_customers!A:A,raw_customers!B:B)</f>
        <v>Nərmin Novruzov</v>
      </c>
      <c r="D864" t="str">
        <f>_xlfn.XLOOKUP(C864,raw_customers!B:B,raw_customers!C:C)</f>
        <v>F</v>
      </c>
      <c r="E864" t="str">
        <f>_xlfn.XLOOKUP(C864,raw_customers!B:B,raw_customers!G:G)</f>
        <v>SME</v>
      </c>
      <c r="F864" t="str">
        <f>_xlfn.XLOOKUP(_xlfn.XLOOKUP(B864,raw_customers!A:A,raw_customers!F:F),raw_branches!A:A,raw_branches!B:B)</f>
        <v>Sheki Branch</v>
      </c>
      <c r="G864" s="7">
        <v>14985.84</v>
      </c>
      <c r="H864" s="6">
        <v>18.59</v>
      </c>
      <c r="I864" t="s">
        <v>2377</v>
      </c>
      <c r="J864" t="str">
        <f t="shared" si="13"/>
        <v>Yüksək Risk</v>
      </c>
    </row>
    <row r="865" spans="1:10">
      <c r="A865">
        <v>1239</v>
      </c>
      <c r="B865">
        <v>350</v>
      </c>
      <c r="C865" t="str">
        <f>_xlfn.XLOOKUP(B865,raw_customers!A:A,raw_customers!B:B)</f>
        <v>Kənan Quliyev</v>
      </c>
      <c r="D865" t="str">
        <f>_xlfn.XLOOKUP(C865,raw_customers!B:B,raw_customers!C:C)</f>
        <v>M</v>
      </c>
      <c r="E865" t="str">
        <f>_xlfn.XLOOKUP(C865,raw_customers!B:B,raw_customers!G:G)</f>
        <v>Retail</v>
      </c>
      <c r="F865" t="str">
        <f>_xlfn.XLOOKUP(_xlfn.XLOOKUP(B865,raw_customers!A:A,raw_customers!F:F),raw_branches!A:A,raw_branches!B:B)</f>
        <v>Mingachevir Branch</v>
      </c>
      <c r="G865" s="7">
        <v>27637.47</v>
      </c>
      <c r="H865" s="6">
        <v>5.75</v>
      </c>
      <c r="I865" t="s">
        <v>2377</v>
      </c>
      <c r="J865" t="str">
        <f t="shared" si="13"/>
        <v>Aşağı Risk</v>
      </c>
    </row>
    <row r="866" spans="1:10">
      <c r="A866">
        <v>1240</v>
      </c>
      <c r="B866">
        <v>143</v>
      </c>
      <c r="C866" t="str">
        <f>_xlfn.XLOOKUP(B866,raw_customers!A:A,raw_customers!B:B)</f>
        <v>Vüqar Hüseynov</v>
      </c>
      <c r="D866" t="str">
        <f>_xlfn.XLOOKUP(C866,raw_customers!B:B,raw_customers!C:C)</f>
        <v>M</v>
      </c>
      <c r="E866" t="str">
        <f>_xlfn.XLOOKUP(C866,raw_customers!B:B,raw_customers!G:G)</f>
        <v>Retail</v>
      </c>
      <c r="F866" t="str">
        <f>_xlfn.XLOOKUP(_xlfn.XLOOKUP(B866,raw_customers!A:A,raw_customers!F:F),raw_branches!A:A,raw_branches!B:B)</f>
        <v>Ganja Branch</v>
      </c>
      <c r="G866" s="7">
        <v>34888.31</v>
      </c>
      <c r="H866" s="6">
        <v>20.24</v>
      </c>
      <c r="I866" t="s">
        <v>2377</v>
      </c>
      <c r="J866" t="str">
        <f t="shared" si="13"/>
        <v>Yüksək Risk</v>
      </c>
    </row>
    <row r="867" spans="1:10">
      <c r="A867">
        <v>1241</v>
      </c>
      <c r="B867">
        <v>659</v>
      </c>
      <c r="C867" t="str">
        <f>_xlfn.XLOOKUP(B867,raw_customers!A:A,raw_customers!B:B)</f>
        <v>Lalə Rzayev</v>
      </c>
      <c r="D867" t="str">
        <f>_xlfn.XLOOKUP(C867,raw_customers!B:B,raw_customers!C:C)</f>
        <v>F</v>
      </c>
      <c r="E867" t="str">
        <f>_xlfn.XLOOKUP(C867,raw_customers!B:B,raw_customers!G:G)</f>
        <v>Retail</v>
      </c>
      <c r="F867" t="str">
        <f>_xlfn.XLOOKUP(_xlfn.XLOOKUP(B867,raw_customers!A:A,raw_customers!F:F),raw_branches!A:A,raw_branches!B:B)</f>
        <v>Baku Yasamal</v>
      </c>
      <c r="G867" s="7">
        <v>18971.99</v>
      </c>
      <c r="H867" s="6">
        <v>5.31</v>
      </c>
      <c r="I867" t="s">
        <v>2383</v>
      </c>
      <c r="J867" t="str">
        <f t="shared" si="13"/>
        <v>Aşağı Risk</v>
      </c>
    </row>
    <row r="868" spans="1:10">
      <c r="A868">
        <v>1242</v>
      </c>
      <c r="B868">
        <v>341</v>
      </c>
      <c r="C868" t="str">
        <f>_xlfn.XLOOKUP(B868,raw_customers!A:A,raw_customers!B:B)</f>
        <v>Kamran Abbasov</v>
      </c>
      <c r="D868" t="str">
        <f>_xlfn.XLOOKUP(C868,raw_customers!B:B,raw_customers!C:C)</f>
        <v>M</v>
      </c>
      <c r="E868" t="str">
        <f>_xlfn.XLOOKUP(C868,raw_customers!B:B,raw_customers!G:G)</f>
        <v>Retail</v>
      </c>
      <c r="F868" t="str">
        <f>_xlfn.XLOOKUP(_xlfn.XLOOKUP(B868,raw_customers!A:A,raw_customers!F:F),raw_branches!A:A,raw_branches!B:B)</f>
        <v>Baku Yasamal</v>
      </c>
      <c r="G868" s="7">
        <v>146758.09</v>
      </c>
      <c r="H868" s="6">
        <v>15.68</v>
      </c>
      <c r="I868" t="s">
        <v>2377</v>
      </c>
      <c r="J868" t="str">
        <f t="shared" si="13"/>
        <v>Orta Risk</v>
      </c>
    </row>
    <row r="869" spans="1:10">
      <c r="A869">
        <v>1243</v>
      </c>
      <c r="B869">
        <v>349</v>
      </c>
      <c r="C869" t="str">
        <f>_xlfn.XLOOKUP(B869,raw_customers!A:A,raw_customers!B:B)</f>
        <v>Elvin Cəfərov</v>
      </c>
      <c r="D869" t="str">
        <f>_xlfn.XLOOKUP(C869,raw_customers!B:B,raw_customers!C:C)</f>
        <v>M</v>
      </c>
      <c r="E869" t="str">
        <f>_xlfn.XLOOKUP(C869,raw_customers!B:B,raw_customers!G:G)</f>
        <v>Retail</v>
      </c>
      <c r="F869" t="str">
        <f>_xlfn.XLOOKUP(_xlfn.XLOOKUP(B869,raw_customers!A:A,raw_customers!F:F),raw_branches!A:A,raw_branches!B:B)</f>
        <v>Sheki Branch</v>
      </c>
      <c r="G869" s="7">
        <v>68785.86</v>
      </c>
      <c r="H869" s="6">
        <v>19.63</v>
      </c>
      <c r="I869" t="s">
        <v>2377</v>
      </c>
      <c r="J869" t="str">
        <f t="shared" si="13"/>
        <v>Yüksək Risk</v>
      </c>
    </row>
    <row r="870" spans="1:10">
      <c r="A870">
        <v>1244</v>
      </c>
      <c r="B870">
        <v>773</v>
      </c>
      <c r="C870" t="str">
        <f>_xlfn.XLOOKUP(B870,raw_customers!A:A,raw_customers!B:B)</f>
        <v>Ceyhun Rəhimov</v>
      </c>
      <c r="D870" t="str">
        <f>_xlfn.XLOOKUP(C870,raw_customers!B:B,raw_customers!C:C)</f>
        <v>M</v>
      </c>
      <c r="E870" t="str">
        <f>_xlfn.XLOOKUP(C870,raw_customers!B:B,raw_customers!G:G)</f>
        <v>Retail</v>
      </c>
      <c r="F870" t="str">
        <f>_xlfn.XLOOKUP(_xlfn.XLOOKUP(B870,raw_customers!A:A,raw_customers!F:F),raw_branches!A:A,raw_branches!B:B)</f>
        <v>Lankaran Branch</v>
      </c>
      <c r="G870" s="7">
        <v>37905.82</v>
      </c>
      <c r="H870" s="6">
        <v>11.91</v>
      </c>
      <c r="I870" t="s">
        <v>2377</v>
      </c>
      <c r="J870" t="str">
        <f t="shared" si="13"/>
        <v>Aşağı Risk</v>
      </c>
    </row>
    <row r="871" spans="1:10">
      <c r="A871">
        <v>1245</v>
      </c>
      <c r="B871">
        <v>342</v>
      </c>
      <c r="C871" t="str">
        <f>_xlfn.XLOOKUP(B871,raw_customers!A:A,raw_customers!B:B)</f>
        <v>Emin Hüseynov</v>
      </c>
      <c r="D871" t="str">
        <f>_xlfn.XLOOKUP(C871,raw_customers!B:B,raw_customers!C:C)</f>
        <v>M</v>
      </c>
      <c r="E871" t="str">
        <f>_xlfn.XLOOKUP(C871,raw_customers!B:B,raw_customers!G:G)</f>
        <v>SME</v>
      </c>
      <c r="F871" t="str">
        <f>_xlfn.XLOOKUP(_xlfn.XLOOKUP(B871,raw_customers!A:A,raw_customers!F:F),raw_branches!A:A,raw_branches!B:B)</f>
        <v>Ganja Branch</v>
      </c>
      <c r="G871" s="7">
        <v>12445.22</v>
      </c>
      <c r="H871" s="6">
        <v>11.07</v>
      </c>
      <c r="I871" t="s">
        <v>2377</v>
      </c>
      <c r="J871" t="str">
        <f t="shared" si="13"/>
        <v>Aşağı Risk</v>
      </c>
    </row>
    <row r="872" spans="1:10">
      <c r="A872">
        <v>1246</v>
      </c>
      <c r="B872">
        <v>536</v>
      </c>
      <c r="C872" t="str">
        <f>_xlfn.XLOOKUP(B872,raw_customers!A:A,raw_customers!B:B)</f>
        <v>Fuad Abbasov</v>
      </c>
      <c r="D872" t="str">
        <f>_xlfn.XLOOKUP(C872,raw_customers!B:B,raw_customers!C:C)</f>
        <v>M</v>
      </c>
      <c r="E872" t="str">
        <f>_xlfn.XLOOKUP(C872,raw_customers!B:B,raw_customers!G:G)</f>
        <v>Retail</v>
      </c>
      <c r="F872" t="str">
        <f>_xlfn.XLOOKUP(_xlfn.XLOOKUP(B872,raw_customers!A:A,raw_customers!F:F),raw_branches!A:A,raw_branches!B:B)</f>
        <v>Baku Central</v>
      </c>
      <c r="G872" s="7">
        <v>135541.11</v>
      </c>
      <c r="H872" s="6">
        <v>13.98</v>
      </c>
      <c r="I872" t="s">
        <v>2377</v>
      </c>
      <c r="J872" t="str">
        <f t="shared" si="13"/>
        <v>Orta Risk</v>
      </c>
    </row>
    <row r="873" spans="1:10">
      <c r="A873">
        <v>1247</v>
      </c>
      <c r="B873">
        <v>966</v>
      </c>
      <c r="C873" t="str">
        <f>_xlfn.XLOOKUP(B873,raw_customers!A:A,raw_customers!B:B)</f>
        <v>Səbinə Orucov</v>
      </c>
      <c r="D873" t="str">
        <f>_xlfn.XLOOKUP(C873,raw_customers!B:B,raw_customers!C:C)</f>
        <v>F</v>
      </c>
      <c r="E873" t="str">
        <f>_xlfn.XLOOKUP(C873,raw_customers!B:B,raw_customers!G:G)</f>
        <v>Retail</v>
      </c>
      <c r="F873" t="str">
        <f>_xlfn.XLOOKUP(_xlfn.XLOOKUP(B873,raw_customers!A:A,raw_customers!F:F),raw_branches!A:A,raw_branches!B:B)</f>
        <v>Baku Central</v>
      </c>
      <c r="G873" s="7">
        <v>11603.47</v>
      </c>
      <c r="H873" s="6">
        <v>16.26</v>
      </c>
      <c r="I873" t="s">
        <v>2377</v>
      </c>
      <c r="J873" t="str">
        <f t="shared" si="13"/>
        <v>Orta Risk</v>
      </c>
    </row>
    <row r="874" spans="1:10">
      <c r="A874">
        <v>1248</v>
      </c>
      <c r="B874">
        <v>278</v>
      </c>
      <c r="C874" t="str">
        <f>_xlfn.XLOOKUP(B874,raw_customers!A:A,raw_customers!B:B)</f>
        <v>Zaur Abbasov</v>
      </c>
      <c r="D874" t="str">
        <f>_xlfn.XLOOKUP(C874,raw_customers!B:B,raw_customers!C:C)</f>
        <v>M</v>
      </c>
      <c r="E874" t="str">
        <f>_xlfn.XLOOKUP(C874,raw_customers!B:B,raw_customers!G:G)</f>
        <v>Premium</v>
      </c>
      <c r="F874" t="str">
        <f>_xlfn.XLOOKUP(_xlfn.XLOOKUP(B874,raw_customers!A:A,raw_customers!F:F),raw_branches!A:A,raw_branches!B:B)</f>
        <v>Sheki Branch</v>
      </c>
      <c r="G874" s="7">
        <v>75182.79</v>
      </c>
      <c r="H874" s="6">
        <v>7.28</v>
      </c>
      <c r="I874" t="s">
        <v>2377</v>
      </c>
      <c r="J874" t="str">
        <f t="shared" si="13"/>
        <v>Aşağı Risk</v>
      </c>
    </row>
    <row r="875" spans="1:10">
      <c r="A875">
        <v>1249</v>
      </c>
      <c r="B875">
        <v>481</v>
      </c>
      <c r="C875" t="str">
        <f>_xlfn.XLOOKUP(B875,raw_customers!A:A,raw_customers!B:B)</f>
        <v>Fuad Cəfərov</v>
      </c>
      <c r="D875" t="str">
        <f>_xlfn.XLOOKUP(C875,raw_customers!B:B,raw_customers!C:C)</f>
        <v>M</v>
      </c>
      <c r="E875" t="str">
        <f>_xlfn.XLOOKUP(C875,raw_customers!B:B,raw_customers!G:G)</f>
        <v>SME</v>
      </c>
      <c r="F875" t="str">
        <f>_xlfn.XLOOKUP(_xlfn.XLOOKUP(B875,raw_customers!A:A,raw_customers!F:F),raw_branches!A:A,raw_branches!B:B)</f>
        <v>Baku Yasamal</v>
      </c>
      <c r="G875" s="7">
        <v>36450.01</v>
      </c>
      <c r="H875" s="6">
        <v>19.59</v>
      </c>
      <c r="I875" t="s">
        <v>2377</v>
      </c>
      <c r="J875" t="str">
        <f t="shared" si="13"/>
        <v>Yüksək Risk</v>
      </c>
    </row>
    <row r="876" spans="1:10">
      <c r="A876">
        <v>1250</v>
      </c>
      <c r="B876">
        <v>942</v>
      </c>
      <c r="C876" t="str">
        <f>_xlfn.XLOOKUP(B876,raw_customers!A:A,raw_customers!B:B)</f>
        <v>Nərgiz Orucov</v>
      </c>
      <c r="D876" t="str">
        <f>_xlfn.XLOOKUP(C876,raw_customers!B:B,raw_customers!C:C)</f>
        <v>F</v>
      </c>
      <c r="E876" t="str">
        <f>_xlfn.XLOOKUP(C876,raw_customers!B:B,raw_customers!G:G)</f>
        <v>SME</v>
      </c>
      <c r="F876" t="str">
        <f>_xlfn.XLOOKUP(_xlfn.XLOOKUP(B876,raw_customers!A:A,raw_customers!F:F),raw_branches!A:A,raw_branches!B:B)</f>
        <v>Baku Yasamal</v>
      </c>
      <c r="G876" s="7">
        <v>12050.15</v>
      </c>
      <c r="H876" s="6">
        <v>12.18</v>
      </c>
      <c r="I876" t="s">
        <v>2377</v>
      </c>
      <c r="J876" t="str">
        <f t="shared" si="13"/>
        <v>Orta Risk</v>
      </c>
    </row>
    <row r="877" spans="1:10">
      <c r="A877">
        <v>1251</v>
      </c>
      <c r="B877">
        <v>628</v>
      </c>
      <c r="C877" t="str">
        <f>_xlfn.XLOOKUP(B877,raw_customers!A:A,raw_customers!B:B)</f>
        <v>Mehriban Məmmədov</v>
      </c>
      <c r="D877" t="str">
        <f>_xlfn.XLOOKUP(C877,raw_customers!B:B,raw_customers!C:C)</f>
        <v>F</v>
      </c>
      <c r="E877" t="str">
        <f>_xlfn.XLOOKUP(C877,raw_customers!B:B,raw_customers!G:G)</f>
        <v>Retail</v>
      </c>
      <c r="F877" t="str">
        <f>_xlfn.XLOOKUP(_xlfn.XLOOKUP(B877,raw_customers!A:A,raw_customers!F:F),raw_branches!A:A,raw_branches!B:B)</f>
        <v>Ganja Branch</v>
      </c>
      <c r="G877" s="7">
        <v>5007.57</v>
      </c>
      <c r="H877" s="6">
        <v>18.84</v>
      </c>
      <c r="I877" t="s">
        <v>2377</v>
      </c>
      <c r="J877" t="str">
        <f t="shared" si="13"/>
        <v>Yüksək Risk</v>
      </c>
    </row>
    <row r="878" spans="1:10">
      <c r="A878">
        <v>1252</v>
      </c>
      <c r="B878">
        <v>330</v>
      </c>
      <c r="C878" t="str">
        <f>_xlfn.XLOOKUP(B878,raw_customers!A:A,raw_customers!B:B)</f>
        <v>Orxan Tağıyev</v>
      </c>
      <c r="D878" t="str">
        <f>_xlfn.XLOOKUP(C878,raw_customers!B:B,raw_customers!C:C)</f>
        <v>M</v>
      </c>
      <c r="E878" t="str">
        <f>_xlfn.XLOOKUP(C878,raw_customers!B:B,raw_customers!G:G)</f>
        <v>Retail</v>
      </c>
      <c r="F878" t="str">
        <f>_xlfn.XLOOKUP(_xlfn.XLOOKUP(B878,raw_customers!A:A,raw_customers!F:F),raw_branches!A:A,raw_branches!B:B)</f>
        <v>Lankaran Branch</v>
      </c>
      <c r="G878" s="7">
        <v>32624.3</v>
      </c>
      <c r="H878" s="6">
        <v>7.17</v>
      </c>
      <c r="I878" t="s">
        <v>2377</v>
      </c>
      <c r="J878" t="str">
        <f t="shared" si="13"/>
        <v>Aşağı Risk</v>
      </c>
    </row>
    <row r="879" spans="1:10">
      <c r="A879">
        <v>1253</v>
      </c>
      <c r="B879">
        <v>778</v>
      </c>
      <c r="C879" t="str">
        <f>_xlfn.XLOOKUP(B879,raw_customers!A:A,raw_customers!B:B)</f>
        <v>Zaur Həsənov</v>
      </c>
      <c r="D879" t="str">
        <f>_xlfn.XLOOKUP(C879,raw_customers!B:B,raw_customers!C:C)</f>
        <v>M</v>
      </c>
      <c r="E879" t="str">
        <f>_xlfn.XLOOKUP(C879,raw_customers!B:B,raw_customers!G:G)</f>
        <v>Retail</v>
      </c>
      <c r="F879" t="str">
        <f>_xlfn.XLOOKUP(_xlfn.XLOOKUP(B879,raw_customers!A:A,raw_customers!F:F),raw_branches!A:A,raw_branches!B:B)</f>
        <v>Baku Central</v>
      </c>
      <c r="G879" s="7">
        <v>4168.46</v>
      </c>
      <c r="H879" s="6">
        <v>8.03</v>
      </c>
      <c r="I879" t="s">
        <v>2393</v>
      </c>
      <c r="J879" t="str">
        <f t="shared" si="13"/>
        <v>Default (Batıq)</v>
      </c>
    </row>
    <row r="880" spans="1:10">
      <c r="A880">
        <v>1254</v>
      </c>
      <c r="B880">
        <v>547</v>
      </c>
      <c r="C880" t="str">
        <f>_xlfn.XLOOKUP(B880,raw_customers!A:A,raw_customers!B:B)</f>
        <v>Şəbnəm Kərimov</v>
      </c>
      <c r="D880" t="str">
        <f>_xlfn.XLOOKUP(C880,raw_customers!B:B,raw_customers!C:C)</f>
        <v>F</v>
      </c>
      <c r="E880" t="str">
        <f>_xlfn.XLOOKUP(C880,raw_customers!B:B,raw_customers!G:G)</f>
        <v>Retail</v>
      </c>
      <c r="F880" t="str">
        <f>_xlfn.XLOOKUP(_xlfn.XLOOKUP(B880,raw_customers!A:A,raw_customers!F:F),raw_branches!A:A,raw_branches!B:B)</f>
        <v>Mingachevir Branch</v>
      </c>
      <c r="G880" s="7">
        <v>10719.28</v>
      </c>
      <c r="H880" s="6">
        <v>15.93</v>
      </c>
      <c r="I880" t="s">
        <v>2393</v>
      </c>
      <c r="J880" t="str">
        <f t="shared" si="13"/>
        <v>Default (Batıq)</v>
      </c>
    </row>
    <row r="881" spans="1:10">
      <c r="A881">
        <v>1255</v>
      </c>
      <c r="B881">
        <v>899</v>
      </c>
      <c r="C881" t="str">
        <f>_xlfn.XLOOKUP(B881,raw_customers!A:A,raw_customers!B:B)</f>
        <v>Fidan Vəliyev</v>
      </c>
      <c r="D881" t="str">
        <f>_xlfn.XLOOKUP(C881,raw_customers!B:B,raw_customers!C:C)</f>
        <v>F</v>
      </c>
      <c r="E881" t="str">
        <f>_xlfn.XLOOKUP(C881,raw_customers!B:B,raw_customers!G:G)</f>
        <v>SME</v>
      </c>
      <c r="F881" t="str">
        <f>_xlfn.XLOOKUP(_xlfn.XLOOKUP(B881,raw_customers!A:A,raw_customers!F:F),raw_branches!A:A,raw_branches!B:B)</f>
        <v>Sumgait Branch</v>
      </c>
      <c r="G881" s="7">
        <v>192275.44</v>
      </c>
      <c r="H881" s="6">
        <v>20.95</v>
      </c>
      <c r="I881" t="s">
        <v>2383</v>
      </c>
      <c r="J881" t="str">
        <f t="shared" si="13"/>
        <v>Yüksək Risk</v>
      </c>
    </row>
    <row r="882" spans="1:10">
      <c r="A882">
        <v>1256</v>
      </c>
      <c r="B882">
        <v>688</v>
      </c>
      <c r="C882" t="str">
        <f>_xlfn.XLOOKUP(B882,raw_customers!A:A,raw_customers!B:B)</f>
        <v>Elvin Kərimov</v>
      </c>
      <c r="D882" t="str">
        <f>_xlfn.XLOOKUP(C882,raw_customers!B:B,raw_customers!C:C)</f>
        <v>M</v>
      </c>
      <c r="E882" t="str">
        <f>_xlfn.XLOOKUP(C882,raw_customers!B:B,raw_customers!G:G)</f>
        <v>Premium</v>
      </c>
      <c r="F882" t="str">
        <f>_xlfn.XLOOKUP(_xlfn.XLOOKUP(B882,raw_customers!A:A,raw_customers!F:F),raw_branches!A:A,raw_branches!B:B)</f>
        <v>Sumgait Branch</v>
      </c>
      <c r="G882" s="7">
        <v>8181.98</v>
      </c>
      <c r="H882" s="6">
        <v>20.08</v>
      </c>
      <c r="I882" t="s">
        <v>2383</v>
      </c>
      <c r="J882" t="str">
        <f t="shared" si="13"/>
        <v>Yüksək Risk</v>
      </c>
    </row>
    <row r="883" spans="1:10">
      <c r="A883">
        <v>1257</v>
      </c>
      <c r="B883">
        <v>203</v>
      </c>
      <c r="C883" t="str">
        <f>_xlfn.XLOOKUP(B883,raw_customers!A:A,raw_customers!B:B)</f>
        <v>Fidan Kərimov</v>
      </c>
      <c r="D883" t="str">
        <f>_xlfn.XLOOKUP(C883,raw_customers!B:B,raw_customers!C:C)</f>
        <v>F</v>
      </c>
      <c r="E883" t="str">
        <f>_xlfn.XLOOKUP(C883,raw_customers!B:B,raw_customers!G:G)</f>
        <v>Retail</v>
      </c>
      <c r="F883" t="str">
        <f>_xlfn.XLOOKUP(_xlfn.XLOOKUP(B883,raw_customers!A:A,raw_customers!F:F),raw_branches!A:A,raw_branches!B:B)</f>
        <v>Baku Yasamal</v>
      </c>
      <c r="G883" s="7">
        <v>31659.43</v>
      </c>
      <c r="H883" s="6">
        <v>16.12</v>
      </c>
      <c r="I883" t="s">
        <v>2377</v>
      </c>
      <c r="J883" t="str">
        <f t="shared" si="13"/>
        <v>Orta Risk</v>
      </c>
    </row>
    <row r="884" spans="1:10">
      <c r="A884">
        <v>1258</v>
      </c>
      <c r="B884">
        <v>810</v>
      </c>
      <c r="C884" t="str">
        <f>_xlfn.XLOOKUP(B884,raw_customers!A:A,raw_customers!B:B)</f>
        <v>Fərid Bağırov</v>
      </c>
      <c r="D884" t="str">
        <f>_xlfn.XLOOKUP(C884,raw_customers!B:B,raw_customers!C:C)</f>
        <v>M</v>
      </c>
      <c r="E884" t="str">
        <f>_xlfn.XLOOKUP(C884,raw_customers!B:B,raw_customers!G:G)</f>
        <v>Retail</v>
      </c>
      <c r="F884" t="str">
        <f>_xlfn.XLOOKUP(_xlfn.XLOOKUP(B884,raw_customers!A:A,raw_customers!F:F),raw_branches!A:A,raw_branches!B:B)</f>
        <v>Baku Central</v>
      </c>
      <c r="G884" s="7">
        <v>10557.69</v>
      </c>
      <c r="H884" s="6">
        <v>6.92</v>
      </c>
      <c r="I884" t="s">
        <v>2377</v>
      </c>
      <c r="J884" t="str">
        <f t="shared" si="13"/>
        <v>Aşağı Risk</v>
      </c>
    </row>
    <row r="885" spans="1:10">
      <c r="A885">
        <v>1259</v>
      </c>
      <c r="B885">
        <v>77</v>
      </c>
      <c r="C885" t="str">
        <f>_xlfn.XLOOKUP(B885,raw_customers!A:A,raw_customers!B:B)</f>
        <v>Könül Məmmədov</v>
      </c>
      <c r="D885" t="str">
        <f>_xlfn.XLOOKUP(C885,raw_customers!B:B,raw_customers!C:C)</f>
        <v>F</v>
      </c>
      <c r="E885" t="str">
        <f>_xlfn.XLOOKUP(C885,raw_customers!B:B,raw_customers!G:G)</f>
        <v>SME</v>
      </c>
      <c r="F885" t="str">
        <f>_xlfn.XLOOKUP(_xlfn.XLOOKUP(B885,raw_customers!A:A,raw_customers!F:F),raw_branches!A:A,raw_branches!B:B)</f>
        <v>Sheki Branch</v>
      </c>
      <c r="G885" s="7">
        <v>190430.06</v>
      </c>
      <c r="H885" s="6">
        <v>5.45</v>
      </c>
      <c r="I885" t="s">
        <v>2377</v>
      </c>
      <c r="J885" t="str">
        <f t="shared" si="13"/>
        <v>Aşağı Risk</v>
      </c>
    </row>
    <row r="886" spans="1:10">
      <c r="A886">
        <v>1260</v>
      </c>
      <c r="B886">
        <v>949</v>
      </c>
      <c r="C886" t="str">
        <f>_xlfn.XLOOKUP(B886,raw_customers!A:A,raw_customers!B:B)</f>
        <v>Anar Sadıqov</v>
      </c>
      <c r="D886" t="str">
        <f>_xlfn.XLOOKUP(C886,raw_customers!B:B,raw_customers!C:C)</f>
        <v>M</v>
      </c>
      <c r="E886" t="str">
        <f>_xlfn.XLOOKUP(C886,raw_customers!B:B,raw_customers!G:G)</f>
        <v>Retail</v>
      </c>
      <c r="F886" t="str">
        <f>_xlfn.XLOOKUP(_xlfn.XLOOKUP(B886,raw_customers!A:A,raw_customers!F:F),raw_branches!A:A,raw_branches!B:B)</f>
        <v>Mingachevir Branch</v>
      </c>
      <c r="G886" s="7">
        <v>22817.89</v>
      </c>
      <c r="H886" s="6">
        <v>7.02</v>
      </c>
      <c r="I886" t="s">
        <v>2383</v>
      </c>
      <c r="J886" t="str">
        <f t="shared" si="13"/>
        <v>Aşağı Risk</v>
      </c>
    </row>
    <row r="887" spans="1:10">
      <c r="A887">
        <v>1261</v>
      </c>
      <c r="B887">
        <v>110</v>
      </c>
      <c r="C887" t="str">
        <f>_xlfn.XLOOKUP(B887,raw_customers!A:A,raw_customers!B:B)</f>
        <v>Xəyalə Hüseynov</v>
      </c>
      <c r="D887" t="str">
        <f>_xlfn.XLOOKUP(C887,raw_customers!B:B,raw_customers!C:C)</f>
        <v>F</v>
      </c>
      <c r="E887" t="str">
        <f>_xlfn.XLOOKUP(C887,raw_customers!B:B,raw_customers!G:G)</f>
        <v>Retail</v>
      </c>
      <c r="F887" t="str">
        <f>_xlfn.XLOOKUP(_xlfn.XLOOKUP(B887,raw_customers!A:A,raw_customers!F:F),raw_branches!A:A,raw_branches!B:B)</f>
        <v>Lankaran Branch</v>
      </c>
      <c r="G887" s="7">
        <v>5004.62</v>
      </c>
      <c r="H887" s="6">
        <v>17.57</v>
      </c>
      <c r="I887" t="s">
        <v>2377</v>
      </c>
      <c r="J887" t="str">
        <f t="shared" si="13"/>
        <v>Orta Risk</v>
      </c>
    </row>
    <row r="888" spans="1:10">
      <c r="A888">
        <v>1262</v>
      </c>
      <c r="B888">
        <v>715</v>
      </c>
      <c r="C888" t="str">
        <f>_xlfn.XLOOKUP(B888,raw_customers!A:A,raw_customers!B:B)</f>
        <v>Toğrul Vəliyev</v>
      </c>
      <c r="D888" t="str">
        <f>_xlfn.XLOOKUP(C888,raw_customers!B:B,raw_customers!C:C)</f>
        <v>M</v>
      </c>
      <c r="E888" t="str">
        <f>_xlfn.XLOOKUP(C888,raw_customers!B:B,raw_customers!G:G)</f>
        <v>SME</v>
      </c>
      <c r="F888" t="str">
        <f>_xlfn.XLOOKUP(_xlfn.XLOOKUP(B888,raw_customers!A:A,raw_customers!F:F),raw_branches!A:A,raw_branches!B:B)</f>
        <v>Ganja Branch</v>
      </c>
      <c r="G888" s="7">
        <v>26612.99</v>
      </c>
      <c r="H888" s="6">
        <v>6.04</v>
      </c>
      <c r="I888" t="s">
        <v>2377</v>
      </c>
      <c r="J888" t="str">
        <f t="shared" si="13"/>
        <v>Aşağı Risk</v>
      </c>
    </row>
    <row r="889" spans="1:10">
      <c r="A889">
        <v>1263</v>
      </c>
      <c r="B889">
        <v>887</v>
      </c>
      <c r="C889" t="str">
        <f>_xlfn.XLOOKUP(B889,raw_customers!A:A,raw_customers!B:B)</f>
        <v>Aysel Həsənov</v>
      </c>
      <c r="D889" t="str">
        <f>_xlfn.XLOOKUP(C889,raw_customers!B:B,raw_customers!C:C)</f>
        <v>F</v>
      </c>
      <c r="E889" t="str">
        <f>_xlfn.XLOOKUP(C889,raw_customers!B:B,raw_customers!G:G)</f>
        <v>Retail</v>
      </c>
      <c r="F889" t="str">
        <f>_xlfn.XLOOKUP(_xlfn.XLOOKUP(B889,raw_customers!A:A,raw_customers!F:F),raw_branches!A:A,raw_branches!B:B)</f>
        <v>Lankaran Branch</v>
      </c>
      <c r="G889" s="7">
        <v>97320.42</v>
      </c>
      <c r="H889" s="6">
        <v>5.2</v>
      </c>
      <c r="I889" t="s">
        <v>2393</v>
      </c>
      <c r="J889" t="str">
        <f t="shared" si="13"/>
        <v>Default (Batıq)</v>
      </c>
    </row>
    <row r="890" spans="1:10">
      <c r="A890">
        <v>1264</v>
      </c>
      <c r="B890">
        <v>152</v>
      </c>
      <c r="C890" t="str">
        <f>_xlfn.XLOOKUP(B890,raw_customers!A:A,raw_customers!B:B)</f>
        <v>Kamran Əliyev</v>
      </c>
      <c r="D890" t="str">
        <f>_xlfn.XLOOKUP(C890,raw_customers!B:B,raw_customers!C:C)</f>
        <v>M</v>
      </c>
      <c r="E890" t="str">
        <f>_xlfn.XLOOKUP(C890,raw_customers!B:B,raw_customers!G:G)</f>
        <v>SME</v>
      </c>
      <c r="F890" t="str">
        <f>_xlfn.XLOOKUP(_xlfn.XLOOKUP(B890,raw_customers!A:A,raw_customers!F:F),raw_branches!A:A,raw_branches!B:B)</f>
        <v>Sumgait Branch</v>
      </c>
      <c r="G890" s="7">
        <v>46314.12</v>
      </c>
      <c r="H890" s="6">
        <v>18.14</v>
      </c>
      <c r="I890" t="s">
        <v>2377</v>
      </c>
      <c r="J890" t="str">
        <f t="shared" si="13"/>
        <v>Yüksək Risk</v>
      </c>
    </row>
    <row r="891" spans="1:10">
      <c r="A891">
        <v>1265</v>
      </c>
      <c r="B891">
        <v>261</v>
      </c>
      <c r="C891" t="str">
        <f>_xlfn.XLOOKUP(B891,raw_customers!A:A,raw_customers!B:B)</f>
        <v>Ceyhun Novruzov</v>
      </c>
      <c r="D891" t="str">
        <f>_xlfn.XLOOKUP(C891,raw_customers!B:B,raw_customers!C:C)</f>
        <v>M</v>
      </c>
      <c r="E891" t="str">
        <f>_xlfn.XLOOKUP(C891,raw_customers!B:B,raw_customers!G:G)</f>
        <v>SME</v>
      </c>
      <c r="F891" t="str">
        <f>_xlfn.XLOOKUP(_xlfn.XLOOKUP(B891,raw_customers!A:A,raw_customers!F:F),raw_branches!A:A,raw_branches!B:B)</f>
        <v>Sumgait Branch</v>
      </c>
      <c r="G891" s="7">
        <v>74219.05</v>
      </c>
      <c r="H891" s="6">
        <v>10.86</v>
      </c>
      <c r="I891" t="s">
        <v>2377</v>
      </c>
      <c r="J891" t="str">
        <f t="shared" si="13"/>
        <v>Aşağı Risk</v>
      </c>
    </row>
    <row r="892" spans="1:10">
      <c r="A892">
        <v>1266</v>
      </c>
      <c r="B892">
        <v>349</v>
      </c>
      <c r="C892" t="str">
        <f>_xlfn.XLOOKUP(B892,raw_customers!A:A,raw_customers!B:B)</f>
        <v>Elvin Cəfərov</v>
      </c>
      <c r="D892" t="str">
        <f>_xlfn.XLOOKUP(C892,raw_customers!B:B,raw_customers!C:C)</f>
        <v>M</v>
      </c>
      <c r="E892" t="str">
        <f>_xlfn.XLOOKUP(C892,raw_customers!B:B,raw_customers!G:G)</f>
        <v>Retail</v>
      </c>
      <c r="F892" t="str">
        <f>_xlfn.XLOOKUP(_xlfn.XLOOKUP(B892,raw_customers!A:A,raw_customers!F:F),raw_branches!A:A,raw_branches!B:B)</f>
        <v>Sheki Branch</v>
      </c>
      <c r="G892" s="7">
        <v>101841.11</v>
      </c>
      <c r="H892" s="6">
        <v>6.07</v>
      </c>
      <c r="I892" t="s">
        <v>2377</v>
      </c>
      <c r="J892" t="str">
        <f t="shared" si="13"/>
        <v>Aşağı Risk</v>
      </c>
    </row>
    <row r="893" spans="1:10">
      <c r="A893">
        <v>1267</v>
      </c>
      <c r="B893">
        <v>778</v>
      </c>
      <c r="C893" t="str">
        <f>_xlfn.XLOOKUP(B893,raw_customers!A:A,raw_customers!B:B)</f>
        <v>Zaur Həsənov</v>
      </c>
      <c r="D893" t="str">
        <f>_xlfn.XLOOKUP(C893,raw_customers!B:B,raw_customers!C:C)</f>
        <v>M</v>
      </c>
      <c r="E893" t="str">
        <f>_xlfn.XLOOKUP(C893,raw_customers!B:B,raw_customers!G:G)</f>
        <v>Retail</v>
      </c>
      <c r="F893" t="str">
        <f>_xlfn.XLOOKUP(_xlfn.XLOOKUP(B893,raw_customers!A:A,raw_customers!F:F),raw_branches!A:A,raw_branches!B:B)</f>
        <v>Baku Central</v>
      </c>
      <c r="G893" s="7">
        <v>112414.21</v>
      </c>
      <c r="H893" s="6">
        <v>14.04</v>
      </c>
      <c r="I893" t="s">
        <v>2377</v>
      </c>
      <c r="J893" t="str">
        <f t="shared" si="13"/>
        <v>Orta Risk</v>
      </c>
    </row>
    <row r="894" spans="1:10">
      <c r="A894">
        <v>1268</v>
      </c>
      <c r="B894">
        <v>156</v>
      </c>
      <c r="C894" t="str">
        <f>_xlfn.XLOOKUP(B894,raw_customers!A:A,raw_customers!B:B)</f>
        <v>Nərmin Məmmədov</v>
      </c>
      <c r="D894" t="str">
        <f>_xlfn.XLOOKUP(C894,raw_customers!B:B,raw_customers!C:C)</f>
        <v>F</v>
      </c>
      <c r="E894" t="str">
        <f>_xlfn.XLOOKUP(C894,raw_customers!B:B,raw_customers!G:G)</f>
        <v>Premium</v>
      </c>
      <c r="F894" t="str">
        <f>_xlfn.XLOOKUP(_xlfn.XLOOKUP(B894,raw_customers!A:A,raw_customers!F:F),raw_branches!A:A,raw_branches!B:B)</f>
        <v>Sheki Branch</v>
      </c>
      <c r="G894" s="7">
        <v>9852.48</v>
      </c>
      <c r="H894" s="6">
        <v>16.64</v>
      </c>
      <c r="I894" t="s">
        <v>2377</v>
      </c>
      <c r="J894" t="str">
        <f t="shared" si="13"/>
        <v>Orta Risk</v>
      </c>
    </row>
    <row r="895" spans="1:10">
      <c r="A895">
        <v>1269</v>
      </c>
      <c r="B895">
        <v>81</v>
      </c>
      <c r="C895" t="str">
        <f>_xlfn.XLOOKUP(B895,raw_customers!A:A,raw_customers!B:B)</f>
        <v>Zaur Əzizov</v>
      </c>
      <c r="D895" t="str">
        <f>_xlfn.XLOOKUP(C895,raw_customers!B:B,raw_customers!C:C)</f>
        <v>M</v>
      </c>
      <c r="E895" t="str">
        <f>_xlfn.XLOOKUP(C895,raw_customers!B:B,raw_customers!G:G)</f>
        <v>Retail</v>
      </c>
      <c r="F895" t="str">
        <f>_xlfn.XLOOKUP(_xlfn.XLOOKUP(B895,raw_customers!A:A,raw_customers!F:F),raw_branches!A:A,raw_branches!B:B)</f>
        <v>Sumgait Branch</v>
      </c>
      <c r="G895" s="7">
        <v>9613.32</v>
      </c>
      <c r="H895" s="6">
        <v>8.19</v>
      </c>
      <c r="I895" t="s">
        <v>2377</v>
      </c>
      <c r="J895" t="str">
        <f t="shared" si="13"/>
        <v>Aşağı Risk</v>
      </c>
    </row>
    <row r="896" spans="1:10">
      <c r="A896">
        <v>1270</v>
      </c>
      <c r="B896">
        <v>552</v>
      </c>
      <c r="C896" t="str">
        <f>_xlfn.XLOOKUP(B896,raw_customers!A:A,raw_customers!B:B)</f>
        <v>Vüqar Cəfərov</v>
      </c>
      <c r="D896" t="str">
        <f>_xlfn.XLOOKUP(C896,raw_customers!B:B,raw_customers!C:C)</f>
        <v>M</v>
      </c>
      <c r="E896" t="str">
        <f>_xlfn.XLOOKUP(C896,raw_customers!B:B,raw_customers!G:G)</f>
        <v>SME</v>
      </c>
      <c r="F896" t="str">
        <f>_xlfn.XLOOKUP(_xlfn.XLOOKUP(B896,raw_customers!A:A,raw_customers!F:F),raw_branches!A:A,raw_branches!B:B)</f>
        <v>Ganja Branch</v>
      </c>
      <c r="G896" s="7">
        <v>22545.27</v>
      </c>
      <c r="H896" s="6">
        <v>7.11</v>
      </c>
      <c r="I896" t="s">
        <v>2377</v>
      </c>
      <c r="J896" t="str">
        <f t="shared" si="13"/>
        <v>Aşağı Risk</v>
      </c>
    </row>
    <row r="897" spans="1:10">
      <c r="A897">
        <v>1271</v>
      </c>
      <c r="B897">
        <v>736</v>
      </c>
      <c r="C897" t="str">
        <f>_xlfn.XLOOKUP(B897,raw_customers!A:A,raw_customers!B:B)</f>
        <v>Vüqar Quliyev</v>
      </c>
      <c r="D897" t="str">
        <f>_xlfn.XLOOKUP(C897,raw_customers!B:B,raw_customers!C:C)</f>
        <v>M</v>
      </c>
      <c r="E897" t="str">
        <f>_xlfn.XLOOKUP(C897,raw_customers!B:B,raw_customers!G:G)</f>
        <v>SME</v>
      </c>
      <c r="F897" t="str">
        <f>_xlfn.XLOOKUP(_xlfn.XLOOKUP(B897,raw_customers!A:A,raw_customers!F:F),raw_branches!A:A,raw_branches!B:B)</f>
        <v>Sheki Branch</v>
      </c>
      <c r="G897" s="7">
        <v>4943.51</v>
      </c>
      <c r="H897" s="6">
        <v>20.38</v>
      </c>
      <c r="I897" t="s">
        <v>2377</v>
      </c>
      <c r="J897" t="str">
        <f t="shared" si="13"/>
        <v>Yüksək Risk</v>
      </c>
    </row>
    <row r="898" spans="1:10">
      <c r="A898">
        <v>1272</v>
      </c>
      <c r="B898">
        <v>299</v>
      </c>
      <c r="C898" t="str">
        <f>_xlfn.XLOOKUP(B898,raw_customers!A:A,raw_customers!B:B)</f>
        <v>Ülviyyə Orucov</v>
      </c>
      <c r="D898" t="str">
        <f>_xlfn.XLOOKUP(C898,raw_customers!B:B,raw_customers!C:C)</f>
        <v>F</v>
      </c>
      <c r="E898" t="str">
        <f>_xlfn.XLOOKUP(C898,raw_customers!B:B,raw_customers!G:G)</f>
        <v>Retail</v>
      </c>
      <c r="F898" t="str">
        <f>_xlfn.XLOOKUP(_xlfn.XLOOKUP(B898,raw_customers!A:A,raw_customers!F:F),raw_branches!A:A,raw_branches!B:B)</f>
        <v>Lankaran Branch</v>
      </c>
      <c r="G898" s="7">
        <v>166728.52</v>
      </c>
      <c r="H898" s="6">
        <v>12.29</v>
      </c>
      <c r="I898" t="s">
        <v>2377</v>
      </c>
      <c r="J898" t="str">
        <f t="shared" si="13"/>
        <v>Orta Risk</v>
      </c>
    </row>
    <row r="899" spans="1:10">
      <c r="A899">
        <v>1273</v>
      </c>
      <c r="B899">
        <v>722</v>
      </c>
      <c r="C899" t="str">
        <f>_xlfn.XLOOKUP(B899,raw_customers!A:A,raw_customers!B:B)</f>
        <v>Türkan Cəfərov</v>
      </c>
      <c r="D899" t="str">
        <f>_xlfn.XLOOKUP(C899,raw_customers!B:B,raw_customers!C:C)</f>
        <v>F</v>
      </c>
      <c r="E899" t="str">
        <f>_xlfn.XLOOKUP(C899,raw_customers!B:B,raw_customers!G:G)</f>
        <v>Retail</v>
      </c>
      <c r="F899" t="str">
        <f>_xlfn.XLOOKUP(_xlfn.XLOOKUP(B899,raw_customers!A:A,raw_customers!F:F),raw_branches!A:A,raw_branches!B:B)</f>
        <v>Sumgait Branch</v>
      </c>
      <c r="G899" s="7">
        <v>13710.02</v>
      </c>
      <c r="H899" s="6">
        <v>7.21</v>
      </c>
      <c r="I899" t="s">
        <v>2393</v>
      </c>
      <c r="J899" t="str">
        <f t="shared" ref="J899:J962" si="14">IF(I899="Default","Default (Batıq)",IF(H899&gt;=18,"Yüksək Risk",IF(H899&gt;=12,"Orta Risk","Aşağı Risk")))</f>
        <v>Default (Batıq)</v>
      </c>
    </row>
    <row r="900" spans="1:10">
      <c r="A900">
        <v>1274</v>
      </c>
      <c r="B900">
        <v>256</v>
      </c>
      <c r="C900" t="str">
        <f>_xlfn.XLOOKUP(B900,raw_customers!A:A,raw_customers!B:B)</f>
        <v>Elşən Sadıqov</v>
      </c>
      <c r="D900" t="str">
        <f>_xlfn.XLOOKUP(C900,raw_customers!B:B,raw_customers!C:C)</f>
        <v>M</v>
      </c>
      <c r="E900" t="str">
        <f>_xlfn.XLOOKUP(C900,raw_customers!B:B,raw_customers!G:G)</f>
        <v>Premium</v>
      </c>
      <c r="F900" t="str">
        <f>_xlfn.XLOOKUP(_xlfn.XLOOKUP(B900,raw_customers!A:A,raw_customers!F:F),raw_branches!A:A,raw_branches!B:B)</f>
        <v>Baku Central</v>
      </c>
      <c r="G900" s="7">
        <v>4855.25</v>
      </c>
      <c r="H900" s="6">
        <v>12.4</v>
      </c>
      <c r="I900" t="s">
        <v>2377</v>
      </c>
      <c r="J900" t="str">
        <f t="shared" si="14"/>
        <v>Orta Risk</v>
      </c>
    </row>
    <row r="901" spans="1:10">
      <c r="A901">
        <v>1275</v>
      </c>
      <c r="B901">
        <v>107</v>
      </c>
      <c r="C901" t="str">
        <f>_xlfn.XLOOKUP(B901,raw_customers!A:A,raw_customers!B:B)</f>
        <v>Ramin Sadıqov</v>
      </c>
      <c r="D901" t="str">
        <f>_xlfn.XLOOKUP(C901,raw_customers!B:B,raw_customers!C:C)</f>
        <v>M</v>
      </c>
      <c r="E901" t="str">
        <f>_xlfn.XLOOKUP(C901,raw_customers!B:B,raw_customers!G:G)</f>
        <v>Retail</v>
      </c>
      <c r="F901" t="str">
        <f>_xlfn.XLOOKUP(_xlfn.XLOOKUP(B901,raw_customers!A:A,raw_customers!F:F),raw_branches!A:A,raw_branches!B:B)</f>
        <v>Baku Yasamal</v>
      </c>
      <c r="G901" s="7">
        <v>8262.88</v>
      </c>
      <c r="H901" s="6">
        <v>21.91</v>
      </c>
      <c r="I901" t="s">
        <v>2377</v>
      </c>
      <c r="J901" t="str">
        <f t="shared" si="14"/>
        <v>Yüksək Risk</v>
      </c>
    </row>
    <row r="902" spans="1:10">
      <c r="A902">
        <v>1276</v>
      </c>
      <c r="B902">
        <v>49</v>
      </c>
      <c r="C902" t="str">
        <f>_xlfn.XLOOKUP(B902,raw_customers!A:A,raw_customers!B:B)</f>
        <v>Aynur Rzayev</v>
      </c>
      <c r="D902" t="str">
        <f>_xlfn.XLOOKUP(C902,raw_customers!B:B,raw_customers!C:C)</f>
        <v>F</v>
      </c>
      <c r="E902" t="str">
        <f>_xlfn.XLOOKUP(C902,raw_customers!B:B,raw_customers!G:G)</f>
        <v>Retail</v>
      </c>
      <c r="F902" t="str">
        <f>_xlfn.XLOOKUP(_xlfn.XLOOKUP(B902,raw_customers!A:A,raw_customers!F:F),raw_branches!A:A,raw_branches!B:B)</f>
        <v>Sheki Branch</v>
      </c>
      <c r="G902" s="7">
        <v>76648.43</v>
      </c>
      <c r="H902" s="6">
        <v>20.4</v>
      </c>
      <c r="I902" t="s">
        <v>2377</v>
      </c>
      <c r="J902" t="str">
        <f t="shared" si="14"/>
        <v>Yüksək Risk</v>
      </c>
    </row>
    <row r="903" spans="1:10">
      <c r="A903">
        <v>1277</v>
      </c>
      <c r="B903">
        <v>814</v>
      </c>
      <c r="C903" t="str">
        <f>_xlfn.XLOOKUP(B903,raw_customers!A:A,raw_customers!B:B)</f>
        <v>Röya Novruzov</v>
      </c>
      <c r="D903" t="str">
        <f>_xlfn.XLOOKUP(C903,raw_customers!B:B,raw_customers!C:C)</f>
        <v>F</v>
      </c>
      <c r="E903" t="str">
        <f>_xlfn.XLOOKUP(C903,raw_customers!B:B,raw_customers!G:G)</f>
        <v>SME</v>
      </c>
      <c r="F903" t="str">
        <f>_xlfn.XLOOKUP(_xlfn.XLOOKUP(B903,raw_customers!A:A,raw_customers!F:F),raw_branches!A:A,raw_branches!B:B)</f>
        <v>Lankaran Branch</v>
      </c>
      <c r="G903" s="7">
        <v>18401.46</v>
      </c>
      <c r="H903" s="6">
        <v>17.46</v>
      </c>
      <c r="I903" t="s">
        <v>2377</v>
      </c>
      <c r="J903" t="str">
        <f t="shared" si="14"/>
        <v>Orta Risk</v>
      </c>
    </row>
    <row r="904" spans="1:10">
      <c r="A904">
        <v>1278</v>
      </c>
      <c r="B904">
        <v>490</v>
      </c>
      <c r="C904" t="str">
        <f>_xlfn.XLOOKUP(B904,raw_customers!A:A,raw_customers!B:B)</f>
        <v>Toğrul Musayev</v>
      </c>
      <c r="D904" t="str">
        <f>_xlfn.XLOOKUP(C904,raw_customers!B:B,raw_customers!C:C)</f>
        <v>M</v>
      </c>
      <c r="E904" t="str">
        <f>_xlfn.XLOOKUP(C904,raw_customers!B:B,raw_customers!G:G)</f>
        <v>Premium</v>
      </c>
      <c r="F904" t="str">
        <f>_xlfn.XLOOKUP(_xlfn.XLOOKUP(B904,raw_customers!A:A,raw_customers!F:F),raw_branches!A:A,raw_branches!B:B)</f>
        <v>Ganja Branch</v>
      </c>
      <c r="G904" s="7">
        <v>144895.27</v>
      </c>
      <c r="H904" s="6">
        <v>12.52</v>
      </c>
      <c r="I904" t="s">
        <v>2377</v>
      </c>
      <c r="J904" t="str">
        <f t="shared" si="14"/>
        <v>Orta Risk</v>
      </c>
    </row>
    <row r="905" spans="1:10">
      <c r="A905">
        <v>1279</v>
      </c>
      <c r="B905">
        <v>964</v>
      </c>
      <c r="C905" t="str">
        <f>_xlfn.XLOOKUP(B905,raw_customers!A:A,raw_customers!B:B)</f>
        <v>Murad Sadıqov</v>
      </c>
      <c r="D905" t="str">
        <f>_xlfn.XLOOKUP(C905,raw_customers!B:B,raw_customers!C:C)</f>
        <v>M</v>
      </c>
      <c r="E905" t="str">
        <f>_xlfn.XLOOKUP(C905,raw_customers!B:B,raw_customers!G:G)</f>
        <v>Premium</v>
      </c>
      <c r="F905" t="str">
        <f>_xlfn.XLOOKUP(_xlfn.XLOOKUP(B905,raw_customers!A:A,raw_customers!F:F),raw_branches!A:A,raw_branches!B:B)</f>
        <v>Ganja Branch</v>
      </c>
      <c r="G905" s="7">
        <v>9656.65</v>
      </c>
      <c r="H905" s="6">
        <v>9.42</v>
      </c>
      <c r="I905" t="s">
        <v>2383</v>
      </c>
      <c r="J905" t="str">
        <f t="shared" si="14"/>
        <v>Aşağı Risk</v>
      </c>
    </row>
    <row r="906" spans="1:10">
      <c r="A906">
        <v>1280</v>
      </c>
      <c r="B906">
        <v>770</v>
      </c>
      <c r="C906" t="str">
        <f>_xlfn.XLOOKUP(B906,raw_customers!A:A,raw_customers!B:B)</f>
        <v>Ceyhun Əliyev</v>
      </c>
      <c r="D906" t="str">
        <f>_xlfn.XLOOKUP(C906,raw_customers!B:B,raw_customers!C:C)</f>
        <v>M</v>
      </c>
      <c r="E906" t="str">
        <f>_xlfn.XLOOKUP(C906,raw_customers!B:B,raw_customers!G:G)</f>
        <v>Retail</v>
      </c>
      <c r="F906" t="str">
        <f>_xlfn.XLOOKUP(_xlfn.XLOOKUP(B906,raw_customers!A:A,raw_customers!F:F),raw_branches!A:A,raw_branches!B:B)</f>
        <v>Ganja Branch</v>
      </c>
      <c r="G906" s="7">
        <v>18995.71</v>
      </c>
      <c r="H906" s="6">
        <v>5.61</v>
      </c>
      <c r="I906" t="s">
        <v>2377</v>
      </c>
      <c r="J906" t="str">
        <f t="shared" si="14"/>
        <v>Aşağı Risk</v>
      </c>
    </row>
    <row r="907" spans="1:10">
      <c r="A907">
        <v>1281</v>
      </c>
      <c r="B907">
        <v>69</v>
      </c>
      <c r="C907" t="str">
        <f>_xlfn.XLOOKUP(B907,raw_customers!A:A,raw_customers!B:B)</f>
        <v>Ceyhun Vəliyev</v>
      </c>
      <c r="D907" t="str">
        <f>_xlfn.XLOOKUP(C907,raw_customers!B:B,raw_customers!C:C)</f>
        <v>M</v>
      </c>
      <c r="E907" t="str">
        <f>_xlfn.XLOOKUP(C907,raw_customers!B:B,raw_customers!G:G)</f>
        <v>SME</v>
      </c>
      <c r="F907" t="str">
        <f>_xlfn.XLOOKUP(_xlfn.XLOOKUP(B907,raw_customers!A:A,raw_customers!F:F),raw_branches!A:A,raw_branches!B:B)</f>
        <v>Baku Central</v>
      </c>
      <c r="G907" s="7">
        <v>33071.79</v>
      </c>
      <c r="H907" s="6">
        <v>7.85</v>
      </c>
      <c r="I907" t="s">
        <v>2377</v>
      </c>
      <c r="J907" t="str">
        <f t="shared" si="14"/>
        <v>Aşağı Risk</v>
      </c>
    </row>
    <row r="908" spans="1:10">
      <c r="A908">
        <v>1282</v>
      </c>
      <c r="B908">
        <v>597</v>
      </c>
      <c r="C908" t="str">
        <f>_xlfn.XLOOKUP(B908,raw_customers!A:A,raw_customers!B:B)</f>
        <v>Vəfa İsmayılov</v>
      </c>
      <c r="D908" t="str">
        <f>_xlfn.XLOOKUP(C908,raw_customers!B:B,raw_customers!C:C)</f>
        <v>F</v>
      </c>
      <c r="E908" t="str">
        <f>_xlfn.XLOOKUP(C908,raw_customers!B:B,raw_customers!G:G)</f>
        <v>SME</v>
      </c>
      <c r="F908" t="str">
        <f>_xlfn.XLOOKUP(_xlfn.XLOOKUP(B908,raw_customers!A:A,raw_customers!F:F),raw_branches!A:A,raw_branches!B:B)</f>
        <v>Mingachevir Branch</v>
      </c>
      <c r="G908" s="7">
        <v>11890.3</v>
      </c>
      <c r="H908" s="6">
        <v>12.43</v>
      </c>
      <c r="I908" t="s">
        <v>2377</v>
      </c>
      <c r="J908" t="str">
        <f t="shared" si="14"/>
        <v>Orta Risk</v>
      </c>
    </row>
    <row r="909" spans="1:10">
      <c r="A909">
        <v>1283</v>
      </c>
      <c r="B909">
        <v>12</v>
      </c>
      <c r="C909" t="str">
        <f>_xlfn.XLOOKUP(B909,raw_customers!A:A,raw_customers!B:B)</f>
        <v>Türkan Musayev</v>
      </c>
      <c r="D909" t="str">
        <f>_xlfn.XLOOKUP(C909,raw_customers!B:B,raw_customers!C:C)</f>
        <v>F</v>
      </c>
      <c r="E909" t="str">
        <f>_xlfn.XLOOKUP(C909,raw_customers!B:B,raw_customers!G:G)</f>
        <v>Retail</v>
      </c>
      <c r="F909" t="str">
        <f>_xlfn.XLOOKUP(_xlfn.XLOOKUP(B909,raw_customers!A:A,raw_customers!F:F),raw_branches!A:A,raw_branches!B:B)</f>
        <v>Sheki Branch</v>
      </c>
      <c r="G909" s="7">
        <v>9730.85</v>
      </c>
      <c r="H909" s="6">
        <v>7.82</v>
      </c>
      <c r="I909" t="s">
        <v>2377</v>
      </c>
      <c r="J909" t="str">
        <f t="shared" si="14"/>
        <v>Aşağı Risk</v>
      </c>
    </row>
    <row r="910" spans="1:10">
      <c r="A910">
        <v>1284</v>
      </c>
      <c r="B910">
        <v>707</v>
      </c>
      <c r="C910" t="str">
        <f>_xlfn.XLOOKUP(B910,raw_customers!A:A,raw_customers!B:B)</f>
        <v>Vüqar Kərimov</v>
      </c>
      <c r="D910" t="str">
        <f>_xlfn.XLOOKUP(C910,raw_customers!B:B,raw_customers!C:C)</f>
        <v>M</v>
      </c>
      <c r="E910" t="str">
        <f>_xlfn.XLOOKUP(C910,raw_customers!B:B,raw_customers!G:G)</f>
        <v>Retail</v>
      </c>
      <c r="F910" t="str">
        <f>_xlfn.XLOOKUP(_xlfn.XLOOKUP(B910,raw_customers!A:A,raw_customers!F:F),raw_branches!A:A,raw_branches!B:B)</f>
        <v>Baku Yasamal</v>
      </c>
      <c r="G910" s="7">
        <v>93452.04</v>
      </c>
      <c r="H910" s="6">
        <v>19.09</v>
      </c>
      <c r="I910" t="s">
        <v>2377</v>
      </c>
      <c r="J910" t="str">
        <f t="shared" si="14"/>
        <v>Yüksək Risk</v>
      </c>
    </row>
    <row r="911" spans="1:10">
      <c r="A911">
        <v>1285</v>
      </c>
      <c r="B911">
        <v>524</v>
      </c>
      <c r="C911" t="str">
        <f>_xlfn.XLOOKUP(B911,raw_customers!A:A,raw_customers!B:B)</f>
        <v>Xəyalə Cəfərov</v>
      </c>
      <c r="D911" t="str">
        <f>_xlfn.XLOOKUP(C911,raw_customers!B:B,raw_customers!C:C)</f>
        <v>F</v>
      </c>
      <c r="E911" t="str">
        <f>_xlfn.XLOOKUP(C911,raw_customers!B:B,raw_customers!G:G)</f>
        <v>Retail</v>
      </c>
      <c r="F911" t="str">
        <f>_xlfn.XLOOKUP(_xlfn.XLOOKUP(B911,raw_customers!A:A,raw_customers!F:F),raw_branches!A:A,raw_branches!B:B)</f>
        <v>Ganja Branch</v>
      </c>
      <c r="G911" s="7">
        <v>5319.83</v>
      </c>
      <c r="H911" s="6">
        <v>7.67</v>
      </c>
      <c r="I911" t="s">
        <v>2377</v>
      </c>
      <c r="J911" t="str">
        <f t="shared" si="14"/>
        <v>Aşağı Risk</v>
      </c>
    </row>
    <row r="912" spans="1:10">
      <c r="A912">
        <v>1286</v>
      </c>
      <c r="B912">
        <v>374</v>
      </c>
      <c r="C912" t="str">
        <f>_xlfn.XLOOKUP(B912,raw_customers!A:A,raw_customers!B:B)</f>
        <v>Kənan Hüseynov</v>
      </c>
      <c r="D912" t="str">
        <f>_xlfn.XLOOKUP(C912,raw_customers!B:B,raw_customers!C:C)</f>
        <v>M</v>
      </c>
      <c r="E912" t="str">
        <f>_xlfn.XLOOKUP(C912,raw_customers!B:B,raw_customers!G:G)</f>
        <v>Premium</v>
      </c>
      <c r="F912" t="str">
        <f>_xlfn.XLOOKUP(_xlfn.XLOOKUP(B912,raw_customers!A:A,raw_customers!F:F),raw_branches!A:A,raw_branches!B:B)</f>
        <v>Sumgait Branch</v>
      </c>
      <c r="G912" s="7">
        <v>13052.85</v>
      </c>
      <c r="H912" s="6">
        <v>10.19</v>
      </c>
      <c r="I912" t="s">
        <v>2383</v>
      </c>
      <c r="J912" t="str">
        <f t="shared" si="14"/>
        <v>Aşağı Risk</v>
      </c>
    </row>
    <row r="913" spans="1:10">
      <c r="A913">
        <v>1287</v>
      </c>
      <c r="B913">
        <v>660</v>
      </c>
      <c r="C913" t="str">
        <f>_xlfn.XLOOKUP(B913,raw_customers!A:A,raw_customers!B:B)</f>
        <v>Leyla Abbasov</v>
      </c>
      <c r="D913" t="str">
        <f>_xlfn.XLOOKUP(C913,raw_customers!B:B,raw_customers!C:C)</f>
        <v>F</v>
      </c>
      <c r="E913" t="str">
        <f>_xlfn.XLOOKUP(C913,raw_customers!B:B,raw_customers!G:G)</f>
        <v>Retail</v>
      </c>
      <c r="F913" t="str">
        <f>_xlfn.XLOOKUP(_xlfn.XLOOKUP(B913,raw_customers!A:A,raw_customers!F:F),raw_branches!A:A,raw_branches!B:B)</f>
        <v>Lankaran Branch</v>
      </c>
      <c r="G913" s="7">
        <v>37023.28</v>
      </c>
      <c r="H913" s="6">
        <v>8.05</v>
      </c>
      <c r="I913" t="s">
        <v>2377</v>
      </c>
      <c r="J913" t="str">
        <f t="shared" si="14"/>
        <v>Aşağı Risk</v>
      </c>
    </row>
    <row r="914" spans="1:10">
      <c r="A914">
        <v>1288</v>
      </c>
      <c r="B914">
        <v>940</v>
      </c>
      <c r="C914" t="str">
        <f>_xlfn.XLOOKUP(B914,raw_customers!A:A,raw_customers!B:B)</f>
        <v>Anar Orucov</v>
      </c>
      <c r="D914" t="str">
        <f>_xlfn.XLOOKUP(C914,raw_customers!B:B,raw_customers!C:C)</f>
        <v>M</v>
      </c>
      <c r="E914" t="str">
        <f>_xlfn.XLOOKUP(C914,raw_customers!B:B,raw_customers!G:G)</f>
        <v>SME</v>
      </c>
      <c r="F914" t="str">
        <f>_xlfn.XLOOKUP(_xlfn.XLOOKUP(B914,raw_customers!A:A,raw_customers!F:F),raw_branches!A:A,raw_branches!B:B)</f>
        <v>Ganja Branch</v>
      </c>
      <c r="G914" s="7">
        <v>2393.28</v>
      </c>
      <c r="H914" s="6">
        <v>18.14</v>
      </c>
      <c r="I914" t="s">
        <v>2393</v>
      </c>
      <c r="J914" t="str">
        <f t="shared" si="14"/>
        <v>Default (Batıq)</v>
      </c>
    </row>
    <row r="915" spans="1:10">
      <c r="A915">
        <v>1289</v>
      </c>
      <c r="B915">
        <v>178</v>
      </c>
      <c r="C915" t="str">
        <f>_xlfn.XLOOKUP(B915,raw_customers!A:A,raw_customers!B:B)</f>
        <v>Orxan Novruzov</v>
      </c>
      <c r="D915" t="str">
        <f>_xlfn.XLOOKUP(C915,raw_customers!B:B,raw_customers!C:C)</f>
        <v>M</v>
      </c>
      <c r="E915" t="str">
        <f>_xlfn.XLOOKUP(C915,raw_customers!B:B,raw_customers!G:G)</f>
        <v>SME</v>
      </c>
      <c r="F915" t="str">
        <f>_xlfn.XLOOKUP(_xlfn.XLOOKUP(B915,raw_customers!A:A,raw_customers!F:F),raw_branches!A:A,raw_branches!B:B)</f>
        <v>Baku Yasamal</v>
      </c>
      <c r="G915" s="7">
        <v>7101.4</v>
      </c>
      <c r="H915" s="6">
        <v>15.92</v>
      </c>
      <c r="I915" t="s">
        <v>2383</v>
      </c>
      <c r="J915" t="str">
        <f t="shared" si="14"/>
        <v>Orta Risk</v>
      </c>
    </row>
    <row r="916" spans="1:10">
      <c r="A916">
        <v>1290</v>
      </c>
      <c r="B916">
        <v>630</v>
      </c>
      <c r="C916" t="str">
        <f>_xlfn.XLOOKUP(B916,raw_customers!A:A,raw_customers!B:B)</f>
        <v>Tural Nəbiyev</v>
      </c>
      <c r="D916" t="str">
        <f>_xlfn.XLOOKUP(C916,raw_customers!B:B,raw_customers!C:C)</f>
        <v>M</v>
      </c>
      <c r="E916" t="str">
        <f>_xlfn.XLOOKUP(C916,raw_customers!B:B,raw_customers!G:G)</f>
        <v>SME</v>
      </c>
      <c r="F916" t="str">
        <f>_xlfn.XLOOKUP(_xlfn.XLOOKUP(B916,raw_customers!A:A,raw_customers!F:F),raw_branches!A:A,raw_branches!B:B)</f>
        <v>Mingachevir Branch</v>
      </c>
      <c r="G916" s="7">
        <v>98114.94</v>
      </c>
      <c r="H916" s="6">
        <v>20.49</v>
      </c>
      <c r="I916" t="s">
        <v>2377</v>
      </c>
      <c r="J916" t="str">
        <f t="shared" si="14"/>
        <v>Yüksək Risk</v>
      </c>
    </row>
    <row r="917" spans="1:10">
      <c r="A917">
        <v>1291</v>
      </c>
      <c r="B917">
        <v>799</v>
      </c>
      <c r="C917" t="str">
        <f>_xlfn.XLOOKUP(B917,raw_customers!A:A,raw_customers!B:B)</f>
        <v>Səbinə Əliyev</v>
      </c>
      <c r="D917" t="str">
        <f>_xlfn.XLOOKUP(C917,raw_customers!B:B,raw_customers!C:C)</f>
        <v>F</v>
      </c>
      <c r="E917" t="str">
        <f>_xlfn.XLOOKUP(C917,raw_customers!B:B,raw_customers!G:G)</f>
        <v>Retail</v>
      </c>
      <c r="F917" t="str">
        <f>_xlfn.XLOOKUP(_xlfn.XLOOKUP(B917,raw_customers!A:A,raw_customers!F:F),raw_branches!A:A,raw_branches!B:B)</f>
        <v>Lankaran Branch</v>
      </c>
      <c r="G917" s="7">
        <v>64822.93</v>
      </c>
      <c r="H917" s="6">
        <v>14.76</v>
      </c>
      <c r="I917" t="s">
        <v>2377</v>
      </c>
      <c r="J917" t="str">
        <f t="shared" si="14"/>
        <v>Orta Risk</v>
      </c>
    </row>
    <row r="918" spans="1:10">
      <c r="A918">
        <v>1292</v>
      </c>
      <c r="B918">
        <v>662</v>
      </c>
      <c r="C918" t="str">
        <f>_xlfn.XLOOKUP(B918,raw_customers!A:A,raw_customers!B:B)</f>
        <v>Nicat Novruzov</v>
      </c>
      <c r="D918" t="str">
        <f>_xlfn.XLOOKUP(C918,raw_customers!B:B,raw_customers!C:C)</f>
        <v>M</v>
      </c>
      <c r="E918" t="str">
        <f>_xlfn.XLOOKUP(C918,raw_customers!B:B,raw_customers!G:G)</f>
        <v>Retail</v>
      </c>
      <c r="F918" t="str">
        <f>_xlfn.XLOOKUP(_xlfn.XLOOKUP(B918,raw_customers!A:A,raw_customers!F:F),raw_branches!A:A,raw_branches!B:B)</f>
        <v>Lankaran Branch</v>
      </c>
      <c r="G918" s="7">
        <v>1974.92</v>
      </c>
      <c r="H918" s="6">
        <v>7.71</v>
      </c>
      <c r="I918" t="s">
        <v>2377</v>
      </c>
      <c r="J918" t="str">
        <f t="shared" si="14"/>
        <v>Aşağı Risk</v>
      </c>
    </row>
    <row r="919" spans="1:10">
      <c r="A919">
        <v>1293</v>
      </c>
      <c r="B919">
        <v>796</v>
      </c>
      <c r="C919" t="str">
        <f>_xlfn.XLOOKUP(B919,raw_customers!A:A,raw_customers!B:B)</f>
        <v>Kamran Cəfərov</v>
      </c>
      <c r="D919" t="str">
        <f>_xlfn.XLOOKUP(C919,raw_customers!B:B,raw_customers!C:C)</f>
        <v>M</v>
      </c>
      <c r="E919" t="str">
        <f>_xlfn.XLOOKUP(C919,raw_customers!B:B,raw_customers!G:G)</f>
        <v>SME</v>
      </c>
      <c r="F919" t="str">
        <f>_xlfn.XLOOKUP(_xlfn.XLOOKUP(B919,raw_customers!A:A,raw_customers!F:F),raw_branches!A:A,raw_branches!B:B)</f>
        <v>Sumgait Branch</v>
      </c>
      <c r="G919" s="7">
        <v>197391.39</v>
      </c>
      <c r="H919" s="6">
        <v>11.58</v>
      </c>
      <c r="I919" t="s">
        <v>2377</v>
      </c>
      <c r="J919" t="str">
        <f t="shared" si="14"/>
        <v>Aşağı Risk</v>
      </c>
    </row>
    <row r="920" spans="1:10">
      <c r="A920">
        <v>1294</v>
      </c>
      <c r="B920">
        <v>366</v>
      </c>
      <c r="C920" t="str">
        <f>_xlfn.XLOOKUP(B920,raw_customers!A:A,raw_customers!B:B)</f>
        <v>Könül Həsənov</v>
      </c>
      <c r="D920" t="str">
        <f>_xlfn.XLOOKUP(C920,raw_customers!B:B,raw_customers!C:C)</f>
        <v>F</v>
      </c>
      <c r="E920" t="str">
        <f>_xlfn.XLOOKUP(C920,raw_customers!B:B,raw_customers!G:G)</f>
        <v>Premium</v>
      </c>
      <c r="F920" t="str">
        <f>_xlfn.XLOOKUP(_xlfn.XLOOKUP(B920,raw_customers!A:A,raw_customers!F:F),raw_branches!A:A,raw_branches!B:B)</f>
        <v>Baku Central</v>
      </c>
      <c r="G920" s="7">
        <v>8176.73</v>
      </c>
      <c r="H920" s="6">
        <v>5.06</v>
      </c>
      <c r="I920" t="s">
        <v>2377</v>
      </c>
      <c r="J920" t="str">
        <f t="shared" si="14"/>
        <v>Aşağı Risk</v>
      </c>
    </row>
    <row r="921" spans="1:10">
      <c r="A921">
        <v>1295</v>
      </c>
      <c r="B921">
        <v>75</v>
      </c>
      <c r="C921" t="str">
        <f>_xlfn.XLOOKUP(B921,raw_customers!A:A,raw_customers!B:B)</f>
        <v>Nərmin Musayev</v>
      </c>
      <c r="D921" t="str">
        <f>_xlfn.XLOOKUP(C921,raw_customers!B:B,raw_customers!C:C)</f>
        <v>F</v>
      </c>
      <c r="E921" t="str">
        <f>_xlfn.XLOOKUP(C921,raw_customers!B:B,raw_customers!G:G)</f>
        <v>Retail</v>
      </c>
      <c r="F921" t="str">
        <f>_xlfn.XLOOKUP(_xlfn.XLOOKUP(B921,raw_customers!A:A,raw_customers!F:F),raw_branches!A:A,raw_branches!B:B)</f>
        <v>Baku Central</v>
      </c>
      <c r="G921" s="7">
        <v>2906.29</v>
      </c>
      <c r="H921" s="6">
        <v>18.67</v>
      </c>
      <c r="I921" t="s">
        <v>2393</v>
      </c>
      <c r="J921" t="str">
        <f t="shared" si="14"/>
        <v>Default (Batıq)</v>
      </c>
    </row>
    <row r="922" spans="1:10">
      <c r="A922">
        <v>1296</v>
      </c>
      <c r="B922">
        <v>718</v>
      </c>
      <c r="C922" t="str">
        <f>_xlfn.XLOOKUP(B922,raw_customers!A:A,raw_customers!B:B)</f>
        <v>Nərgiz Sadıqov</v>
      </c>
      <c r="D922" t="str">
        <f>_xlfn.XLOOKUP(C922,raw_customers!B:B,raw_customers!C:C)</f>
        <v>F</v>
      </c>
      <c r="E922" t="str">
        <f>_xlfn.XLOOKUP(C922,raw_customers!B:B,raw_customers!G:G)</f>
        <v>SME</v>
      </c>
      <c r="F922" t="str">
        <f>_xlfn.XLOOKUP(_xlfn.XLOOKUP(B922,raw_customers!A:A,raw_customers!F:F),raw_branches!A:A,raw_branches!B:B)</f>
        <v>Baku Yasamal</v>
      </c>
      <c r="G922" s="7">
        <v>14763.98</v>
      </c>
      <c r="H922" s="6">
        <v>5.39</v>
      </c>
      <c r="I922" t="s">
        <v>2377</v>
      </c>
      <c r="J922" t="str">
        <f t="shared" si="14"/>
        <v>Aşağı Risk</v>
      </c>
    </row>
    <row r="923" spans="1:10">
      <c r="A923">
        <v>1297</v>
      </c>
      <c r="B923">
        <v>584</v>
      </c>
      <c r="C923" t="str">
        <f>_xlfn.XLOOKUP(B923,raw_customers!A:A,raw_customers!B:B)</f>
        <v>Kamran Əliyev</v>
      </c>
      <c r="D923" t="str">
        <f>_xlfn.XLOOKUP(C923,raw_customers!B:B,raw_customers!C:C)</f>
        <v>M</v>
      </c>
      <c r="E923" t="str">
        <f>_xlfn.XLOOKUP(C923,raw_customers!B:B,raw_customers!G:G)</f>
        <v>SME</v>
      </c>
      <c r="F923" t="str">
        <f>_xlfn.XLOOKUP(_xlfn.XLOOKUP(B923,raw_customers!A:A,raw_customers!F:F),raw_branches!A:A,raw_branches!B:B)</f>
        <v>Baku Central</v>
      </c>
      <c r="G923" s="7">
        <v>5179.3</v>
      </c>
      <c r="H923" s="6">
        <v>12.45</v>
      </c>
      <c r="I923" t="s">
        <v>2377</v>
      </c>
      <c r="J923" t="str">
        <f t="shared" si="14"/>
        <v>Orta Risk</v>
      </c>
    </row>
    <row r="924" spans="1:10">
      <c r="A924">
        <v>1298</v>
      </c>
      <c r="B924">
        <v>605</v>
      </c>
      <c r="C924" t="str">
        <f>_xlfn.XLOOKUP(B924,raw_customers!A:A,raw_customers!B:B)</f>
        <v>Leyla Bağırov</v>
      </c>
      <c r="D924" t="str">
        <f>_xlfn.XLOOKUP(C924,raw_customers!B:B,raw_customers!C:C)</f>
        <v>F</v>
      </c>
      <c r="E924" t="str">
        <f>_xlfn.XLOOKUP(C924,raw_customers!B:B,raw_customers!G:G)</f>
        <v>Premium</v>
      </c>
      <c r="F924" t="str">
        <f>_xlfn.XLOOKUP(_xlfn.XLOOKUP(B924,raw_customers!A:A,raw_customers!F:F),raw_branches!A:A,raw_branches!B:B)</f>
        <v>Mingachevir Branch</v>
      </c>
      <c r="G924" s="7">
        <v>1755.19</v>
      </c>
      <c r="H924" s="6">
        <v>9.67</v>
      </c>
      <c r="I924" t="s">
        <v>2377</v>
      </c>
      <c r="J924" t="str">
        <f t="shared" si="14"/>
        <v>Aşağı Risk</v>
      </c>
    </row>
    <row r="925" spans="1:10">
      <c r="A925">
        <v>1299</v>
      </c>
      <c r="B925">
        <v>206</v>
      </c>
      <c r="C925" t="str">
        <f>_xlfn.XLOOKUP(B925,raw_customers!A:A,raw_customers!B:B)</f>
        <v>Tural Musayev</v>
      </c>
      <c r="D925" t="str">
        <f>_xlfn.XLOOKUP(C925,raw_customers!B:B,raw_customers!C:C)</f>
        <v>M</v>
      </c>
      <c r="E925" t="str">
        <f>_xlfn.XLOOKUP(C925,raw_customers!B:B,raw_customers!G:G)</f>
        <v>SME</v>
      </c>
      <c r="F925" t="str">
        <f>_xlfn.XLOOKUP(_xlfn.XLOOKUP(B925,raw_customers!A:A,raw_customers!F:F),raw_branches!A:A,raw_branches!B:B)</f>
        <v>Baku Central</v>
      </c>
      <c r="G925" s="7">
        <v>54447.01</v>
      </c>
      <c r="H925" s="6">
        <v>10.08</v>
      </c>
      <c r="I925" t="s">
        <v>2383</v>
      </c>
      <c r="J925" t="str">
        <f t="shared" si="14"/>
        <v>Aşağı Risk</v>
      </c>
    </row>
    <row r="926" spans="1:10">
      <c r="A926">
        <v>1300</v>
      </c>
      <c r="B926">
        <v>488</v>
      </c>
      <c r="C926" t="str">
        <f>_xlfn.XLOOKUP(B926,raw_customers!A:A,raw_customers!B:B)</f>
        <v>Rəşad Abbasov</v>
      </c>
      <c r="D926" t="str">
        <f>_xlfn.XLOOKUP(C926,raw_customers!B:B,raw_customers!C:C)</f>
        <v>M</v>
      </c>
      <c r="E926" t="str">
        <f>_xlfn.XLOOKUP(C926,raw_customers!B:B,raw_customers!G:G)</f>
        <v>Retail</v>
      </c>
      <c r="F926" t="str">
        <f>_xlfn.XLOOKUP(_xlfn.XLOOKUP(B926,raw_customers!A:A,raw_customers!F:F),raw_branches!A:A,raw_branches!B:B)</f>
        <v>Sumgait Branch</v>
      </c>
      <c r="G926" s="7">
        <v>7868.34</v>
      </c>
      <c r="H926" s="6">
        <v>13.16</v>
      </c>
      <c r="I926" t="s">
        <v>2377</v>
      </c>
      <c r="J926" t="str">
        <f t="shared" si="14"/>
        <v>Orta Risk</v>
      </c>
    </row>
    <row r="927" spans="1:10">
      <c r="A927">
        <v>1003</v>
      </c>
      <c r="B927">
        <v>566</v>
      </c>
      <c r="C927" t="str">
        <f>_xlfn.XLOOKUP(B927,raw_customers!A:A,raw_customers!B:B)</f>
        <v>Aynur Cəfərov</v>
      </c>
      <c r="D927" t="str">
        <f>_xlfn.XLOOKUP(C927,raw_customers!B:B,raw_customers!C:C)</f>
        <v>F</v>
      </c>
      <c r="E927" t="str">
        <f>_xlfn.XLOOKUP(C927,raw_customers!B:B,raw_customers!G:G)</f>
        <v>SME</v>
      </c>
      <c r="F927" t="str">
        <f>_xlfn.XLOOKUP(_xlfn.XLOOKUP(B927,raw_customers!A:A,raw_customers!F:F),raw_branches!A:A,raw_branches!B:B)</f>
        <v>Baku Yasamal</v>
      </c>
      <c r="G927" s="2">
        <v>90948</v>
      </c>
      <c r="H927" s="6">
        <v>6.03</v>
      </c>
      <c r="I927" t="s">
        <v>2393</v>
      </c>
      <c r="J927" t="str">
        <f t="shared" si="14"/>
        <v>Default (Batıq)</v>
      </c>
    </row>
    <row r="928" spans="1:10">
      <c r="A928">
        <v>1004</v>
      </c>
      <c r="B928">
        <v>721</v>
      </c>
      <c r="C928" t="str">
        <f>_xlfn.XLOOKUP(B928,raw_customers!A:A,raw_customers!B:B)</f>
        <v>Fidan Abbasov</v>
      </c>
      <c r="D928" t="str">
        <f>_xlfn.XLOOKUP(C928,raw_customers!B:B,raw_customers!C:C)</f>
        <v>F</v>
      </c>
      <c r="E928" t="str">
        <f>_xlfn.XLOOKUP(C928,raw_customers!B:B,raw_customers!G:G)</f>
        <v>SME</v>
      </c>
      <c r="F928" t="str">
        <f>_xlfn.XLOOKUP(_xlfn.XLOOKUP(B928,raw_customers!A:A,raw_customers!F:F),raw_branches!A:A,raw_branches!B:B)</f>
        <v>Sumgait Branch</v>
      </c>
      <c r="G928" s="7">
        <v>39948.35</v>
      </c>
      <c r="H928" s="6">
        <v>14.12</v>
      </c>
      <c r="I928" t="s">
        <v>2377</v>
      </c>
      <c r="J928" t="str">
        <f t="shared" si="14"/>
        <v>Orta Risk</v>
      </c>
    </row>
    <row r="929" spans="1:10">
      <c r="A929">
        <v>1005</v>
      </c>
      <c r="B929">
        <v>538</v>
      </c>
      <c r="C929" t="str">
        <f>_xlfn.XLOOKUP(B929,raw_customers!A:A,raw_customers!B:B)</f>
        <v>Günel Musayev</v>
      </c>
      <c r="D929" t="str">
        <f>_xlfn.XLOOKUP(C929,raw_customers!B:B,raw_customers!C:C)</f>
        <v>F</v>
      </c>
      <c r="E929" t="str">
        <f>_xlfn.XLOOKUP(C929,raw_customers!B:B,raw_customers!G:G)</f>
        <v>SME</v>
      </c>
      <c r="F929" t="str">
        <f>_xlfn.XLOOKUP(_xlfn.XLOOKUP(B929,raw_customers!A:A,raw_customers!F:F),raw_branches!A:A,raw_branches!B:B)</f>
        <v>Baku Yasamal</v>
      </c>
      <c r="G929" s="7">
        <v>9676.39</v>
      </c>
      <c r="H929" s="6">
        <v>19.77</v>
      </c>
      <c r="I929" t="s">
        <v>2377</v>
      </c>
      <c r="J929" t="str">
        <f t="shared" si="14"/>
        <v>Yüksək Risk</v>
      </c>
    </row>
    <row r="930" spans="1:10">
      <c r="A930">
        <v>1006</v>
      </c>
      <c r="B930">
        <v>555</v>
      </c>
      <c r="C930" t="str">
        <f>_xlfn.XLOOKUP(B930,raw_customers!A:A,raw_customers!B:B)</f>
        <v>Könül Abbasov</v>
      </c>
      <c r="D930" t="str">
        <f>_xlfn.XLOOKUP(C930,raw_customers!B:B,raw_customers!C:C)</f>
        <v>F</v>
      </c>
      <c r="E930" t="str">
        <f>_xlfn.XLOOKUP(C930,raw_customers!B:B,raw_customers!G:G)</f>
        <v>SME</v>
      </c>
      <c r="F930" t="str">
        <f>_xlfn.XLOOKUP(_xlfn.XLOOKUP(B930,raw_customers!A:A,raw_customers!F:F),raw_branches!A:A,raw_branches!B:B)</f>
        <v>Lankaran Branch</v>
      </c>
      <c r="G930" s="7">
        <v>21989.01</v>
      </c>
      <c r="H930" s="6">
        <v>14.63</v>
      </c>
      <c r="I930" t="s">
        <v>2393</v>
      </c>
      <c r="J930" t="str">
        <f t="shared" si="14"/>
        <v>Default (Batıq)</v>
      </c>
    </row>
    <row r="931" spans="1:10">
      <c r="A931">
        <v>1007</v>
      </c>
      <c r="B931">
        <v>212</v>
      </c>
      <c r="C931" t="str">
        <f>_xlfn.XLOOKUP(B931,raw_customers!A:A,raw_customers!B:B)</f>
        <v>Zaur Hüseynov</v>
      </c>
      <c r="D931" t="str">
        <f>_xlfn.XLOOKUP(C931,raw_customers!B:B,raw_customers!C:C)</f>
        <v>M</v>
      </c>
      <c r="E931" t="str">
        <f>_xlfn.XLOOKUP(C931,raw_customers!B:B,raw_customers!G:G)</f>
        <v>SME</v>
      </c>
      <c r="F931" t="str">
        <f>_xlfn.XLOOKUP(_xlfn.XLOOKUP(B931,raw_customers!A:A,raw_customers!F:F),raw_branches!A:A,raw_branches!B:B)</f>
        <v>Baku Yasamal</v>
      </c>
      <c r="G931" s="7">
        <v>84894.79</v>
      </c>
      <c r="H931" s="6">
        <v>12.52</v>
      </c>
      <c r="I931" t="s">
        <v>2377</v>
      </c>
      <c r="J931" t="str">
        <f t="shared" si="14"/>
        <v>Orta Risk</v>
      </c>
    </row>
    <row r="932" spans="1:10">
      <c r="A932">
        <v>1008</v>
      </c>
      <c r="B932">
        <v>386</v>
      </c>
      <c r="C932" t="str">
        <f>_xlfn.XLOOKUP(B932,raw_customers!A:A,raw_customers!B:B)</f>
        <v>Lalə Tağıyev</v>
      </c>
      <c r="D932" t="str">
        <f>_xlfn.XLOOKUP(C932,raw_customers!B:B,raw_customers!C:C)</f>
        <v>F</v>
      </c>
      <c r="E932" t="str">
        <f>_xlfn.XLOOKUP(C932,raw_customers!B:B,raw_customers!G:G)</f>
        <v>SME</v>
      </c>
      <c r="F932" t="str">
        <f>_xlfn.XLOOKUP(_xlfn.XLOOKUP(B932,raw_customers!A:A,raw_customers!F:F),raw_branches!A:A,raw_branches!B:B)</f>
        <v>Lankaran Branch</v>
      </c>
      <c r="G932" s="7">
        <v>4255.57</v>
      </c>
      <c r="H932" s="6">
        <v>16.79</v>
      </c>
      <c r="I932" t="s">
        <v>2377</v>
      </c>
      <c r="J932" t="str">
        <f t="shared" si="14"/>
        <v>Orta Risk</v>
      </c>
    </row>
    <row r="933" spans="1:10">
      <c r="A933">
        <v>1009</v>
      </c>
      <c r="B933">
        <v>146</v>
      </c>
      <c r="C933" t="str">
        <f>_xlfn.XLOOKUP(B933,raw_customers!A:A,raw_customers!B:B)</f>
        <v>Türkan Əzizov</v>
      </c>
      <c r="D933" t="str">
        <f>_xlfn.XLOOKUP(C933,raw_customers!B:B,raw_customers!C:C)</f>
        <v>F</v>
      </c>
      <c r="E933" t="str">
        <f>_xlfn.XLOOKUP(C933,raw_customers!B:B,raw_customers!G:G)</f>
        <v>Retail</v>
      </c>
      <c r="F933" t="str">
        <f>_xlfn.XLOOKUP(_xlfn.XLOOKUP(B933,raw_customers!A:A,raw_customers!F:F),raw_branches!A:A,raw_branches!B:B)</f>
        <v>Baku Central</v>
      </c>
      <c r="G933" s="7">
        <v>15209.96</v>
      </c>
      <c r="H933" s="6">
        <v>15.5</v>
      </c>
      <c r="I933" t="s">
        <v>2377</v>
      </c>
      <c r="J933" t="str">
        <f t="shared" si="14"/>
        <v>Orta Risk</v>
      </c>
    </row>
    <row r="934" spans="1:10">
      <c r="A934">
        <v>1010</v>
      </c>
      <c r="B934">
        <v>983</v>
      </c>
      <c r="C934" t="str">
        <f>_xlfn.XLOOKUP(B934,raw_customers!A:A,raw_customers!B:B)</f>
        <v>Orxan Kərimov</v>
      </c>
      <c r="D934" t="str">
        <f>_xlfn.XLOOKUP(C934,raw_customers!B:B,raw_customers!C:C)</f>
        <v>M</v>
      </c>
      <c r="E934" t="str">
        <f>_xlfn.XLOOKUP(C934,raw_customers!B:B,raw_customers!G:G)</f>
        <v>Premium</v>
      </c>
      <c r="F934" t="str">
        <f>_xlfn.XLOOKUP(_xlfn.XLOOKUP(B934,raw_customers!A:A,raw_customers!F:F),raw_branches!A:A,raw_branches!B:B)</f>
        <v>Lankaran Branch</v>
      </c>
      <c r="G934" s="7">
        <v>101545.57</v>
      </c>
      <c r="H934" s="6">
        <v>20.56</v>
      </c>
      <c r="I934" t="s">
        <v>2393</v>
      </c>
      <c r="J934" t="str">
        <f t="shared" si="14"/>
        <v>Default (Batıq)</v>
      </c>
    </row>
    <row r="935" spans="1:10">
      <c r="A935">
        <v>1011</v>
      </c>
      <c r="B935">
        <v>387</v>
      </c>
      <c r="C935" t="str">
        <f>_xlfn.XLOOKUP(B935,raw_customers!A:A,raw_customers!B:B)</f>
        <v>Zeynəb Nəbiyev</v>
      </c>
      <c r="D935" t="str">
        <f>_xlfn.XLOOKUP(C935,raw_customers!B:B,raw_customers!C:C)</f>
        <v>F</v>
      </c>
      <c r="E935" t="str">
        <f>_xlfn.XLOOKUP(C935,raw_customers!B:B,raw_customers!G:G)</f>
        <v>Retail</v>
      </c>
      <c r="F935" t="str">
        <f>_xlfn.XLOOKUP(_xlfn.XLOOKUP(B935,raw_customers!A:A,raw_customers!F:F),raw_branches!A:A,raw_branches!B:B)</f>
        <v>Lankaran Branch</v>
      </c>
      <c r="G935" s="7">
        <v>14698.87</v>
      </c>
      <c r="H935" s="6">
        <v>7.6</v>
      </c>
      <c r="I935" t="s">
        <v>2393</v>
      </c>
      <c r="J935" t="str">
        <f t="shared" si="14"/>
        <v>Default (Batıq)</v>
      </c>
    </row>
    <row r="936" spans="1:10">
      <c r="A936">
        <v>1012</v>
      </c>
      <c r="B936">
        <v>16</v>
      </c>
      <c r="C936" t="str">
        <f>_xlfn.XLOOKUP(B936,raw_customers!A:A,raw_customers!B:B)</f>
        <v>Zeynəb Hüseynov</v>
      </c>
      <c r="D936" t="str">
        <f>_xlfn.XLOOKUP(C936,raw_customers!B:B,raw_customers!C:C)</f>
        <v>F</v>
      </c>
      <c r="E936" t="str">
        <f>_xlfn.XLOOKUP(C936,raw_customers!B:B,raw_customers!G:G)</f>
        <v>SME</v>
      </c>
      <c r="F936" t="str">
        <f>_xlfn.XLOOKUP(_xlfn.XLOOKUP(B936,raw_customers!A:A,raw_customers!F:F),raw_branches!A:A,raw_branches!B:B)</f>
        <v>Sheki Branch</v>
      </c>
      <c r="G936" s="7">
        <v>93089.99</v>
      </c>
      <c r="H936" s="6">
        <v>15.54</v>
      </c>
      <c r="I936" t="s">
        <v>2383</v>
      </c>
      <c r="J936" t="str">
        <f t="shared" si="14"/>
        <v>Orta Risk</v>
      </c>
    </row>
    <row r="937" spans="1:10">
      <c r="A937">
        <v>1013</v>
      </c>
      <c r="B937">
        <v>610</v>
      </c>
      <c r="C937" t="str">
        <f>_xlfn.XLOOKUP(B937,raw_customers!A:A,raw_customers!B:B)</f>
        <v>Aysel Əzizov</v>
      </c>
      <c r="D937" t="str">
        <f>_xlfn.XLOOKUP(C937,raw_customers!B:B,raw_customers!C:C)</f>
        <v>F</v>
      </c>
      <c r="E937" t="str">
        <f>_xlfn.XLOOKUP(C937,raw_customers!B:B,raw_customers!G:G)</f>
        <v>SME</v>
      </c>
      <c r="F937" t="str">
        <f>_xlfn.XLOOKUP(_xlfn.XLOOKUP(B937,raw_customers!A:A,raw_customers!F:F),raw_branches!A:A,raw_branches!B:B)</f>
        <v>Ganja Branch</v>
      </c>
      <c r="G937" s="7">
        <v>2339.87</v>
      </c>
      <c r="H937" s="6">
        <v>10.33</v>
      </c>
      <c r="I937" t="s">
        <v>2383</v>
      </c>
      <c r="J937" t="str">
        <f t="shared" si="14"/>
        <v>Aşağı Risk</v>
      </c>
    </row>
    <row r="938" spans="1:10">
      <c r="A938">
        <v>1014</v>
      </c>
      <c r="B938">
        <v>249</v>
      </c>
      <c r="C938" t="str">
        <f>_xlfn.XLOOKUP(B938,raw_customers!A:A,raw_customers!B:B)</f>
        <v>Nigar Novruzov</v>
      </c>
      <c r="D938" t="str">
        <f>_xlfn.XLOOKUP(C938,raw_customers!B:B,raw_customers!C:C)</f>
        <v>F</v>
      </c>
      <c r="E938" t="str">
        <f>_xlfn.XLOOKUP(C938,raw_customers!B:B,raw_customers!G:G)</f>
        <v>SME</v>
      </c>
      <c r="F938" t="str">
        <f>_xlfn.XLOOKUP(_xlfn.XLOOKUP(B938,raw_customers!A:A,raw_customers!F:F),raw_branches!A:A,raw_branches!B:B)</f>
        <v>Sheki Branch</v>
      </c>
      <c r="G938" s="7">
        <v>57447.94</v>
      </c>
      <c r="H938" s="6">
        <v>15.32</v>
      </c>
      <c r="I938" t="s">
        <v>2377</v>
      </c>
      <c r="J938" t="str">
        <f t="shared" si="14"/>
        <v>Orta Risk</v>
      </c>
    </row>
    <row r="939" spans="1:10">
      <c r="A939">
        <v>1015</v>
      </c>
      <c r="B939">
        <v>194</v>
      </c>
      <c r="C939" t="str">
        <f>_xlfn.XLOOKUP(B939,raw_customers!A:A,raw_customers!B:B)</f>
        <v>Zeynəb Əliyev</v>
      </c>
      <c r="D939" t="str">
        <f>_xlfn.XLOOKUP(C939,raw_customers!B:B,raw_customers!C:C)</f>
        <v>F</v>
      </c>
      <c r="E939" t="str">
        <f>_xlfn.XLOOKUP(C939,raw_customers!B:B,raw_customers!G:G)</f>
        <v>SME</v>
      </c>
      <c r="F939" t="str">
        <f>_xlfn.XLOOKUP(_xlfn.XLOOKUP(B939,raw_customers!A:A,raw_customers!F:F),raw_branches!A:A,raw_branches!B:B)</f>
        <v>Sumgait Branch</v>
      </c>
      <c r="G939" s="7">
        <v>8141.19</v>
      </c>
      <c r="H939" s="6">
        <v>7.26</v>
      </c>
      <c r="I939" t="s">
        <v>2383</v>
      </c>
      <c r="J939" t="str">
        <f t="shared" si="14"/>
        <v>Aşağı Risk</v>
      </c>
    </row>
    <row r="940" spans="1:10">
      <c r="A940">
        <v>1016</v>
      </c>
      <c r="B940">
        <v>638</v>
      </c>
      <c r="C940" t="str">
        <f>_xlfn.XLOOKUP(B940,raw_customers!A:A,raw_customers!B:B)</f>
        <v>Nərmin Tağıyev</v>
      </c>
      <c r="D940" t="str">
        <f>_xlfn.XLOOKUP(C940,raw_customers!B:B,raw_customers!C:C)</f>
        <v>F</v>
      </c>
      <c r="E940" t="str">
        <f>_xlfn.XLOOKUP(C940,raw_customers!B:B,raw_customers!G:G)</f>
        <v>SME</v>
      </c>
      <c r="F940" t="str">
        <f>_xlfn.XLOOKUP(_xlfn.XLOOKUP(B940,raw_customers!A:A,raw_customers!F:F),raw_branches!A:A,raw_branches!B:B)</f>
        <v>Baku Yasamal</v>
      </c>
      <c r="G940" s="7">
        <v>5440.43</v>
      </c>
      <c r="H940" s="6">
        <v>21.2</v>
      </c>
      <c r="I940" t="s">
        <v>2377</v>
      </c>
      <c r="J940" t="str">
        <f t="shared" si="14"/>
        <v>Yüksək Risk</v>
      </c>
    </row>
    <row r="941" spans="1:10">
      <c r="A941">
        <v>1017</v>
      </c>
      <c r="B941">
        <v>820</v>
      </c>
      <c r="C941" t="str">
        <f>_xlfn.XLOOKUP(B941,raw_customers!A:A,raw_customers!B:B)</f>
        <v>Fuad Quliyev</v>
      </c>
      <c r="D941" t="str">
        <f>_xlfn.XLOOKUP(C941,raw_customers!B:B,raw_customers!C:C)</f>
        <v>M</v>
      </c>
      <c r="E941" t="str">
        <f>_xlfn.XLOOKUP(C941,raw_customers!B:B,raw_customers!G:G)</f>
        <v>SME</v>
      </c>
      <c r="F941" t="str">
        <f>_xlfn.XLOOKUP(_xlfn.XLOOKUP(B941,raw_customers!A:A,raw_customers!F:F),raw_branches!A:A,raw_branches!B:B)</f>
        <v>Sumgait Branch</v>
      </c>
      <c r="G941" s="7">
        <v>10035.29</v>
      </c>
      <c r="H941" s="6">
        <v>18.8</v>
      </c>
      <c r="I941" t="s">
        <v>2377</v>
      </c>
      <c r="J941" t="str">
        <f t="shared" si="14"/>
        <v>Yüksək Risk</v>
      </c>
    </row>
    <row r="942" spans="1:10">
      <c r="A942">
        <v>1018</v>
      </c>
      <c r="B942">
        <v>181</v>
      </c>
      <c r="C942" t="str">
        <f>_xlfn.XLOOKUP(B942,raw_customers!A:A,raw_customers!B:B)</f>
        <v>Sevinc Cəfərov</v>
      </c>
      <c r="D942" t="str">
        <f>_xlfn.XLOOKUP(C942,raw_customers!B:B,raw_customers!C:C)</f>
        <v>F</v>
      </c>
      <c r="E942" t="str">
        <f>_xlfn.XLOOKUP(C942,raw_customers!B:B,raw_customers!G:G)</f>
        <v>Retail</v>
      </c>
      <c r="F942" t="str">
        <f>_xlfn.XLOOKUP(_xlfn.XLOOKUP(B942,raw_customers!A:A,raw_customers!F:F),raw_branches!A:A,raw_branches!B:B)</f>
        <v>Sumgait Branch</v>
      </c>
      <c r="G942" s="7">
        <v>76645.38</v>
      </c>
      <c r="H942" s="6">
        <v>14.95</v>
      </c>
      <c r="I942" t="s">
        <v>2377</v>
      </c>
      <c r="J942" t="str">
        <f t="shared" si="14"/>
        <v>Orta Risk</v>
      </c>
    </row>
    <row r="943" spans="1:10">
      <c r="A943">
        <v>1019</v>
      </c>
      <c r="B943">
        <v>117</v>
      </c>
      <c r="C943" t="str">
        <f>_xlfn.XLOOKUP(B943,raw_customers!A:A,raw_customers!B:B)</f>
        <v>Rüfət Kərimov</v>
      </c>
      <c r="D943" t="str">
        <f>_xlfn.XLOOKUP(C943,raw_customers!B:B,raw_customers!C:C)</f>
        <v>M</v>
      </c>
      <c r="E943" t="str">
        <f>_xlfn.XLOOKUP(C943,raw_customers!B:B,raw_customers!G:G)</f>
        <v>Premium</v>
      </c>
      <c r="F943" t="str">
        <f>_xlfn.XLOOKUP(_xlfn.XLOOKUP(B943,raw_customers!A:A,raw_customers!F:F),raw_branches!A:A,raw_branches!B:B)</f>
        <v>Baku Central</v>
      </c>
      <c r="G943" s="7">
        <v>685.04</v>
      </c>
      <c r="H943" s="6">
        <v>16.82</v>
      </c>
      <c r="I943" t="s">
        <v>2377</v>
      </c>
      <c r="J943" t="str">
        <f t="shared" si="14"/>
        <v>Orta Risk</v>
      </c>
    </row>
    <row r="944" spans="1:10">
      <c r="A944">
        <v>1020</v>
      </c>
      <c r="B944">
        <v>927</v>
      </c>
      <c r="C944" t="str">
        <f>_xlfn.XLOOKUP(B944,raw_customers!A:A,raw_customers!B:B)</f>
        <v>Kənan İsmayılov</v>
      </c>
      <c r="D944" t="str">
        <f>_xlfn.XLOOKUP(C944,raw_customers!B:B,raw_customers!C:C)</f>
        <v>M</v>
      </c>
      <c r="E944" t="str">
        <f>_xlfn.XLOOKUP(C944,raw_customers!B:B,raw_customers!G:G)</f>
        <v>Retail</v>
      </c>
      <c r="F944" t="str">
        <f>_xlfn.XLOOKUP(_xlfn.XLOOKUP(B944,raw_customers!A:A,raw_customers!F:F),raw_branches!A:A,raw_branches!B:B)</f>
        <v>Sheki Branch</v>
      </c>
      <c r="G944" s="7">
        <v>26299.85</v>
      </c>
      <c r="H944" s="6">
        <v>16.41</v>
      </c>
      <c r="I944" t="s">
        <v>2377</v>
      </c>
      <c r="J944" t="str">
        <f t="shared" si="14"/>
        <v>Orta Risk</v>
      </c>
    </row>
    <row r="945" spans="1:10">
      <c r="A945">
        <v>1021</v>
      </c>
      <c r="B945">
        <v>662</v>
      </c>
      <c r="C945" t="str">
        <f>_xlfn.XLOOKUP(B945,raw_customers!A:A,raw_customers!B:B)</f>
        <v>Nicat Novruzov</v>
      </c>
      <c r="D945" t="str">
        <f>_xlfn.XLOOKUP(C945,raw_customers!B:B,raw_customers!C:C)</f>
        <v>M</v>
      </c>
      <c r="E945" t="str">
        <f>_xlfn.XLOOKUP(C945,raw_customers!B:B,raw_customers!G:G)</f>
        <v>Retail</v>
      </c>
      <c r="F945" t="str">
        <f>_xlfn.XLOOKUP(_xlfn.XLOOKUP(B945,raw_customers!A:A,raw_customers!F:F),raw_branches!A:A,raw_branches!B:B)</f>
        <v>Lankaran Branch</v>
      </c>
      <c r="G945" s="7">
        <v>2557.48</v>
      </c>
      <c r="H945" s="6">
        <v>7.6</v>
      </c>
      <c r="I945" t="s">
        <v>2383</v>
      </c>
      <c r="J945" t="str">
        <f t="shared" si="14"/>
        <v>Aşağı Risk</v>
      </c>
    </row>
    <row r="946" spans="1:10">
      <c r="A946">
        <v>1022</v>
      </c>
      <c r="B946">
        <v>18</v>
      </c>
      <c r="C946" t="str">
        <f>_xlfn.XLOOKUP(B946,raw_customers!A:A,raw_customers!B:B)</f>
        <v>Aynur Kərimov</v>
      </c>
      <c r="D946" t="str">
        <f>_xlfn.XLOOKUP(C946,raw_customers!B:B,raw_customers!C:C)</f>
        <v>F</v>
      </c>
      <c r="E946" t="str">
        <f>_xlfn.XLOOKUP(C946,raw_customers!B:B,raw_customers!G:G)</f>
        <v>Retail</v>
      </c>
      <c r="F946" t="str">
        <f>_xlfn.XLOOKUP(_xlfn.XLOOKUP(B946,raw_customers!A:A,raw_customers!F:F),raw_branches!A:A,raw_branches!B:B)</f>
        <v>Sheki Branch</v>
      </c>
      <c r="G946" s="7">
        <v>22392.77</v>
      </c>
      <c r="H946" s="6">
        <v>15.42</v>
      </c>
      <c r="I946" t="s">
        <v>2377</v>
      </c>
      <c r="J946" t="str">
        <f t="shared" si="14"/>
        <v>Orta Risk</v>
      </c>
    </row>
    <row r="947" spans="1:10">
      <c r="A947">
        <v>1023</v>
      </c>
      <c r="B947">
        <v>616</v>
      </c>
      <c r="C947" t="str">
        <f>_xlfn.XLOOKUP(B947,raw_customers!A:A,raw_customers!B:B)</f>
        <v>Türkan Həsənov</v>
      </c>
      <c r="D947" t="str">
        <f>_xlfn.XLOOKUP(C947,raw_customers!B:B,raw_customers!C:C)</f>
        <v>F</v>
      </c>
      <c r="E947" t="str">
        <f>_xlfn.XLOOKUP(C947,raw_customers!B:B,raw_customers!G:G)</f>
        <v>SME</v>
      </c>
      <c r="F947" t="str">
        <f>_xlfn.XLOOKUP(_xlfn.XLOOKUP(B947,raw_customers!A:A,raw_customers!F:F),raw_branches!A:A,raw_branches!B:B)</f>
        <v>Baku Central</v>
      </c>
      <c r="G947" s="7">
        <v>19753.48</v>
      </c>
      <c r="H947" s="6">
        <v>9.67</v>
      </c>
      <c r="I947" t="s">
        <v>2377</v>
      </c>
      <c r="J947" t="str">
        <f t="shared" si="14"/>
        <v>Aşağı Risk</v>
      </c>
    </row>
    <row r="948" spans="1:10">
      <c r="A948">
        <v>1024</v>
      </c>
      <c r="B948">
        <v>575</v>
      </c>
      <c r="C948" t="str">
        <f>_xlfn.XLOOKUP(B948,raw_customers!A:A,raw_customers!B:B)</f>
        <v>Aynur Cəfərov</v>
      </c>
      <c r="D948" t="str">
        <f>_xlfn.XLOOKUP(C948,raw_customers!B:B,raw_customers!C:C)</f>
        <v>F</v>
      </c>
      <c r="E948" t="str">
        <f>_xlfn.XLOOKUP(C948,raw_customers!B:B,raw_customers!G:G)</f>
        <v>SME</v>
      </c>
      <c r="F948" t="str">
        <f>_xlfn.XLOOKUP(_xlfn.XLOOKUP(B948,raw_customers!A:A,raw_customers!F:F),raw_branches!A:A,raw_branches!B:B)</f>
        <v>Sheki Branch</v>
      </c>
      <c r="G948" s="7">
        <v>38757.97</v>
      </c>
      <c r="H948" s="6">
        <v>7.53</v>
      </c>
      <c r="I948" t="s">
        <v>2383</v>
      </c>
      <c r="J948" t="str">
        <f t="shared" si="14"/>
        <v>Aşağı Risk</v>
      </c>
    </row>
    <row r="949" spans="1:10">
      <c r="A949">
        <v>1025</v>
      </c>
      <c r="B949">
        <v>76</v>
      </c>
      <c r="C949" t="str">
        <f>_xlfn.XLOOKUP(B949,raw_customers!A:A,raw_customers!B:B)</f>
        <v>Nicat Cəfərov</v>
      </c>
      <c r="D949" t="str">
        <f>_xlfn.XLOOKUP(C949,raw_customers!B:B,raw_customers!C:C)</f>
        <v>M</v>
      </c>
      <c r="E949" t="str">
        <f>_xlfn.XLOOKUP(C949,raw_customers!B:B,raw_customers!G:G)</f>
        <v>Retail</v>
      </c>
      <c r="F949" t="str">
        <f>_xlfn.XLOOKUP(_xlfn.XLOOKUP(B949,raw_customers!A:A,raw_customers!F:F),raw_branches!A:A,raw_branches!B:B)</f>
        <v>Sumgait Branch</v>
      </c>
      <c r="G949" s="7">
        <v>6573.58</v>
      </c>
      <c r="H949" s="6">
        <v>16.39</v>
      </c>
      <c r="I949" t="s">
        <v>2377</v>
      </c>
      <c r="J949" t="str">
        <f t="shared" si="14"/>
        <v>Orta Risk</v>
      </c>
    </row>
    <row r="950" spans="1:10">
      <c r="A950">
        <v>1026</v>
      </c>
      <c r="B950">
        <v>135</v>
      </c>
      <c r="C950" t="str">
        <f>_xlfn.XLOOKUP(B950,raw_customers!A:A,raw_customers!B:B)</f>
        <v>Lalə Sadıqov</v>
      </c>
      <c r="D950" t="str">
        <f>_xlfn.XLOOKUP(C950,raw_customers!B:B,raw_customers!C:C)</f>
        <v>F</v>
      </c>
      <c r="E950" t="str">
        <f>_xlfn.XLOOKUP(C950,raw_customers!B:B,raw_customers!G:G)</f>
        <v>Premium</v>
      </c>
      <c r="F950" t="str">
        <f>_xlfn.XLOOKUP(_xlfn.XLOOKUP(B950,raw_customers!A:A,raw_customers!F:F),raw_branches!A:A,raw_branches!B:B)</f>
        <v>Sheki Branch</v>
      </c>
      <c r="G950" s="7">
        <v>24924.85</v>
      </c>
      <c r="H950" s="6">
        <v>10.24</v>
      </c>
      <c r="I950" t="s">
        <v>2377</v>
      </c>
      <c r="J950" t="str">
        <f t="shared" si="14"/>
        <v>Aşağı Risk</v>
      </c>
    </row>
    <row r="951" spans="1:10">
      <c r="A951">
        <v>1027</v>
      </c>
      <c r="B951">
        <v>7</v>
      </c>
      <c r="C951" t="str">
        <f>_xlfn.XLOOKUP(B951,raw_customers!A:A,raw_customers!B:B)</f>
        <v>Anar Rəhimov</v>
      </c>
      <c r="D951" t="str">
        <f>_xlfn.XLOOKUP(C951,raw_customers!B:B,raw_customers!C:C)</f>
        <v>M</v>
      </c>
      <c r="E951" t="str">
        <f>_xlfn.XLOOKUP(C951,raw_customers!B:B,raw_customers!G:G)</f>
        <v>SME</v>
      </c>
      <c r="F951" t="str">
        <f>_xlfn.XLOOKUP(_xlfn.XLOOKUP(B951,raw_customers!A:A,raw_customers!F:F),raw_branches!A:A,raw_branches!B:B)</f>
        <v>Lankaran Branch</v>
      </c>
      <c r="G951" s="7">
        <v>10696.82</v>
      </c>
      <c r="H951" s="6">
        <v>9.32</v>
      </c>
      <c r="I951" t="s">
        <v>2377</v>
      </c>
      <c r="J951" t="str">
        <f t="shared" si="14"/>
        <v>Aşağı Risk</v>
      </c>
    </row>
    <row r="952" spans="1:10">
      <c r="A952">
        <v>1028</v>
      </c>
      <c r="B952">
        <v>470</v>
      </c>
      <c r="C952" t="str">
        <f>_xlfn.XLOOKUP(B952,raw_customers!A:A,raw_customers!B:B)</f>
        <v>Nicat Rzayev</v>
      </c>
      <c r="D952" t="str">
        <f>_xlfn.XLOOKUP(C952,raw_customers!B:B,raw_customers!C:C)</f>
        <v>M</v>
      </c>
      <c r="E952" t="str">
        <f>_xlfn.XLOOKUP(C952,raw_customers!B:B,raw_customers!G:G)</f>
        <v>Premium</v>
      </c>
      <c r="F952" t="str">
        <f>_xlfn.XLOOKUP(_xlfn.XLOOKUP(B952,raw_customers!A:A,raw_customers!F:F),raw_branches!A:A,raw_branches!B:B)</f>
        <v>Baku Yasamal</v>
      </c>
      <c r="G952" s="7">
        <v>188534.87</v>
      </c>
      <c r="H952" s="6">
        <v>8.98</v>
      </c>
      <c r="I952" t="s">
        <v>2377</v>
      </c>
      <c r="J952" t="str">
        <f t="shared" si="14"/>
        <v>Aşağı Risk</v>
      </c>
    </row>
    <row r="953" spans="1:10">
      <c r="A953">
        <v>1029</v>
      </c>
      <c r="B953">
        <v>503</v>
      </c>
      <c r="C953" t="str">
        <f>_xlfn.XLOOKUP(B953,raw_customers!A:A,raw_customers!B:B)</f>
        <v>Elvin Kərimov</v>
      </c>
      <c r="D953" t="str">
        <f>_xlfn.XLOOKUP(C953,raw_customers!B:B,raw_customers!C:C)</f>
        <v>M</v>
      </c>
      <c r="E953" t="str">
        <f>_xlfn.XLOOKUP(C953,raw_customers!B:B,raw_customers!G:G)</f>
        <v>Premium</v>
      </c>
      <c r="F953" t="str">
        <f>_xlfn.XLOOKUP(_xlfn.XLOOKUP(B953,raw_customers!A:A,raw_customers!F:F),raw_branches!A:A,raw_branches!B:B)</f>
        <v>Mingachevir Branch</v>
      </c>
      <c r="G953" s="7">
        <v>15967.26</v>
      </c>
      <c r="H953" s="6">
        <v>9.18</v>
      </c>
      <c r="I953" t="s">
        <v>2377</v>
      </c>
      <c r="J953" t="str">
        <f t="shared" si="14"/>
        <v>Aşağı Risk</v>
      </c>
    </row>
    <row r="954" spans="1:10">
      <c r="A954">
        <v>1030</v>
      </c>
      <c r="B954">
        <v>357</v>
      </c>
      <c r="C954" t="str">
        <f>_xlfn.XLOOKUP(B954,raw_customers!A:A,raw_customers!B:B)</f>
        <v>Leyla Rzayev</v>
      </c>
      <c r="D954" t="str">
        <f>_xlfn.XLOOKUP(C954,raw_customers!B:B,raw_customers!C:C)</f>
        <v>F</v>
      </c>
      <c r="E954" t="str">
        <f>_xlfn.XLOOKUP(C954,raw_customers!B:B,raw_customers!G:G)</f>
        <v>SME</v>
      </c>
      <c r="F954" t="str">
        <f>_xlfn.XLOOKUP(_xlfn.XLOOKUP(B954,raw_customers!A:A,raw_customers!F:F),raw_branches!A:A,raw_branches!B:B)</f>
        <v>Sumgait Branch</v>
      </c>
      <c r="G954" s="7">
        <v>31966.28</v>
      </c>
      <c r="H954" s="6">
        <v>9.15</v>
      </c>
      <c r="I954" t="s">
        <v>2377</v>
      </c>
      <c r="J954" t="str">
        <f t="shared" si="14"/>
        <v>Aşağı Risk</v>
      </c>
    </row>
    <row r="955" spans="1:10">
      <c r="A955">
        <v>1031</v>
      </c>
      <c r="B955">
        <v>838</v>
      </c>
      <c r="C955" t="str">
        <f>_xlfn.XLOOKUP(B955,raw_customers!A:A,raw_customers!B:B)</f>
        <v>Ülviyyə Abbasov</v>
      </c>
      <c r="D955" t="str">
        <f>_xlfn.XLOOKUP(C955,raw_customers!B:B,raw_customers!C:C)</f>
        <v>F</v>
      </c>
      <c r="E955" t="str">
        <f>_xlfn.XLOOKUP(C955,raw_customers!B:B,raw_customers!G:G)</f>
        <v>SME</v>
      </c>
      <c r="F955" t="str">
        <f>_xlfn.XLOOKUP(_xlfn.XLOOKUP(B955,raw_customers!A:A,raw_customers!F:F),raw_branches!A:A,raw_branches!B:B)</f>
        <v>Baku Yasamal</v>
      </c>
      <c r="G955" s="7">
        <v>29044.95</v>
      </c>
      <c r="H955" s="6">
        <v>13.73</v>
      </c>
      <c r="I955" t="s">
        <v>2377</v>
      </c>
      <c r="J955" t="str">
        <f t="shared" si="14"/>
        <v>Orta Risk</v>
      </c>
    </row>
    <row r="956" spans="1:10">
      <c r="A956">
        <v>1032</v>
      </c>
      <c r="B956">
        <v>509</v>
      </c>
      <c r="C956" t="str">
        <f>_xlfn.XLOOKUP(B956,raw_customers!A:A,raw_customers!B:B)</f>
        <v>Nərgiz Rəhimov</v>
      </c>
      <c r="D956" t="str">
        <f>_xlfn.XLOOKUP(C956,raw_customers!B:B,raw_customers!C:C)</f>
        <v>F</v>
      </c>
      <c r="E956" t="str">
        <f>_xlfn.XLOOKUP(C956,raw_customers!B:B,raw_customers!G:G)</f>
        <v>Retail</v>
      </c>
      <c r="F956" t="str">
        <f>_xlfn.XLOOKUP(_xlfn.XLOOKUP(B956,raw_customers!A:A,raw_customers!F:F),raw_branches!A:A,raw_branches!B:B)</f>
        <v>Mingachevir Branch</v>
      </c>
      <c r="G956" s="7">
        <v>15625.11</v>
      </c>
      <c r="H956" s="6">
        <v>17.05</v>
      </c>
      <c r="I956" t="s">
        <v>2377</v>
      </c>
      <c r="J956" t="str">
        <f t="shared" si="14"/>
        <v>Orta Risk</v>
      </c>
    </row>
    <row r="957" spans="1:10">
      <c r="A957">
        <v>1033</v>
      </c>
      <c r="B957">
        <v>955</v>
      </c>
      <c r="C957" t="str">
        <f>_xlfn.XLOOKUP(B957,raw_customers!A:A,raw_customers!B:B)</f>
        <v>Kənan Vəliyev</v>
      </c>
      <c r="D957" t="str">
        <f>_xlfn.XLOOKUP(C957,raw_customers!B:B,raw_customers!C:C)</f>
        <v>M</v>
      </c>
      <c r="E957" t="str">
        <f>_xlfn.XLOOKUP(C957,raw_customers!B:B,raw_customers!G:G)</f>
        <v>Premium</v>
      </c>
      <c r="F957" t="str">
        <f>_xlfn.XLOOKUP(_xlfn.XLOOKUP(B957,raw_customers!A:A,raw_customers!F:F),raw_branches!A:A,raw_branches!B:B)</f>
        <v>Mingachevir Branch</v>
      </c>
      <c r="G957" s="7">
        <v>11861.23</v>
      </c>
      <c r="H957" s="6">
        <v>20.13</v>
      </c>
      <c r="I957" t="s">
        <v>2377</v>
      </c>
      <c r="J957" t="str">
        <f t="shared" si="14"/>
        <v>Yüksək Risk</v>
      </c>
    </row>
    <row r="958" spans="1:10">
      <c r="A958">
        <v>1034</v>
      </c>
      <c r="B958">
        <v>639</v>
      </c>
      <c r="C958" t="str">
        <f>_xlfn.XLOOKUP(B958,raw_customers!A:A,raw_customers!B:B)</f>
        <v>Şəbnəm Hüseynov</v>
      </c>
      <c r="D958" t="str">
        <f>_xlfn.XLOOKUP(C958,raw_customers!B:B,raw_customers!C:C)</f>
        <v>F</v>
      </c>
      <c r="E958" t="str">
        <f>_xlfn.XLOOKUP(C958,raw_customers!B:B,raw_customers!G:G)</f>
        <v>Premium</v>
      </c>
      <c r="F958" t="str">
        <f>_xlfn.XLOOKUP(_xlfn.XLOOKUP(B958,raw_customers!A:A,raw_customers!F:F),raw_branches!A:A,raw_branches!B:B)</f>
        <v>Sumgait Branch</v>
      </c>
      <c r="G958" s="7">
        <v>104853.3</v>
      </c>
      <c r="H958" s="6">
        <v>12.53</v>
      </c>
      <c r="I958" t="s">
        <v>2377</v>
      </c>
      <c r="J958" t="str">
        <f t="shared" si="14"/>
        <v>Orta Risk</v>
      </c>
    </row>
    <row r="959" spans="1:10">
      <c r="A959">
        <v>1035</v>
      </c>
      <c r="B959">
        <v>471</v>
      </c>
      <c r="C959" t="str">
        <f>_xlfn.XLOOKUP(B959,raw_customers!A:A,raw_customers!B:B)</f>
        <v>Vəfa Nəbiyev</v>
      </c>
      <c r="D959" t="str">
        <f>_xlfn.XLOOKUP(C959,raw_customers!B:B,raw_customers!C:C)</f>
        <v>F</v>
      </c>
      <c r="E959" t="str">
        <f>_xlfn.XLOOKUP(C959,raw_customers!B:B,raw_customers!G:G)</f>
        <v>SME</v>
      </c>
      <c r="F959" t="str">
        <f>_xlfn.XLOOKUP(_xlfn.XLOOKUP(B959,raw_customers!A:A,raw_customers!F:F),raw_branches!A:A,raw_branches!B:B)</f>
        <v>Baku Central</v>
      </c>
      <c r="G959" s="7">
        <v>1743.21</v>
      </c>
      <c r="H959" s="6">
        <v>12.81</v>
      </c>
      <c r="I959" t="s">
        <v>2377</v>
      </c>
      <c r="J959" t="str">
        <f t="shared" si="14"/>
        <v>Orta Risk</v>
      </c>
    </row>
    <row r="960" spans="1:10">
      <c r="A960">
        <v>1036</v>
      </c>
      <c r="B960">
        <v>488</v>
      </c>
      <c r="C960" t="str">
        <f>_xlfn.XLOOKUP(B960,raw_customers!A:A,raw_customers!B:B)</f>
        <v>Rəşad Abbasov</v>
      </c>
      <c r="D960" t="str">
        <f>_xlfn.XLOOKUP(C960,raw_customers!B:B,raw_customers!C:C)</f>
        <v>M</v>
      </c>
      <c r="E960" t="str">
        <f>_xlfn.XLOOKUP(C960,raw_customers!B:B,raw_customers!G:G)</f>
        <v>Retail</v>
      </c>
      <c r="F960" t="str">
        <f>_xlfn.XLOOKUP(_xlfn.XLOOKUP(B960,raw_customers!A:A,raw_customers!F:F),raw_branches!A:A,raw_branches!B:B)</f>
        <v>Sumgait Branch</v>
      </c>
      <c r="G960" s="7">
        <v>14363.26</v>
      </c>
      <c r="H960" s="6">
        <v>13.02</v>
      </c>
      <c r="I960" t="s">
        <v>2377</v>
      </c>
      <c r="J960" t="str">
        <f t="shared" si="14"/>
        <v>Orta Risk</v>
      </c>
    </row>
    <row r="961" spans="1:10">
      <c r="A961">
        <v>1037</v>
      </c>
      <c r="B961">
        <v>870</v>
      </c>
      <c r="C961" t="str">
        <f>_xlfn.XLOOKUP(B961,raw_customers!A:A,raw_customers!B:B)</f>
        <v>Elvin Əliyev</v>
      </c>
      <c r="D961" t="str">
        <f>_xlfn.XLOOKUP(C961,raw_customers!B:B,raw_customers!C:C)</f>
        <v>M</v>
      </c>
      <c r="E961" t="str">
        <f>_xlfn.XLOOKUP(C961,raw_customers!B:B,raw_customers!G:G)</f>
        <v>Retail</v>
      </c>
      <c r="F961" t="str">
        <f>_xlfn.XLOOKUP(_xlfn.XLOOKUP(B961,raw_customers!A:A,raw_customers!F:F),raw_branches!A:A,raw_branches!B:B)</f>
        <v>Sheki Branch</v>
      </c>
      <c r="G961" s="7">
        <v>2873.3</v>
      </c>
      <c r="H961" s="6">
        <v>7.03</v>
      </c>
      <c r="I961" t="s">
        <v>2377</v>
      </c>
      <c r="J961" t="str">
        <f t="shared" si="14"/>
        <v>Aşağı Risk</v>
      </c>
    </row>
    <row r="962" spans="1:10">
      <c r="A962">
        <v>1038</v>
      </c>
      <c r="B962">
        <v>311</v>
      </c>
      <c r="C962" t="str">
        <f>_xlfn.XLOOKUP(B962,raw_customers!A:A,raw_customers!B:B)</f>
        <v>Tural Əliyev</v>
      </c>
      <c r="D962" t="str">
        <f>_xlfn.XLOOKUP(C962,raw_customers!B:B,raw_customers!C:C)</f>
        <v>M</v>
      </c>
      <c r="E962" t="str">
        <f>_xlfn.XLOOKUP(C962,raw_customers!B:B,raw_customers!G:G)</f>
        <v>Retail</v>
      </c>
      <c r="F962" t="str">
        <f>_xlfn.XLOOKUP(_xlfn.XLOOKUP(B962,raw_customers!A:A,raw_customers!F:F),raw_branches!A:A,raw_branches!B:B)</f>
        <v>Ganja Branch</v>
      </c>
      <c r="G962" s="7">
        <v>14390.36</v>
      </c>
      <c r="H962" s="6">
        <v>15.34</v>
      </c>
      <c r="I962" t="s">
        <v>2393</v>
      </c>
      <c r="J962" t="str">
        <f t="shared" si="14"/>
        <v>Default (Batıq)</v>
      </c>
    </row>
    <row r="963" spans="1:10">
      <c r="A963">
        <v>1039</v>
      </c>
      <c r="B963">
        <v>292</v>
      </c>
      <c r="C963" t="str">
        <f>_xlfn.XLOOKUP(B963,raw_customers!A:A,raw_customers!B:B)</f>
        <v>Ülviyyə Abbasov</v>
      </c>
      <c r="D963" t="str">
        <f>_xlfn.XLOOKUP(C963,raw_customers!B:B,raw_customers!C:C)</f>
        <v>F</v>
      </c>
      <c r="E963" t="str">
        <f>_xlfn.XLOOKUP(C963,raw_customers!B:B,raw_customers!G:G)</f>
        <v>SME</v>
      </c>
      <c r="F963" t="str">
        <f>_xlfn.XLOOKUP(_xlfn.XLOOKUP(B963,raw_customers!A:A,raw_customers!F:F),raw_branches!A:A,raw_branches!B:B)</f>
        <v>Baku Yasamal</v>
      </c>
      <c r="G963" s="7">
        <v>3356.59</v>
      </c>
      <c r="H963" s="6">
        <v>17.09</v>
      </c>
      <c r="I963" t="s">
        <v>2377</v>
      </c>
      <c r="J963" t="str">
        <f t="shared" ref="J963:J1026" si="15">IF(I963="Default","Default (Batıq)",IF(H963&gt;=18,"Yüksək Risk",IF(H963&gt;=12,"Orta Risk","Aşağı Risk")))</f>
        <v>Orta Risk</v>
      </c>
    </row>
    <row r="964" spans="1:10">
      <c r="A964">
        <v>1040</v>
      </c>
      <c r="B964">
        <v>764</v>
      </c>
      <c r="C964" t="str">
        <f>_xlfn.XLOOKUP(B964,raw_customers!A:A,raw_customers!B:B)</f>
        <v>Tural Tağıyev</v>
      </c>
      <c r="D964" t="str">
        <f>_xlfn.XLOOKUP(C964,raw_customers!B:B,raw_customers!C:C)</f>
        <v>M</v>
      </c>
      <c r="E964" t="str">
        <f>_xlfn.XLOOKUP(C964,raw_customers!B:B,raw_customers!G:G)</f>
        <v>Retail</v>
      </c>
      <c r="F964" t="str">
        <f>_xlfn.XLOOKUP(_xlfn.XLOOKUP(B964,raw_customers!A:A,raw_customers!F:F),raw_branches!A:A,raw_branches!B:B)</f>
        <v>Mingachevir Branch</v>
      </c>
      <c r="G964" s="7">
        <v>4938.31</v>
      </c>
      <c r="H964" s="6">
        <v>8.47</v>
      </c>
      <c r="I964" t="s">
        <v>2377</v>
      </c>
      <c r="J964" t="str">
        <f t="shared" si="15"/>
        <v>Aşağı Risk</v>
      </c>
    </row>
    <row r="965" spans="1:10">
      <c r="A965">
        <v>1041</v>
      </c>
      <c r="B965">
        <v>163</v>
      </c>
      <c r="C965" t="str">
        <f>_xlfn.XLOOKUP(B965,raw_customers!A:A,raw_customers!B:B)</f>
        <v>Mehriban Kərimov</v>
      </c>
      <c r="D965" t="str">
        <f>_xlfn.XLOOKUP(C965,raw_customers!B:B,raw_customers!C:C)</f>
        <v>F</v>
      </c>
      <c r="E965" t="str">
        <f>_xlfn.XLOOKUP(C965,raw_customers!B:B,raw_customers!G:G)</f>
        <v>Retail</v>
      </c>
      <c r="F965" t="str">
        <f>_xlfn.XLOOKUP(_xlfn.XLOOKUP(B965,raw_customers!A:A,raw_customers!F:F),raw_branches!A:A,raw_branches!B:B)</f>
        <v>Baku Central</v>
      </c>
      <c r="G965" s="7">
        <v>3548.65</v>
      </c>
      <c r="H965" s="6">
        <v>15.12</v>
      </c>
      <c r="I965" t="s">
        <v>2383</v>
      </c>
      <c r="J965" t="str">
        <f t="shared" si="15"/>
        <v>Orta Risk</v>
      </c>
    </row>
    <row r="966" spans="1:10">
      <c r="A966">
        <v>1042</v>
      </c>
      <c r="B966">
        <v>892</v>
      </c>
      <c r="C966" t="str">
        <f>_xlfn.XLOOKUP(B966,raw_customers!A:A,raw_customers!B:B)</f>
        <v>Zaur Abbasov</v>
      </c>
      <c r="D966" t="str">
        <f>_xlfn.XLOOKUP(C966,raw_customers!B:B,raw_customers!C:C)</f>
        <v>M</v>
      </c>
      <c r="E966" t="str">
        <f>_xlfn.XLOOKUP(C966,raw_customers!B:B,raw_customers!G:G)</f>
        <v>Premium</v>
      </c>
      <c r="F966" t="str">
        <f>_xlfn.XLOOKUP(_xlfn.XLOOKUP(B966,raw_customers!A:A,raw_customers!F:F),raw_branches!A:A,raw_branches!B:B)</f>
        <v>Baku Yasamal</v>
      </c>
      <c r="G966" s="7">
        <v>10854.54</v>
      </c>
      <c r="H966" s="6">
        <v>9.11</v>
      </c>
      <c r="I966" t="s">
        <v>2393</v>
      </c>
      <c r="J966" t="str">
        <f t="shared" si="15"/>
        <v>Default (Batıq)</v>
      </c>
    </row>
    <row r="967" spans="1:10">
      <c r="A967">
        <v>1043</v>
      </c>
      <c r="B967">
        <v>779</v>
      </c>
      <c r="C967" t="str">
        <f>_xlfn.XLOOKUP(B967,raw_customers!A:A,raw_customers!B:B)</f>
        <v>Mehriban Bağırov</v>
      </c>
      <c r="D967" t="str">
        <f>_xlfn.XLOOKUP(C967,raw_customers!B:B,raw_customers!C:C)</f>
        <v>F</v>
      </c>
      <c r="E967" t="str">
        <f>_xlfn.XLOOKUP(C967,raw_customers!B:B,raw_customers!G:G)</f>
        <v>SME</v>
      </c>
      <c r="F967" t="str">
        <f>_xlfn.XLOOKUP(_xlfn.XLOOKUP(B967,raw_customers!A:A,raw_customers!F:F),raw_branches!A:A,raw_branches!B:B)</f>
        <v>Lankaran Branch</v>
      </c>
      <c r="G967" s="7">
        <v>11931.08</v>
      </c>
      <c r="H967" s="6">
        <v>8.11</v>
      </c>
      <c r="I967" t="s">
        <v>2383</v>
      </c>
      <c r="J967" t="str">
        <f t="shared" si="15"/>
        <v>Aşağı Risk</v>
      </c>
    </row>
    <row r="968" spans="1:10">
      <c r="A968">
        <v>1044</v>
      </c>
      <c r="B968">
        <v>436</v>
      </c>
      <c r="C968" t="str">
        <f>_xlfn.XLOOKUP(B968,raw_customers!A:A,raw_customers!B:B)</f>
        <v>Fidan Rzayev</v>
      </c>
      <c r="D968" t="str">
        <f>_xlfn.XLOOKUP(C968,raw_customers!B:B,raw_customers!C:C)</f>
        <v>F</v>
      </c>
      <c r="E968" t="str">
        <f>_xlfn.XLOOKUP(C968,raw_customers!B:B,raw_customers!G:G)</f>
        <v>Retail</v>
      </c>
      <c r="F968" t="str">
        <f>_xlfn.XLOOKUP(_xlfn.XLOOKUP(B968,raw_customers!A:A,raw_customers!F:F),raw_branches!A:A,raw_branches!B:B)</f>
        <v>Baku Yasamal</v>
      </c>
      <c r="G968" s="7">
        <v>1262.77</v>
      </c>
      <c r="H968" s="6">
        <v>19.82</v>
      </c>
      <c r="I968" t="s">
        <v>2377</v>
      </c>
      <c r="J968" t="str">
        <f t="shared" si="15"/>
        <v>Yüksək Risk</v>
      </c>
    </row>
    <row r="969" spans="1:10">
      <c r="A969">
        <v>1045</v>
      </c>
      <c r="B969">
        <v>983</v>
      </c>
      <c r="C969" t="str">
        <f>_xlfn.XLOOKUP(B969,raw_customers!A:A,raw_customers!B:B)</f>
        <v>Orxan Kərimov</v>
      </c>
      <c r="D969" t="str">
        <f>_xlfn.XLOOKUP(C969,raw_customers!B:B,raw_customers!C:C)</f>
        <v>M</v>
      </c>
      <c r="E969" t="str">
        <f>_xlfn.XLOOKUP(C969,raw_customers!B:B,raw_customers!G:G)</f>
        <v>Premium</v>
      </c>
      <c r="F969" t="str">
        <f>_xlfn.XLOOKUP(_xlfn.XLOOKUP(B969,raw_customers!A:A,raw_customers!F:F),raw_branches!A:A,raw_branches!B:B)</f>
        <v>Lankaran Branch</v>
      </c>
      <c r="G969" s="7">
        <v>3459.58</v>
      </c>
      <c r="H969" s="6">
        <v>10.18</v>
      </c>
      <c r="I969" t="s">
        <v>2377</v>
      </c>
      <c r="J969" t="str">
        <f t="shared" si="15"/>
        <v>Aşağı Risk</v>
      </c>
    </row>
    <row r="970" spans="1:10">
      <c r="A970">
        <v>1046</v>
      </c>
      <c r="B970">
        <v>795</v>
      </c>
      <c r="C970" t="str">
        <f>_xlfn.XLOOKUP(B970,raw_customers!A:A,raw_customers!B:B)</f>
        <v>Leyla Əliyev</v>
      </c>
      <c r="D970" t="str">
        <f>_xlfn.XLOOKUP(C970,raw_customers!B:B,raw_customers!C:C)</f>
        <v>F</v>
      </c>
      <c r="E970" t="str">
        <f>_xlfn.XLOOKUP(C970,raw_customers!B:B,raw_customers!G:G)</f>
        <v>Retail</v>
      </c>
      <c r="F970" t="str">
        <f>_xlfn.XLOOKUP(_xlfn.XLOOKUP(B970,raw_customers!A:A,raw_customers!F:F),raw_branches!A:A,raw_branches!B:B)</f>
        <v>Baku Yasamal</v>
      </c>
      <c r="G970" s="7">
        <v>3876.3</v>
      </c>
      <c r="H970" s="6">
        <v>10.89</v>
      </c>
      <c r="I970" t="s">
        <v>2377</v>
      </c>
      <c r="J970" t="str">
        <f t="shared" si="15"/>
        <v>Aşağı Risk</v>
      </c>
    </row>
    <row r="971" spans="1:10">
      <c r="A971">
        <v>1047</v>
      </c>
      <c r="B971">
        <v>553</v>
      </c>
      <c r="C971" t="str">
        <f>_xlfn.XLOOKUP(B971,raw_customers!A:A,raw_customers!B:B)</f>
        <v>Ramin Vəliyev</v>
      </c>
      <c r="D971" t="str">
        <f>_xlfn.XLOOKUP(C971,raw_customers!B:B,raw_customers!C:C)</f>
        <v>M</v>
      </c>
      <c r="E971" t="str">
        <f>_xlfn.XLOOKUP(C971,raw_customers!B:B,raw_customers!G:G)</f>
        <v>Premium</v>
      </c>
      <c r="F971" t="str">
        <f>_xlfn.XLOOKUP(_xlfn.XLOOKUP(B971,raw_customers!A:A,raw_customers!F:F),raw_branches!A:A,raw_branches!B:B)</f>
        <v>Sumgait Branch</v>
      </c>
      <c r="G971" s="7">
        <v>144704.83</v>
      </c>
      <c r="H971" s="6">
        <v>10.36</v>
      </c>
      <c r="I971" t="s">
        <v>2377</v>
      </c>
      <c r="J971" t="str">
        <f t="shared" si="15"/>
        <v>Aşağı Risk</v>
      </c>
    </row>
    <row r="972" spans="1:10">
      <c r="A972">
        <v>1048</v>
      </c>
      <c r="B972">
        <v>337</v>
      </c>
      <c r="C972" t="str">
        <f>_xlfn.XLOOKUP(B972,raw_customers!A:A,raw_customers!B:B)</f>
        <v>Nərmin Əliyev</v>
      </c>
      <c r="D972" t="str">
        <f>_xlfn.XLOOKUP(C972,raw_customers!B:B,raw_customers!C:C)</f>
        <v>F</v>
      </c>
      <c r="E972" t="str">
        <f>_xlfn.XLOOKUP(C972,raw_customers!B:B,raw_customers!G:G)</f>
        <v>Retail</v>
      </c>
      <c r="F972" t="str">
        <f>_xlfn.XLOOKUP(_xlfn.XLOOKUP(B972,raw_customers!A:A,raw_customers!F:F),raw_branches!A:A,raw_branches!B:B)</f>
        <v>Baku Yasamal</v>
      </c>
      <c r="G972" s="7">
        <v>57076.09</v>
      </c>
      <c r="H972" s="6">
        <v>10.85</v>
      </c>
      <c r="I972" t="s">
        <v>2377</v>
      </c>
      <c r="J972" t="str">
        <f t="shared" si="15"/>
        <v>Aşağı Risk</v>
      </c>
    </row>
    <row r="973" spans="1:10">
      <c r="A973">
        <v>1049</v>
      </c>
      <c r="B973">
        <v>365</v>
      </c>
      <c r="C973" t="str">
        <f>_xlfn.XLOOKUP(B973,raw_customers!A:A,raw_customers!B:B)</f>
        <v>Sevinc Əzizov</v>
      </c>
      <c r="D973" t="str">
        <f>_xlfn.XLOOKUP(C973,raw_customers!B:B,raw_customers!C:C)</f>
        <v>F</v>
      </c>
      <c r="E973" t="str">
        <f>_xlfn.XLOOKUP(C973,raw_customers!B:B,raw_customers!G:G)</f>
        <v>Retail</v>
      </c>
      <c r="F973" t="str">
        <f>_xlfn.XLOOKUP(_xlfn.XLOOKUP(B973,raw_customers!A:A,raw_customers!F:F),raw_branches!A:A,raw_branches!B:B)</f>
        <v>Baku Central</v>
      </c>
      <c r="G973" s="7">
        <v>129511.5</v>
      </c>
      <c r="H973" s="6">
        <v>12.57</v>
      </c>
      <c r="I973" t="s">
        <v>2383</v>
      </c>
      <c r="J973" t="str">
        <f t="shared" si="15"/>
        <v>Orta Risk</v>
      </c>
    </row>
    <row r="974" spans="1:10">
      <c r="A974">
        <v>1050</v>
      </c>
      <c r="B974">
        <v>234</v>
      </c>
      <c r="C974" t="str">
        <f>_xlfn.XLOOKUP(B974,raw_customers!A:A,raw_customers!B:B)</f>
        <v>Səbinə Əzizov</v>
      </c>
      <c r="D974" t="str">
        <f>_xlfn.XLOOKUP(C974,raw_customers!B:B,raw_customers!C:C)</f>
        <v>F</v>
      </c>
      <c r="E974" t="str">
        <f>_xlfn.XLOOKUP(C974,raw_customers!B:B,raw_customers!G:G)</f>
        <v>Retail</v>
      </c>
      <c r="F974" t="str">
        <f>_xlfn.XLOOKUP(_xlfn.XLOOKUP(B974,raw_customers!A:A,raw_customers!F:F),raw_branches!A:A,raw_branches!B:B)</f>
        <v>Mingachevir Branch</v>
      </c>
      <c r="G974" s="7">
        <v>10099.75</v>
      </c>
      <c r="H974" s="6">
        <v>19.33</v>
      </c>
      <c r="I974" t="s">
        <v>2383</v>
      </c>
      <c r="J974" t="str">
        <f t="shared" si="15"/>
        <v>Yüksək Risk</v>
      </c>
    </row>
    <row r="975" spans="1:10">
      <c r="A975">
        <v>1051</v>
      </c>
      <c r="B975">
        <v>731</v>
      </c>
      <c r="C975" t="str">
        <f>_xlfn.XLOOKUP(B975,raw_customers!A:A,raw_customers!B:B)</f>
        <v>Ülviyyə Novruzov</v>
      </c>
      <c r="D975" t="str">
        <f>_xlfn.XLOOKUP(C975,raw_customers!B:B,raw_customers!C:C)</f>
        <v>F</v>
      </c>
      <c r="E975" t="str">
        <f>_xlfn.XLOOKUP(C975,raw_customers!B:B,raw_customers!G:G)</f>
        <v>Retail</v>
      </c>
      <c r="F975" t="str">
        <f>_xlfn.XLOOKUP(_xlfn.XLOOKUP(B975,raw_customers!A:A,raw_customers!F:F),raw_branches!A:A,raw_branches!B:B)</f>
        <v>Baku Central</v>
      </c>
      <c r="G975" s="7">
        <v>7070.88</v>
      </c>
      <c r="H975" s="6">
        <v>8.27</v>
      </c>
      <c r="I975" t="s">
        <v>2383</v>
      </c>
      <c r="J975" t="str">
        <f t="shared" si="15"/>
        <v>Aşağı Risk</v>
      </c>
    </row>
    <row r="976" spans="1:10">
      <c r="A976">
        <v>1052</v>
      </c>
      <c r="B976">
        <v>731</v>
      </c>
      <c r="C976" t="str">
        <f>_xlfn.XLOOKUP(B976,raw_customers!A:A,raw_customers!B:B)</f>
        <v>Ülviyyə Novruzov</v>
      </c>
      <c r="D976" t="str">
        <f>_xlfn.XLOOKUP(C976,raw_customers!B:B,raw_customers!C:C)</f>
        <v>F</v>
      </c>
      <c r="E976" t="str">
        <f>_xlfn.XLOOKUP(C976,raw_customers!B:B,raw_customers!G:G)</f>
        <v>Retail</v>
      </c>
      <c r="F976" t="str">
        <f>_xlfn.XLOOKUP(_xlfn.XLOOKUP(B976,raw_customers!A:A,raw_customers!F:F),raw_branches!A:A,raw_branches!B:B)</f>
        <v>Baku Central</v>
      </c>
      <c r="G976" s="7">
        <v>5464.15</v>
      </c>
      <c r="H976" s="6">
        <v>8.79</v>
      </c>
      <c r="I976" t="s">
        <v>2377</v>
      </c>
      <c r="J976" t="str">
        <f t="shared" si="15"/>
        <v>Aşağı Risk</v>
      </c>
    </row>
    <row r="977" spans="1:10">
      <c r="A977">
        <v>1053</v>
      </c>
      <c r="B977">
        <v>462</v>
      </c>
      <c r="C977" t="str">
        <f>_xlfn.XLOOKUP(B977,raw_customers!A:A,raw_customers!B:B)</f>
        <v>Kənan Əzizov</v>
      </c>
      <c r="D977" t="str">
        <f>_xlfn.XLOOKUP(C977,raw_customers!B:B,raw_customers!C:C)</f>
        <v>M</v>
      </c>
      <c r="E977" t="str">
        <f>_xlfn.XLOOKUP(C977,raw_customers!B:B,raw_customers!G:G)</f>
        <v>SME</v>
      </c>
      <c r="F977" t="str">
        <f>_xlfn.XLOOKUP(_xlfn.XLOOKUP(B977,raw_customers!A:A,raw_customers!F:F),raw_branches!A:A,raw_branches!B:B)</f>
        <v>Mingachevir Branch</v>
      </c>
      <c r="G977" s="7">
        <v>149071.54</v>
      </c>
      <c r="H977" s="6">
        <v>21.33</v>
      </c>
      <c r="I977" t="s">
        <v>2377</v>
      </c>
      <c r="J977" t="str">
        <f t="shared" si="15"/>
        <v>Yüksək Risk</v>
      </c>
    </row>
    <row r="978" spans="1:10">
      <c r="A978">
        <v>1054</v>
      </c>
      <c r="B978">
        <v>162</v>
      </c>
      <c r="C978" t="str">
        <f>_xlfn.XLOOKUP(B978,raw_customers!A:A,raw_customers!B:B)</f>
        <v>Röya Abbasov</v>
      </c>
      <c r="D978" t="str">
        <f>_xlfn.XLOOKUP(C978,raw_customers!B:B,raw_customers!C:C)</f>
        <v>F</v>
      </c>
      <c r="E978" t="str">
        <f>_xlfn.XLOOKUP(C978,raw_customers!B:B,raw_customers!G:G)</f>
        <v>Retail</v>
      </c>
      <c r="F978" t="str">
        <f>_xlfn.XLOOKUP(_xlfn.XLOOKUP(B978,raw_customers!A:A,raw_customers!F:F),raw_branches!A:A,raw_branches!B:B)</f>
        <v>Mingachevir Branch</v>
      </c>
      <c r="G978" s="7">
        <v>30665.71</v>
      </c>
      <c r="H978" s="6">
        <v>15.54</v>
      </c>
      <c r="I978" t="s">
        <v>2377</v>
      </c>
      <c r="J978" t="str">
        <f t="shared" si="15"/>
        <v>Orta Risk</v>
      </c>
    </row>
    <row r="979" spans="1:10">
      <c r="A979">
        <v>1055</v>
      </c>
      <c r="B979">
        <v>724</v>
      </c>
      <c r="C979" t="str">
        <f>_xlfn.XLOOKUP(B979,raw_customers!A:A,raw_customers!B:B)</f>
        <v>Lalə Rəhimov</v>
      </c>
      <c r="D979" t="str">
        <f>_xlfn.XLOOKUP(C979,raw_customers!B:B,raw_customers!C:C)</f>
        <v>F</v>
      </c>
      <c r="E979" t="str">
        <f>_xlfn.XLOOKUP(C979,raw_customers!B:B,raw_customers!G:G)</f>
        <v>Retail</v>
      </c>
      <c r="F979" t="str">
        <f>_xlfn.XLOOKUP(_xlfn.XLOOKUP(B979,raw_customers!A:A,raw_customers!F:F),raw_branches!A:A,raw_branches!B:B)</f>
        <v>Sumgait Branch</v>
      </c>
      <c r="G979" s="7">
        <v>174780.9</v>
      </c>
      <c r="H979" s="6">
        <v>9.09</v>
      </c>
      <c r="I979" t="s">
        <v>2377</v>
      </c>
      <c r="J979" t="str">
        <f t="shared" si="15"/>
        <v>Aşağı Risk</v>
      </c>
    </row>
    <row r="980" spans="1:10">
      <c r="A980">
        <v>1056</v>
      </c>
      <c r="B980">
        <v>21</v>
      </c>
      <c r="C980" t="str">
        <f>_xlfn.XLOOKUP(B980,raw_customers!A:A,raw_customers!B:B)</f>
        <v>Sevinc Sadıqov</v>
      </c>
      <c r="D980" t="str">
        <f>_xlfn.XLOOKUP(C980,raw_customers!B:B,raw_customers!C:C)</f>
        <v>F</v>
      </c>
      <c r="E980" t="str">
        <f>_xlfn.XLOOKUP(C980,raw_customers!B:B,raw_customers!G:G)</f>
        <v>Premium</v>
      </c>
      <c r="F980" t="str">
        <f>_xlfn.XLOOKUP(_xlfn.XLOOKUP(B980,raw_customers!A:A,raw_customers!F:F),raw_branches!A:A,raw_branches!B:B)</f>
        <v>Sheki Branch</v>
      </c>
      <c r="G980" s="7">
        <v>828.53</v>
      </c>
      <c r="H980" s="6">
        <v>13.47</v>
      </c>
      <c r="I980" t="s">
        <v>2377</v>
      </c>
      <c r="J980" t="str">
        <f t="shared" si="15"/>
        <v>Orta Risk</v>
      </c>
    </row>
    <row r="981" spans="1:10">
      <c r="A981">
        <v>1057</v>
      </c>
      <c r="B981">
        <v>328</v>
      </c>
      <c r="C981" t="str">
        <f>_xlfn.XLOOKUP(B981,raw_customers!A:A,raw_customers!B:B)</f>
        <v>Elvin Hüseynov</v>
      </c>
      <c r="D981" t="str">
        <f>_xlfn.XLOOKUP(C981,raw_customers!B:B,raw_customers!C:C)</f>
        <v>M</v>
      </c>
      <c r="E981" t="str">
        <f>_xlfn.XLOOKUP(C981,raw_customers!B:B,raw_customers!G:G)</f>
        <v>SME</v>
      </c>
      <c r="F981" t="str">
        <f>_xlfn.XLOOKUP(_xlfn.XLOOKUP(B981,raw_customers!A:A,raw_customers!F:F),raw_branches!A:A,raw_branches!B:B)</f>
        <v>Lankaran Branch</v>
      </c>
      <c r="G981" s="7">
        <v>149465.18</v>
      </c>
      <c r="H981" s="6">
        <v>10.85</v>
      </c>
      <c r="I981" t="s">
        <v>2383</v>
      </c>
      <c r="J981" t="str">
        <f t="shared" si="15"/>
        <v>Aşağı Risk</v>
      </c>
    </row>
    <row r="982" spans="1:10">
      <c r="A982">
        <v>1058</v>
      </c>
      <c r="B982">
        <v>208</v>
      </c>
      <c r="C982" t="str">
        <f>_xlfn.XLOOKUP(B982,raw_customers!A:A,raw_customers!B:B)</f>
        <v>Nigar Tağıyev</v>
      </c>
      <c r="D982" t="str">
        <f>_xlfn.XLOOKUP(C982,raw_customers!B:B,raw_customers!C:C)</f>
        <v>F</v>
      </c>
      <c r="E982" t="str">
        <f>_xlfn.XLOOKUP(C982,raw_customers!B:B,raw_customers!G:G)</f>
        <v>SME</v>
      </c>
      <c r="F982" t="str">
        <f>_xlfn.XLOOKUP(_xlfn.XLOOKUP(B982,raw_customers!A:A,raw_customers!F:F),raw_branches!A:A,raw_branches!B:B)</f>
        <v>Lankaran Branch</v>
      </c>
      <c r="G982" s="7">
        <v>18130.67</v>
      </c>
      <c r="H982" s="6">
        <v>17.99</v>
      </c>
      <c r="I982" t="s">
        <v>2393</v>
      </c>
      <c r="J982" t="str">
        <f t="shared" si="15"/>
        <v>Default (Batıq)</v>
      </c>
    </row>
    <row r="983" spans="1:10">
      <c r="A983">
        <v>1059</v>
      </c>
      <c r="B983">
        <v>347</v>
      </c>
      <c r="C983" t="str">
        <f>_xlfn.XLOOKUP(B983,raw_customers!A:A,raw_customers!B:B)</f>
        <v>Nərmin Vəliyev</v>
      </c>
      <c r="D983" t="str">
        <f>_xlfn.XLOOKUP(C983,raw_customers!B:B,raw_customers!C:C)</f>
        <v>F</v>
      </c>
      <c r="E983" t="str">
        <f>_xlfn.XLOOKUP(C983,raw_customers!B:B,raw_customers!G:G)</f>
        <v>Retail</v>
      </c>
      <c r="F983" t="str">
        <f>_xlfn.XLOOKUP(_xlfn.XLOOKUP(B983,raw_customers!A:A,raw_customers!F:F),raw_branches!A:A,raw_branches!B:B)</f>
        <v>Ganja Branch</v>
      </c>
      <c r="G983" s="7">
        <v>7475.56</v>
      </c>
      <c r="H983" s="6">
        <v>16.78</v>
      </c>
      <c r="I983" t="s">
        <v>2377</v>
      </c>
      <c r="J983" t="str">
        <f t="shared" si="15"/>
        <v>Orta Risk</v>
      </c>
    </row>
    <row r="984" spans="1:10">
      <c r="A984">
        <v>1060</v>
      </c>
      <c r="B984">
        <v>180</v>
      </c>
      <c r="C984" t="str">
        <f>_xlfn.XLOOKUP(B984,raw_customers!A:A,raw_customers!B:B)</f>
        <v>Şəbnəm Bağırov</v>
      </c>
      <c r="D984" t="str">
        <f>_xlfn.XLOOKUP(C984,raw_customers!B:B,raw_customers!C:C)</f>
        <v>F</v>
      </c>
      <c r="E984" t="str">
        <f>_xlfn.XLOOKUP(C984,raw_customers!B:B,raw_customers!G:G)</f>
        <v>Retail</v>
      </c>
      <c r="F984" t="str">
        <f>_xlfn.XLOOKUP(_xlfn.XLOOKUP(B984,raw_customers!A:A,raw_customers!F:F),raw_branches!A:A,raw_branches!B:B)</f>
        <v>Mingachevir Branch</v>
      </c>
      <c r="G984" s="7">
        <v>4253.3</v>
      </c>
      <c r="H984" s="6">
        <v>9.93</v>
      </c>
      <c r="I984" t="s">
        <v>2377</v>
      </c>
      <c r="J984" t="str">
        <f t="shared" si="15"/>
        <v>Aşağı Risk</v>
      </c>
    </row>
    <row r="985" spans="1:10">
      <c r="A985">
        <v>1061</v>
      </c>
      <c r="B985">
        <v>547</v>
      </c>
      <c r="C985" t="str">
        <f>_xlfn.XLOOKUP(B985,raw_customers!A:A,raw_customers!B:B)</f>
        <v>Şəbnəm Kərimov</v>
      </c>
      <c r="D985" t="str">
        <f>_xlfn.XLOOKUP(C985,raw_customers!B:B,raw_customers!C:C)</f>
        <v>F</v>
      </c>
      <c r="E985" t="str">
        <f>_xlfn.XLOOKUP(C985,raw_customers!B:B,raw_customers!G:G)</f>
        <v>Retail</v>
      </c>
      <c r="F985" t="str">
        <f>_xlfn.XLOOKUP(_xlfn.XLOOKUP(B985,raw_customers!A:A,raw_customers!F:F),raw_branches!A:A,raw_branches!B:B)</f>
        <v>Mingachevir Branch</v>
      </c>
      <c r="G985" s="7">
        <v>10272.68</v>
      </c>
      <c r="H985" s="6">
        <v>20.66</v>
      </c>
      <c r="I985" t="s">
        <v>2377</v>
      </c>
      <c r="J985" t="str">
        <f t="shared" si="15"/>
        <v>Yüksək Risk</v>
      </c>
    </row>
    <row r="986" spans="1:10">
      <c r="A986">
        <v>1062</v>
      </c>
      <c r="B986">
        <v>428</v>
      </c>
      <c r="C986" t="str">
        <f>_xlfn.XLOOKUP(B986,raw_customers!A:A,raw_customers!B:B)</f>
        <v>Mehriban Rzayev</v>
      </c>
      <c r="D986" t="str">
        <f>_xlfn.XLOOKUP(C986,raw_customers!B:B,raw_customers!C:C)</f>
        <v>F</v>
      </c>
      <c r="E986" t="str">
        <f>_xlfn.XLOOKUP(C986,raw_customers!B:B,raw_customers!G:G)</f>
        <v>Retail</v>
      </c>
      <c r="F986" t="str">
        <f>_xlfn.XLOOKUP(_xlfn.XLOOKUP(B986,raw_customers!A:A,raw_customers!F:F),raw_branches!A:A,raw_branches!B:B)</f>
        <v>Lankaran Branch</v>
      </c>
      <c r="G986" s="7">
        <v>57835.72</v>
      </c>
      <c r="H986" s="6">
        <v>20.82</v>
      </c>
      <c r="I986" t="s">
        <v>2377</v>
      </c>
      <c r="J986" t="str">
        <f t="shared" si="15"/>
        <v>Yüksək Risk</v>
      </c>
    </row>
    <row r="987" spans="1:10">
      <c r="A987">
        <v>1063</v>
      </c>
      <c r="B987">
        <v>507</v>
      </c>
      <c r="C987" t="str">
        <f>_xlfn.XLOOKUP(B987,raw_customers!A:A,raw_customers!B:B)</f>
        <v>Ceyhun Quliyev</v>
      </c>
      <c r="D987" t="str">
        <f>_xlfn.XLOOKUP(C987,raw_customers!B:B,raw_customers!C:C)</f>
        <v>M</v>
      </c>
      <c r="E987" t="str">
        <f>_xlfn.XLOOKUP(C987,raw_customers!B:B,raw_customers!G:G)</f>
        <v>Retail</v>
      </c>
      <c r="F987" t="str">
        <f>_xlfn.XLOOKUP(_xlfn.XLOOKUP(B987,raw_customers!A:A,raw_customers!F:F),raw_branches!A:A,raw_branches!B:B)</f>
        <v>Mingachevir Branch</v>
      </c>
      <c r="G987" s="7">
        <v>7544.84</v>
      </c>
      <c r="H987" s="6">
        <v>7.22</v>
      </c>
      <c r="I987" t="s">
        <v>2377</v>
      </c>
      <c r="J987" t="str">
        <f t="shared" si="15"/>
        <v>Aşağı Risk</v>
      </c>
    </row>
    <row r="988" spans="1:10">
      <c r="A988">
        <v>1064</v>
      </c>
      <c r="B988">
        <v>983</v>
      </c>
      <c r="C988" t="str">
        <f>_xlfn.XLOOKUP(B988,raw_customers!A:A,raw_customers!B:B)</f>
        <v>Orxan Kərimov</v>
      </c>
      <c r="D988" t="str">
        <f>_xlfn.XLOOKUP(C988,raw_customers!B:B,raw_customers!C:C)</f>
        <v>M</v>
      </c>
      <c r="E988" t="str">
        <f>_xlfn.XLOOKUP(C988,raw_customers!B:B,raw_customers!G:G)</f>
        <v>Premium</v>
      </c>
      <c r="F988" t="str">
        <f>_xlfn.XLOOKUP(_xlfn.XLOOKUP(B988,raw_customers!A:A,raw_customers!F:F),raw_branches!A:A,raw_branches!B:B)</f>
        <v>Lankaran Branch</v>
      </c>
      <c r="G988" s="7">
        <v>148081.85</v>
      </c>
      <c r="H988" s="6">
        <v>15.64</v>
      </c>
      <c r="I988" t="s">
        <v>2377</v>
      </c>
      <c r="J988" t="str">
        <f t="shared" si="15"/>
        <v>Orta Risk</v>
      </c>
    </row>
    <row r="989" spans="1:10">
      <c r="A989">
        <v>1065</v>
      </c>
      <c r="B989">
        <v>957</v>
      </c>
      <c r="C989" t="str">
        <f>_xlfn.XLOOKUP(B989,raw_customers!A:A,raw_customers!B:B)</f>
        <v>Röya Həsənov</v>
      </c>
      <c r="D989" t="str">
        <f>_xlfn.XLOOKUP(C989,raw_customers!B:B,raw_customers!C:C)</f>
        <v>F</v>
      </c>
      <c r="E989" t="str">
        <f>_xlfn.XLOOKUP(C989,raw_customers!B:B,raw_customers!G:G)</f>
        <v>Retail</v>
      </c>
      <c r="F989" t="str">
        <f>_xlfn.XLOOKUP(_xlfn.XLOOKUP(B989,raw_customers!A:A,raw_customers!F:F),raw_branches!A:A,raw_branches!B:B)</f>
        <v>Sumgait Branch</v>
      </c>
      <c r="G989" s="7">
        <v>1138.9</v>
      </c>
      <c r="H989" s="6">
        <v>9.07</v>
      </c>
      <c r="I989" t="s">
        <v>2377</v>
      </c>
      <c r="J989" t="str">
        <f t="shared" si="15"/>
        <v>Aşağı Risk</v>
      </c>
    </row>
    <row r="990" spans="1:10">
      <c r="A990">
        <v>1066</v>
      </c>
      <c r="B990">
        <v>636</v>
      </c>
      <c r="C990" t="str">
        <f>_xlfn.XLOOKUP(B990,raw_customers!A:A,raw_customers!B:B)</f>
        <v>Şəbnəm Tağıyev</v>
      </c>
      <c r="D990" t="str">
        <f>_xlfn.XLOOKUP(C990,raw_customers!B:B,raw_customers!C:C)</f>
        <v>F</v>
      </c>
      <c r="E990" t="str">
        <f>_xlfn.XLOOKUP(C990,raw_customers!B:B,raw_customers!G:G)</f>
        <v>Premium</v>
      </c>
      <c r="F990" t="str">
        <f>_xlfn.XLOOKUP(_xlfn.XLOOKUP(B990,raw_customers!A:A,raw_customers!F:F),raw_branches!A:A,raw_branches!B:B)</f>
        <v>Mingachevir Branch</v>
      </c>
      <c r="G990" s="7">
        <v>7128.01</v>
      </c>
      <c r="H990" s="6">
        <v>7.51</v>
      </c>
      <c r="I990" t="s">
        <v>2393</v>
      </c>
      <c r="J990" t="str">
        <f t="shared" si="15"/>
        <v>Default (Batıq)</v>
      </c>
    </row>
    <row r="991" spans="1:10">
      <c r="A991">
        <v>1067</v>
      </c>
      <c r="B991">
        <v>114</v>
      </c>
      <c r="C991" t="str">
        <f>_xlfn.XLOOKUP(B991,raw_customers!A:A,raw_customers!B:B)</f>
        <v>Ceyhun Bağırov</v>
      </c>
      <c r="D991" t="str">
        <f>_xlfn.XLOOKUP(C991,raw_customers!B:B,raw_customers!C:C)</f>
        <v>M</v>
      </c>
      <c r="E991" t="str">
        <f>_xlfn.XLOOKUP(C991,raw_customers!B:B,raw_customers!G:G)</f>
        <v>Retail</v>
      </c>
      <c r="F991" t="str">
        <f>_xlfn.XLOOKUP(_xlfn.XLOOKUP(B991,raw_customers!A:A,raw_customers!F:F),raw_branches!A:A,raw_branches!B:B)</f>
        <v>Mingachevir Branch</v>
      </c>
      <c r="G991" s="7">
        <v>1671.65</v>
      </c>
      <c r="H991" s="6">
        <v>17.66</v>
      </c>
      <c r="I991" t="s">
        <v>2377</v>
      </c>
      <c r="J991" t="str">
        <f t="shared" si="15"/>
        <v>Orta Risk</v>
      </c>
    </row>
    <row r="992" spans="1:10">
      <c r="A992">
        <v>1068</v>
      </c>
      <c r="B992">
        <v>637</v>
      </c>
      <c r="C992" t="str">
        <f>_xlfn.XLOOKUP(B992,raw_customers!A:A,raw_customers!B:B)</f>
        <v>Vəfa Hüseynov</v>
      </c>
      <c r="D992" t="str">
        <f>_xlfn.XLOOKUP(C992,raw_customers!B:B,raw_customers!C:C)</f>
        <v>F</v>
      </c>
      <c r="E992" t="str">
        <f>_xlfn.XLOOKUP(C992,raw_customers!B:B,raw_customers!G:G)</f>
        <v>Retail</v>
      </c>
      <c r="F992" t="str">
        <f>_xlfn.XLOOKUP(_xlfn.XLOOKUP(B992,raw_customers!A:A,raw_customers!F:F),raw_branches!A:A,raw_branches!B:B)</f>
        <v>Mingachevir Branch</v>
      </c>
      <c r="G992" s="7">
        <v>13746.11</v>
      </c>
      <c r="H992" s="6">
        <v>5.94</v>
      </c>
      <c r="I992" t="s">
        <v>2377</v>
      </c>
      <c r="J992" t="str">
        <f t="shared" si="15"/>
        <v>Aşağı Risk</v>
      </c>
    </row>
    <row r="993" spans="1:10">
      <c r="A993">
        <v>1069</v>
      </c>
      <c r="B993">
        <v>128</v>
      </c>
      <c r="C993" t="str">
        <f>_xlfn.XLOOKUP(B993,raw_customers!A:A,raw_customers!B:B)</f>
        <v>Nərmin Cəfərov</v>
      </c>
      <c r="D993" t="str">
        <f>_xlfn.XLOOKUP(C993,raw_customers!B:B,raw_customers!C:C)</f>
        <v>F</v>
      </c>
      <c r="E993" t="str">
        <f>_xlfn.XLOOKUP(C993,raw_customers!B:B,raw_customers!G:G)</f>
        <v>Retail</v>
      </c>
      <c r="F993" t="str">
        <f>_xlfn.XLOOKUP(_xlfn.XLOOKUP(B993,raw_customers!A:A,raw_customers!F:F),raw_branches!A:A,raw_branches!B:B)</f>
        <v>Baku Central</v>
      </c>
      <c r="G993" s="7">
        <v>153548.8</v>
      </c>
      <c r="H993" s="6">
        <v>14.36</v>
      </c>
      <c r="I993" t="s">
        <v>2377</v>
      </c>
      <c r="J993" t="str">
        <f t="shared" si="15"/>
        <v>Orta Risk</v>
      </c>
    </row>
    <row r="994" spans="1:10">
      <c r="A994">
        <v>1070</v>
      </c>
      <c r="B994">
        <v>906</v>
      </c>
      <c r="C994" t="str">
        <f>_xlfn.XLOOKUP(B994,raw_customers!A:A,raw_customers!B:B)</f>
        <v>Şəbnəm Musayev</v>
      </c>
      <c r="D994" t="str">
        <f>_xlfn.XLOOKUP(C994,raw_customers!B:B,raw_customers!C:C)</f>
        <v>F</v>
      </c>
      <c r="E994" t="str">
        <f>_xlfn.XLOOKUP(C994,raw_customers!B:B,raw_customers!G:G)</f>
        <v>Premium</v>
      </c>
      <c r="F994" t="str">
        <f>_xlfn.XLOOKUP(_xlfn.XLOOKUP(B994,raw_customers!A:A,raw_customers!F:F),raw_branches!A:A,raw_branches!B:B)</f>
        <v>Mingachevir Branch</v>
      </c>
      <c r="G994" s="7">
        <v>91758.06</v>
      </c>
      <c r="H994" s="6">
        <v>15.29</v>
      </c>
      <c r="I994" t="s">
        <v>2377</v>
      </c>
      <c r="J994" t="str">
        <f t="shared" si="15"/>
        <v>Orta Risk</v>
      </c>
    </row>
    <row r="995" spans="1:10">
      <c r="A995">
        <v>1071</v>
      </c>
      <c r="B995">
        <v>702</v>
      </c>
      <c r="C995" t="str">
        <f>_xlfn.XLOOKUP(B995,raw_customers!A:A,raw_customers!B:B)</f>
        <v>Murad Bağırov</v>
      </c>
      <c r="D995" t="str">
        <f>_xlfn.XLOOKUP(C995,raw_customers!B:B,raw_customers!C:C)</f>
        <v>M</v>
      </c>
      <c r="E995" t="str">
        <f>_xlfn.XLOOKUP(C995,raw_customers!B:B,raw_customers!G:G)</f>
        <v>SME</v>
      </c>
      <c r="F995" t="str">
        <f>_xlfn.XLOOKUP(_xlfn.XLOOKUP(B995,raw_customers!A:A,raw_customers!F:F),raw_branches!A:A,raw_branches!B:B)</f>
        <v>Baku Yasamal</v>
      </c>
      <c r="G995" s="7">
        <v>19865.16</v>
      </c>
      <c r="H995" s="6">
        <v>14.74</v>
      </c>
      <c r="I995" t="s">
        <v>2377</v>
      </c>
      <c r="J995" t="str">
        <f t="shared" si="15"/>
        <v>Orta Risk</v>
      </c>
    </row>
    <row r="996" spans="1:10">
      <c r="A996">
        <v>1072</v>
      </c>
      <c r="B996">
        <v>247</v>
      </c>
      <c r="C996" t="str">
        <f>_xlfn.XLOOKUP(B996,raw_customers!A:A,raw_customers!B:B)</f>
        <v>Samir Abbasov</v>
      </c>
      <c r="D996" t="str">
        <f>_xlfn.XLOOKUP(C996,raw_customers!B:B,raw_customers!C:C)</f>
        <v>M</v>
      </c>
      <c r="E996" t="str">
        <f>_xlfn.XLOOKUP(C996,raw_customers!B:B,raw_customers!G:G)</f>
        <v>Retail</v>
      </c>
      <c r="F996" t="str">
        <f>_xlfn.XLOOKUP(_xlfn.XLOOKUP(B996,raw_customers!A:A,raw_customers!F:F),raw_branches!A:A,raw_branches!B:B)</f>
        <v>Sheki Branch</v>
      </c>
      <c r="G996" s="7">
        <v>17426.09</v>
      </c>
      <c r="H996" s="6">
        <v>19.46</v>
      </c>
      <c r="I996" t="s">
        <v>2383</v>
      </c>
      <c r="J996" t="str">
        <f t="shared" si="15"/>
        <v>Yüksək Risk</v>
      </c>
    </row>
    <row r="997" spans="1:10">
      <c r="A997">
        <v>1073</v>
      </c>
      <c r="B997">
        <v>635</v>
      </c>
      <c r="C997" t="str">
        <f>_xlfn.XLOOKUP(B997,raw_customers!A:A,raw_customers!B:B)</f>
        <v>Emin Rzayev</v>
      </c>
      <c r="D997" t="str">
        <f>_xlfn.XLOOKUP(C997,raw_customers!B:B,raw_customers!C:C)</f>
        <v>M</v>
      </c>
      <c r="E997" t="str">
        <f>_xlfn.XLOOKUP(C997,raw_customers!B:B,raw_customers!G:G)</f>
        <v>Retail</v>
      </c>
      <c r="F997" t="str">
        <f>_xlfn.XLOOKUP(_xlfn.XLOOKUP(B997,raw_customers!A:A,raw_customers!F:F),raw_branches!A:A,raw_branches!B:B)</f>
        <v>Mingachevir Branch</v>
      </c>
      <c r="G997" s="7">
        <v>169031.05</v>
      </c>
      <c r="H997" s="6">
        <v>5.6</v>
      </c>
      <c r="I997" t="s">
        <v>2383</v>
      </c>
      <c r="J997" t="str">
        <f t="shared" si="15"/>
        <v>Aşağı Risk</v>
      </c>
    </row>
    <row r="998" spans="1:10">
      <c r="A998">
        <v>1074</v>
      </c>
      <c r="B998">
        <v>87</v>
      </c>
      <c r="C998" t="str">
        <f>_xlfn.XLOOKUP(B998,raw_customers!A:A,raw_customers!B:B)</f>
        <v>Mehriban Nəbiyev</v>
      </c>
      <c r="D998" t="str">
        <f>_xlfn.XLOOKUP(C998,raw_customers!B:B,raw_customers!C:C)</f>
        <v>F</v>
      </c>
      <c r="E998" t="str">
        <f>_xlfn.XLOOKUP(C998,raw_customers!B:B,raw_customers!G:G)</f>
        <v>Premium</v>
      </c>
      <c r="F998" t="str">
        <f>_xlfn.XLOOKUP(_xlfn.XLOOKUP(B998,raw_customers!A:A,raw_customers!F:F),raw_branches!A:A,raw_branches!B:B)</f>
        <v>Baku Yasamal</v>
      </c>
      <c r="G998" s="7">
        <v>1861.61</v>
      </c>
      <c r="H998" s="6">
        <v>18.18</v>
      </c>
      <c r="I998" t="s">
        <v>2377</v>
      </c>
      <c r="J998" t="str">
        <f t="shared" si="15"/>
        <v>Yüksək Risk</v>
      </c>
    </row>
    <row r="999" spans="1:10">
      <c r="A999">
        <v>1075</v>
      </c>
      <c r="B999">
        <v>417</v>
      </c>
      <c r="C999" t="str">
        <f>_xlfn.XLOOKUP(B999,raw_customers!A:A,raw_customers!B:B)</f>
        <v>Mehriban Musayev</v>
      </c>
      <c r="D999" t="str">
        <f>_xlfn.XLOOKUP(C999,raw_customers!B:B,raw_customers!C:C)</f>
        <v>F</v>
      </c>
      <c r="E999" t="str">
        <f>_xlfn.XLOOKUP(C999,raw_customers!B:B,raw_customers!G:G)</f>
        <v>Retail</v>
      </c>
      <c r="F999" t="str">
        <f>_xlfn.XLOOKUP(_xlfn.XLOOKUP(B999,raw_customers!A:A,raw_customers!F:F),raw_branches!A:A,raw_branches!B:B)</f>
        <v>Ganja Branch</v>
      </c>
      <c r="G999" s="7">
        <v>128771.61</v>
      </c>
      <c r="H999" s="6">
        <v>21.81</v>
      </c>
      <c r="I999" t="s">
        <v>2393</v>
      </c>
      <c r="J999" t="str">
        <f t="shared" si="15"/>
        <v>Default (Batıq)</v>
      </c>
    </row>
    <row r="1000" spans="1:10">
      <c r="A1000">
        <v>1076</v>
      </c>
      <c r="B1000">
        <v>423</v>
      </c>
      <c r="C1000" t="str">
        <f>_xlfn.XLOOKUP(B1000,raw_customers!A:A,raw_customers!B:B)</f>
        <v>Günel Həsənov</v>
      </c>
      <c r="D1000" t="str">
        <f>_xlfn.XLOOKUP(C1000,raw_customers!B:B,raw_customers!C:C)</f>
        <v>F</v>
      </c>
      <c r="E1000" t="str">
        <f>_xlfn.XLOOKUP(C1000,raw_customers!B:B,raw_customers!G:G)</f>
        <v>Premium</v>
      </c>
      <c r="F1000" t="str">
        <f>_xlfn.XLOOKUP(_xlfn.XLOOKUP(B1000,raw_customers!A:A,raw_customers!F:F),raw_branches!A:A,raw_branches!B:B)</f>
        <v>Baku Central</v>
      </c>
      <c r="G1000" s="7">
        <v>37545.23</v>
      </c>
      <c r="H1000" s="6">
        <v>7.21</v>
      </c>
      <c r="I1000" t="s">
        <v>2377</v>
      </c>
      <c r="J1000" t="str">
        <f t="shared" si="15"/>
        <v>Aşağı Risk</v>
      </c>
    </row>
    <row r="1001" spans="1:10">
      <c r="A1001">
        <v>1077</v>
      </c>
      <c r="B1001">
        <v>607</v>
      </c>
      <c r="C1001" t="str">
        <f>_xlfn.XLOOKUP(B1001,raw_customers!A:A,raw_customers!B:B)</f>
        <v>Fidan Hüseynov</v>
      </c>
      <c r="D1001" t="str">
        <f>_xlfn.XLOOKUP(C1001,raw_customers!B:B,raw_customers!C:C)</f>
        <v>F</v>
      </c>
      <c r="E1001" t="str">
        <f>_xlfn.XLOOKUP(C1001,raw_customers!B:B,raw_customers!G:G)</f>
        <v>Retail</v>
      </c>
      <c r="F1001" t="str">
        <f>_xlfn.XLOOKUP(_xlfn.XLOOKUP(B1001,raw_customers!A:A,raw_customers!F:F),raw_branches!A:A,raw_branches!B:B)</f>
        <v>Mingachevir Branch</v>
      </c>
      <c r="G1001" s="7">
        <v>171066.27</v>
      </c>
      <c r="H1001" s="6">
        <v>6.12</v>
      </c>
      <c r="I1001" t="s">
        <v>2377</v>
      </c>
      <c r="J1001" t="str">
        <f t="shared" si="15"/>
        <v>Aşağı Risk</v>
      </c>
    </row>
    <row r="1002" spans="1:10">
      <c r="A1002">
        <v>1078</v>
      </c>
      <c r="B1002">
        <v>386</v>
      </c>
      <c r="C1002" t="str">
        <f>_xlfn.XLOOKUP(B1002,raw_customers!A:A,raw_customers!B:B)</f>
        <v>Lalə Tağıyev</v>
      </c>
      <c r="D1002" t="str">
        <f>_xlfn.XLOOKUP(C1002,raw_customers!B:B,raw_customers!C:C)</f>
        <v>F</v>
      </c>
      <c r="E1002" t="str">
        <f>_xlfn.XLOOKUP(C1002,raw_customers!B:B,raw_customers!G:G)</f>
        <v>SME</v>
      </c>
      <c r="F1002" t="str">
        <f>_xlfn.XLOOKUP(_xlfn.XLOOKUP(B1002,raw_customers!A:A,raw_customers!F:F),raw_branches!A:A,raw_branches!B:B)</f>
        <v>Lankaran Branch</v>
      </c>
      <c r="G1002" s="7">
        <v>25807.53</v>
      </c>
      <c r="H1002" s="6">
        <v>18.08</v>
      </c>
      <c r="I1002" t="s">
        <v>2393</v>
      </c>
      <c r="J1002" t="str">
        <f t="shared" si="15"/>
        <v>Default (Batıq)</v>
      </c>
    </row>
    <row r="1003" spans="1:10">
      <c r="A1003">
        <v>1079</v>
      </c>
      <c r="B1003">
        <v>314</v>
      </c>
      <c r="C1003" t="str">
        <f>_xlfn.XLOOKUP(B1003,raw_customers!A:A,raw_customers!B:B)</f>
        <v>Nərgiz Tağıyev</v>
      </c>
      <c r="D1003" t="str">
        <f>_xlfn.XLOOKUP(C1003,raw_customers!B:B,raw_customers!C:C)</f>
        <v>F</v>
      </c>
      <c r="E1003" t="str">
        <f>_xlfn.XLOOKUP(C1003,raw_customers!B:B,raw_customers!G:G)</f>
        <v>SME</v>
      </c>
      <c r="F1003" t="str">
        <f>_xlfn.XLOOKUP(_xlfn.XLOOKUP(B1003,raw_customers!A:A,raw_customers!F:F),raw_branches!A:A,raw_branches!B:B)</f>
        <v>Sumgait Branch</v>
      </c>
      <c r="G1003" s="7">
        <v>39655.36</v>
      </c>
      <c r="H1003" s="6">
        <v>16.87</v>
      </c>
      <c r="I1003" t="s">
        <v>2377</v>
      </c>
      <c r="J1003" t="str">
        <f t="shared" si="15"/>
        <v>Orta Risk</v>
      </c>
    </row>
    <row r="1004" spans="1:10">
      <c r="A1004">
        <v>1080</v>
      </c>
      <c r="B1004">
        <v>1</v>
      </c>
      <c r="C1004" t="str">
        <f>_xlfn.XLOOKUP(B1004,raw_customers!A:A,raw_customers!B:B)</f>
        <v>Fidan Vəliyev</v>
      </c>
      <c r="D1004" t="str">
        <f>_xlfn.XLOOKUP(C1004,raw_customers!B:B,raw_customers!C:C)</f>
        <v>F</v>
      </c>
      <c r="E1004" t="str">
        <f>_xlfn.XLOOKUP(C1004,raw_customers!B:B,raw_customers!G:G)</f>
        <v>SME</v>
      </c>
      <c r="F1004" t="str">
        <f>_xlfn.XLOOKUP(_xlfn.XLOOKUP(B1004,raw_customers!A:A,raw_customers!F:F),raw_branches!A:A,raw_branches!B:B)</f>
        <v>Baku Yasamal</v>
      </c>
      <c r="G1004" s="7">
        <v>88708.99</v>
      </c>
      <c r="H1004" s="6">
        <v>11.02</v>
      </c>
      <c r="I1004" t="s">
        <v>2383</v>
      </c>
      <c r="J1004" t="str">
        <f t="shared" si="15"/>
        <v>Aşağı Risk</v>
      </c>
    </row>
    <row r="1005" spans="1:10">
      <c r="A1005">
        <v>1081</v>
      </c>
      <c r="B1005">
        <v>693</v>
      </c>
      <c r="C1005" t="str">
        <f>_xlfn.XLOOKUP(B1005,raw_customers!A:A,raw_customers!B:B)</f>
        <v>Murad Həsənov</v>
      </c>
      <c r="D1005" t="str">
        <f>_xlfn.XLOOKUP(C1005,raw_customers!B:B,raw_customers!C:C)</f>
        <v>M</v>
      </c>
      <c r="E1005" t="str">
        <f>_xlfn.XLOOKUP(C1005,raw_customers!B:B,raw_customers!G:G)</f>
        <v>Retail</v>
      </c>
      <c r="F1005" t="str">
        <f>_xlfn.XLOOKUP(_xlfn.XLOOKUP(B1005,raw_customers!A:A,raw_customers!F:F),raw_branches!A:A,raw_branches!B:B)</f>
        <v>Lankaran Branch</v>
      </c>
      <c r="G1005" s="7">
        <v>13161.12</v>
      </c>
      <c r="H1005" s="6">
        <v>19.3</v>
      </c>
      <c r="I1005" t="s">
        <v>2377</v>
      </c>
      <c r="J1005" t="str">
        <f t="shared" si="15"/>
        <v>Yüksək Risk</v>
      </c>
    </row>
    <row r="1006" spans="1:10">
      <c r="A1006">
        <v>1082</v>
      </c>
      <c r="B1006">
        <v>802</v>
      </c>
      <c r="C1006" t="str">
        <f>_xlfn.XLOOKUP(B1006,raw_customers!A:A,raw_customers!B:B)</f>
        <v>Günel Rəhimov</v>
      </c>
      <c r="D1006" t="str">
        <f>_xlfn.XLOOKUP(C1006,raw_customers!B:B,raw_customers!C:C)</f>
        <v>F</v>
      </c>
      <c r="E1006" t="str">
        <f>_xlfn.XLOOKUP(C1006,raw_customers!B:B,raw_customers!G:G)</f>
        <v>SME</v>
      </c>
      <c r="F1006" t="str">
        <f>_xlfn.XLOOKUP(_xlfn.XLOOKUP(B1006,raw_customers!A:A,raw_customers!F:F),raw_branches!A:A,raw_branches!B:B)</f>
        <v>Ganja Branch</v>
      </c>
      <c r="G1006" s="7">
        <v>94076.26</v>
      </c>
      <c r="H1006" s="6">
        <v>17.89</v>
      </c>
      <c r="I1006" t="s">
        <v>2383</v>
      </c>
      <c r="J1006" t="str">
        <f t="shared" si="15"/>
        <v>Orta Risk</v>
      </c>
    </row>
    <row r="1007" spans="1:10">
      <c r="A1007">
        <v>1083</v>
      </c>
      <c r="B1007">
        <v>985</v>
      </c>
      <c r="C1007" t="str">
        <f>_xlfn.XLOOKUP(B1007,raw_customers!A:A,raw_customers!B:B)</f>
        <v>Elvin Orucov</v>
      </c>
      <c r="D1007" t="str">
        <f>_xlfn.XLOOKUP(C1007,raw_customers!B:B,raw_customers!C:C)</f>
        <v>M</v>
      </c>
      <c r="E1007" t="str">
        <f>_xlfn.XLOOKUP(C1007,raw_customers!B:B,raw_customers!G:G)</f>
        <v>Premium</v>
      </c>
      <c r="F1007" t="str">
        <f>_xlfn.XLOOKUP(_xlfn.XLOOKUP(B1007,raw_customers!A:A,raw_customers!F:F),raw_branches!A:A,raw_branches!B:B)</f>
        <v>Sumgait Branch</v>
      </c>
      <c r="G1007" s="7">
        <v>37975.35</v>
      </c>
      <c r="H1007" s="6">
        <v>17.72</v>
      </c>
      <c r="I1007" t="s">
        <v>2377</v>
      </c>
      <c r="J1007" t="str">
        <f t="shared" si="15"/>
        <v>Orta Risk</v>
      </c>
    </row>
    <row r="1008" spans="1:10">
      <c r="A1008">
        <v>1084</v>
      </c>
      <c r="B1008">
        <v>91</v>
      </c>
      <c r="C1008" t="str">
        <f>_xlfn.XLOOKUP(B1008,raw_customers!A:A,raw_customers!B:B)</f>
        <v>Röya Məmmədov</v>
      </c>
      <c r="D1008" t="str">
        <f>_xlfn.XLOOKUP(C1008,raw_customers!B:B,raw_customers!C:C)</f>
        <v>F</v>
      </c>
      <c r="E1008" t="str">
        <f>_xlfn.XLOOKUP(C1008,raw_customers!B:B,raw_customers!G:G)</f>
        <v>SME</v>
      </c>
      <c r="F1008" t="str">
        <f>_xlfn.XLOOKUP(_xlfn.XLOOKUP(B1008,raw_customers!A:A,raw_customers!F:F),raw_branches!A:A,raw_branches!B:B)</f>
        <v>Lankaran Branch</v>
      </c>
      <c r="G1008" s="7">
        <v>2184.03</v>
      </c>
      <c r="H1008" s="6">
        <v>18.69</v>
      </c>
      <c r="I1008" t="s">
        <v>2377</v>
      </c>
      <c r="J1008" t="str">
        <f t="shared" si="15"/>
        <v>Yüksək Risk</v>
      </c>
    </row>
    <row r="1009" spans="1:10">
      <c r="A1009">
        <v>1085</v>
      </c>
      <c r="B1009">
        <v>876</v>
      </c>
      <c r="C1009" t="str">
        <f>_xlfn.XLOOKUP(B1009,raw_customers!A:A,raw_customers!B:B)</f>
        <v>Elvin Tağıyev</v>
      </c>
      <c r="D1009" t="str">
        <f>_xlfn.XLOOKUP(C1009,raw_customers!B:B,raw_customers!C:C)</f>
        <v>M</v>
      </c>
      <c r="E1009" t="str">
        <f>_xlfn.XLOOKUP(C1009,raw_customers!B:B,raw_customers!G:G)</f>
        <v>Retail</v>
      </c>
      <c r="F1009" t="str">
        <f>_xlfn.XLOOKUP(_xlfn.XLOOKUP(B1009,raw_customers!A:A,raw_customers!F:F),raw_branches!A:A,raw_branches!B:B)</f>
        <v>Baku Central</v>
      </c>
      <c r="G1009" s="7">
        <v>144807.37</v>
      </c>
      <c r="H1009" s="6">
        <v>21.78</v>
      </c>
      <c r="I1009" t="s">
        <v>2377</v>
      </c>
      <c r="J1009" t="str">
        <f t="shared" si="15"/>
        <v>Yüksək Risk</v>
      </c>
    </row>
    <row r="1010" spans="1:10">
      <c r="A1010">
        <v>1086</v>
      </c>
      <c r="B1010">
        <v>810</v>
      </c>
      <c r="C1010" t="str">
        <f>_xlfn.XLOOKUP(B1010,raw_customers!A:A,raw_customers!B:B)</f>
        <v>Fərid Bağırov</v>
      </c>
      <c r="D1010" t="str">
        <f>_xlfn.XLOOKUP(C1010,raw_customers!B:B,raw_customers!C:C)</f>
        <v>M</v>
      </c>
      <c r="E1010" t="str">
        <f>_xlfn.XLOOKUP(C1010,raw_customers!B:B,raw_customers!G:G)</f>
        <v>Retail</v>
      </c>
      <c r="F1010" t="str">
        <f>_xlfn.XLOOKUP(_xlfn.XLOOKUP(B1010,raw_customers!A:A,raw_customers!F:F),raw_branches!A:A,raw_branches!B:B)</f>
        <v>Baku Central</v>
      </c>
      <c r="G1010" s="7">
        <v>101267.01</v>
      </c>
      <c r="H1010" s="6">
        <v>5.71</v>
      </c>
      <c r="I1010" t="s">
        <v>2377</v>
      </c>
      <c r="J1010" t="str">
        <f t="shared" si="15"/>
        <v>Aşağı Risk</v>
      </c>
    </row>
    <row r="1011" spans="1:10">
      <c r="A1011">
        <v>1087</v>
      </c>
      <c r="B1011">
        <v>139</v>
      </c>
      <c r="C1011" t="str">
        <f>_xlfn.XLOOKUP(B1011,raw_customers!A:A,raw_customers!B:B)</f>
        <v>Anar Tağıyev</v>
      </c>
      <c r="D1011" t="str">
        <f>_xlfn.XLOOKUP(C1011,raw_customers!B:B,raw_customers!C:C)</f>
        <v>M</v>
      </c>
      <c r="E1011" t="str">
        <f>_xlfn.XLOOKUP(C1011,raw_customers!B:B,raw_customers!G:G)</f>
        <v>Retail</v>
      </c>
      <c r="F1011" t="str">
        <f>_xlfn.XLOOKUP(_xlfn.XLOOKUP(B1011,raw_customers!A:A,raw_customers!F:F),raw_branches!A:A,raw_branches!B:B)</f>
        <v>Ganja Branch</v>
      </c>
      <c r="G1011" s="7">
        <v>50900.31</v>
      </c>
      <c r="H1011" s="6">
        <v>13.37</v>
      </c>
      <c r="I1011" t="s">
        <v>2383</v>
      </c>
      <c r="J1011" t="str">
        <f t="shared" si="15"/>
        <v>Orta Risk</v>
      </c>
    </row>
    <row r="1012" spans="1:10">
      <c r="A1012">
        <v>1088</v>
      </c>
      <c r="B1012">
        <v>301</v>
      </c>
      <c r="C1012" t="str">
        <f>_xlfn.XLOOKUP(B1012,raw_customers!A:A,raw_customers!B:B)</f>
        <v>Nicat Abbasov</v>
      </c>
      <c r="D1012" t="str">
        <f>_xlfn.XLOOKUP(C1012,raw_customers!B:B,raw_customers!C:C)</f>
        <v>M</v>
      </c>
      <c r="E1012" t="str">
        <f>_xlfn.XLOOKUP(C1012,raw_customers!B:B,raw_customers!G:G)</f>
        <v>Retail</v>
      </c>
      <c r="F1012" t="str">
        <f>_xlfn.XLOOKUP(_xlfn.XLOOKUP(B1012,raw_customers!A:A,raw_customers!F:F),raw_branches!A:A,raw_branches!B:B)</f>
        <v>Baku Yasamal</v>
      </c>
      <c r="G1012" s="7">
        <v>141396.62</v>
      </c>
      <c r="H1012" s="6">
        <v>9.44</v>
      </c>
      <c r="I1012" t="s">
        <v>2377</v>
      </c>
      <c r="J1012" t="str">
        <f t="shared" si="15"/>
        <v>Aşağı Risk</v>
      </c>
    </row>
    <row r="1013" spans="1:10">
      <c r="A1013">
        <v>1089</v>
      </c>
      <c r="B1013">
        <v>825</v>
      </c>
      <c r="C1013" t="str">
        <f>_xlfn.XLOOKUP(B1013,raw_customers!A:A,raw_customers!B:B)</f>
        <v>Şəbnəm Quliyev</v>
      </c>
      <c r="D1013" t="str">
        <f>_xlfn.XLOOKUP(C1013,raw_customers!B:B,raw_customers!C:C)</f>
        <v>F</v>
      </c>
      <c r="E1013" t="str">
        <f>_xlfn.XLOOKUP(C1013,raw_customers!B:B,raw_customers!G:G)</f>
        <v>Retail</v>
      </c>
      <c r="F1013" t="str">
        <f>_xlfn.XLOOKUP(_xlfn.XLOOKUP(B1013,raw_customers!A:A,raw_customers!F:F),raw_branches!A:A,raw_branches!B:B)</f>
        <v>Ganja Branch</v>
      </c>
      <c r="G1013" s="7">
        <v>17286.57</v>
      </c>
      <c r="H1013" s="6">
        <v>5.92</v>
      </c>
      <c r="I1013" t="s">
        <v>2377</v>
      </c>
      <c r="J1013" t="str">
        <f t="shared" si="15"/>
        <v>Aşağı Risk</v>
      </c>
    </row>
    <row r="1014" spans="1:10">
      <c r="A1014">
        <v>1090</v>
      </c>
      <c r="B1014">
        <v>831</v>
      </c>
      <c r="C1014" t="str">
        <f>_xlfn.XLOOKUP(B1014,raw_customers!A:A,raw_customers!B:B)</f>
        <v>Vüqar İsmayılov</v>
      </c>
      <c r="D1014" t="str">
        <f>_xlfn.XLOOKUP(C1014,raw_customers!B:B,raw_customers!C:C)</f>
        <v>M</v>
      </c>
      <c r="E1014" t="str">
        <f>_xlfn.XLOOKUP(C1014,raw_customers!B:B,raw_customers!G:G)</f>
        <v>Retail</v>
      </c>
      <c r="F1014" t="str">
        <f>_xlfn.XLOOKUP(_xlfn.XLOOKUP(B1014,raw_customers!A:A,raw_customers!F:F),raw_branches!A:A,raw_branches!B:B)</f>
        <v>Mingachevir Branch</v>
      </c>
      <c r="G1014" s="7">
        <v>5059.56</v>
      </c>
      <c r="H1014" s="6">
        <v>15.23</v>
      </c>
      <c r="I1014" t="s">
        <v>2377</v>
      </c>
      <c r="J1014" t="str">
        <f t="shared" si="15"/>
        <v>Orta Risk</v>
      </c>
    </row>
    <row r="1015" spans="1:10">
      <c r="A1015">
        <v>1091</v>
      </c>
      <c r="B1015">
        <v>211</v>
      </c>
      <c r="C1015" t="str">
        <f>_xlfn.XLOOKUP(B1015,raw_customers!A:A,raw_customers!B:B)</f>
        <v>Könül Kərimov</v>
      </c>
      <c r="D1015" t="str">
        <f>_xlfn.XLOOKUP(C1015,raw_customers!B:B,raw_customers!C:C)</f>
        <v>F</v>
      </c>
      <c r="E1015" t="str">
        <f>_xlfn.XLOOKUP(C1015,raw_customers!B:B,raw_customers!G:G)</f>
        <v>Retail</v>
      </c>
      <c r="F1015" t="str">
        <f>_xlfn.XLOOKUP(_xlfn.XLOOKUP(B1015,raw_customers!A:A,raw_customers!F:F),raw_branches!A:A,raw_branches!B:B)</f>
        <v>Sumgait Branch</v>
      </c>
      <c r="G1015" s="7">
        <v>119266.88</v>
      </c>
      <c r="H1015" s="6">
        <v>21.79</v>
      </c>
      <c r="I1015" t="s">
        <v>2377</v>
      </c>
      <c r="J1015" t="str">
        <f t="shared" si="15"/>
        <v>Yüksək Risk</v>
      </c>
    </row>
    <row r="1016" spans="1:10">
      <c r="A1016">
        <v>1092</v>
      </c>
      <c r="B1016">
        <v>566</v>
      </c>
      <c r="C1016" t="str">
        <f>_xlfn.XLOOKUP(B1016,raw_customers!A:A,raw_customers!B:B)</f>
        <v>Aynur Cəfərov</v>
      </c>
      <c r="D1016" t="str">
        <f>_xlfn.XLOOKUP(C1016,raw_customers!B:B,raw_customers!C:C)</f>
        <v>F</v>
      </c>
      <c r="E1016" t="str">
        <f>_xlfn.XLOOKUP(C1016,raw_customers!B:B,raw_customers!G:G)</f>
        <v>SME</v>
      </c>
      <c r="F1016" t="str">
        <f>_xlfn.XLOOKUP(_xlfn.XLOOKUP(B1016,raw_customers!A:A,raw_customers!F:F),raw_branches!A:A,raw_branches!B:B)</f>
        <v>Baku Yasamal</v>
      </c>
      <c r="G1016" s="7">
        <v>15947.25</v>
      </c>
      <c r="H1016" s="6">
        <v>17.27</v>
      </c>
      <c r="I1016" t="s">
        <v>2377</v>
      </c>
      <c r="J1016" t="str">
        <f t="shared" si="15"/>
        <v>Orta Risk</v>
      </c>
    </row>
    <row r="1017" spans="1:10">
      <c r="A1017">
        <v>1093</v>
      </c>
      <c r="B1017">
        <v>632</v>
      </c>
      <c r="C1017" t="str">
        <f>_xlfn.XLOOKUP(B1017,raw_customers!A:A,raw_customers!B:B)</f>
        <v>Lalə Novruzov</v>
      </c>
      <c r="D1017" t="str">
        <f>_xlfn.XLOOKUP(C1017,raw_customers!B:B,raw_customers!C:C)</f>
        <v>F</v>
      </c>
      <c r="E1017" t="str">
        <f>_xlfn.XLOOKUP(C1017,raw_customers!B:B,raw_customers!G:G)</f>
        <v>Retail</v>
      </c>
      <c r="F1017" t="str">
        <f>_xlfn.XLOOKUP(_xlfn.XLOOKUP(B1017,raw_customers!A:A,raw_customers!F:F),raw_branches!A:A,raw_branches!B:B)</f>
        <v>Ganja Branch</v>
      </c>
      <c r="G1017" s="7">
        <v>11067.77</v>
      </c>
      <c r="H1017" s="6">
        <v>10.06</v>
      </c>
      <c r="I1017" t="s">
        <v>2383</v>
      </c>
      <c r="J1017" t="str">
        <f t="shared" si="15"/>
        <v>Aşağı Risk</v>
      </c>
    </row>
    <row r="1018" spans="1:10">
      <c r="A1018">
        <v>1094</v>
      </c>
      <c r="B1018">
        <v>619</v>
      </c>
      <c r="C1018" t="str">
        <f>_xlfn.XLOOKUP(B1018,raw_customers!A:A,raw_customers!B:B)</f>
        <v>Xəyalə Nəbiyev</v>
      </c>
      <c r="D1018" t="str">
        <f>_xlfn.XLOOKUP(C1018,raw_customers!B:B,raw_customers!C:C)</f>
        <v>F</v>
      </c>
      <c r="E1018" t="str">
        <f>_xlfn.XLOOKUP(C1018,raw_customers!B:B,raw_customers!G:G)</f>
        <v>Retail</v>
      </c>
      <c r="F1018" t="str">
        <f>_xlfn.XLOOKUP(_xlfn.XLOOKUP(B1018,raw_customers!A:A,raw_customers!F:F),raw_branches!A:A,raw_branches!B:B)</f>
        <v>Sumgait Branch</v>
      </c>
      <c r="G1018" s="7">
        <v>33464.15</v>
      </c>
      <c r="H1018" s="6">
        <v>10.61</v>
      </c>
      <c r="I1018" t="s">
        <v>2383</v>
      </c>
      <c r="J1018" t="str">
        <f t="shared" si="15"/>
        <v>Aşağı Risk</v>
      </c>
    </row>
    <row r="1019" spans="1:10">
      <c r="A1019">
        <v>1095</v>
      </c>
      <c r="B1019">
        <v>47</v>
      </c>
      <c r="C1019" t="str">
        <f>_xlfn.XLOOKUP(B1019,raw_customers!A:A,raw_customers!B:B)</f>
        <v>Ceyhun Sadıqov</v>
      </c>
      <c r="D1019" t="str">
        <f>_xlfn.XLOOKUP(C1019,raw_customers!B:B,raw_customers!C:C)</f>
        <v>M</v>
      </c>
      <c r="E1019" t="str">
        <f>_xlfn.XLOOKUP(C1019,raw_customers!B:B,raw_customers!G:G)</f>
        <v>Retail</v>
      </c>
      <c r="F1019" t="str">
        <f>_xlfn.XLOOKUP(_xlfn.XLOOKUP(B1019,raw_customers!A:A,raw_customers!F:F),raw_branches!A:A,raw_branches!B:B)</f>
        <v>Sheki Branch</v>
      </c>
      <c r="G1019" s="7">
        <v>547.41</v>
      </c>
      <c r="H1019" s="6">
        <v>7.95</v>
      </c>
      <c r="I1019" t="s">
        <v>2393</v>
      </c>
      <c r="J1019" t="str">
        <f t="shared" si="15"/>
        <v>Default (Batıq)</v>
      </c>
    </row>
    <row r="1020" spans="1:10">
      <c r="A1020">
        <v>1096</v>
      </c>
      <c r="B1020">
        <v>572</v>
      </c>
      <c r="C1020" t="str">
        <f>_xlfn.XLOOKUP(B1020,raw_customers!A:A,raw_customers!B:B)</f>
        <v>Türkan Əzizov</v>
      </c>
      <c r="D1020" t="str">
        <f>_xlfn.XLOOKUP(C1020,raw_customers!B:B,raw_customers!C:C)</f>
        <v>F</v>
      </c>
      <c r="E1020" t="str">
        <f>_xlfn.XLOOKUP(C1020,raw_customers!B:B,raw_customers!G:G)</f>
        <v>Retail</v>
      </c>
      <c r="F1020" t="str">
        <f>_xlfn.XLOOKUP(_xlfn.XLOOKUP(B1020,raw_customers!A:A,raw_customers!F:F),raw_branches!A:A,raw_branches!B:B)</f>
        <v>Baku Yasamal</v>
      </c>
      <c r="G1020" s="7">
        <v>5168.1</v>
      </c>
      <c r="H1020" s="6">
        <v>21.69</v>
      </c>
      <c r="I1020" t="s">
        <v>2377</v>
      </c>
      <c r="J1020" t="str">
        <f t="shared" si="15"/>
        <v>Yüksək Risk</v>
      </c>
    </row>
    <row r="1021" spans="1:10">
      <c r="A1021">
        <v>1097</v>
      </c>
      <c r="B1021">
        <v>339</v>
      </c>
      <c r="C1021" t="str">
        <f>_xlfn.XLOOKUP(B1021,raw_customers!A:A,raw_customers!B:B)</f>
        <v>Anar Bağırov</v>
      </c>
      <c r="D1021" t="str">
        <f>_xlfn.XLOOKUP(C1021,raw_customers!B:B,raw_customers!C:C)</f>
        <v>M</v>
      </c>
      <c r="E1021" t="str">
        <f>_xlfn.XLOOKUP(C1021,raw_customers!B:B,raw_customers!G:G)</f>
        <v>Premium</v>
      </c>
      <c r="F1021" t="str">
        <f>_xlfn.XLOOKUP(_xlfn.XLOOKUP(B1021,raw_customers!A:A,raw_customers!F:F),raw_branches!A:A,raw_branches!B:B)</f>
        <v>Sheki Branch</v>
      </c>
      <c r="G1021" s="7">
        <v>133551.57</v>
      </c>
      <c r="H1021" s="6">
        <v>19.96</v>
      </c>
      <c r="I1021" t="s">
        <v>2377</v>
      </c>
      <c r="J1021" t="str">
        <f t="shared" si="15"/>
        <v>Yüksək Risk</v>
      </c>
    </row>
    <row r="1022" spans="1:10">
      <c r="A1022">
        <v>1098</v>
      </c>
      <c r="B1022">
        <v>366</v>
      </c>
      <c r="C1022" t="str">
        <f>_xlfn.XLOOKUP(B1022,raw_customers!A:A,raw_customers!B:B)</f>
        <v>Könül Həsənov</v>
      </c>
      <c r="D1022" t="str">
        <f>_xlfn.XLOOKUP(C1022,raw_customers!B:B,raw_customers!C:C)</f>
        <v>F</v>
      </c>
      <c r="E1022" t="str">
        <f>_xlfn.XLOOKUP(C1022,raw_customers!B:B,raw_customers!G:G)</f>
        <v>Premium</v>
      </c>
      <c r="F1022" t="str">
        <f>_xlfn.XLOOKUP(_xlfn.XLOOKUP(B1022,raw_customers!A:A,raw_customers!F:F),raw_branches!A:A,raw_branches!B:B)</f>
        <v>Baku Central</v>
      </c>
      <c r="G1022" s="7">
        <v>13136.95</v>
      </c>
      <c r="H1022" s="6">
        <v>9.12</v>
      </c>
      <c r="I1022" t="s">
        <v>2377</v>
      </c>
      <c r="J1022" t="str">
        <f t="shared" si="15"/>
        <v>Aşağı Risk</v>
      </c>
    </row>
    <row r="1023" spans="1:10">
      <c r="A1023">
        <v>1099</v>
      </c>
      <c r="B1023">
        <v>680</v>
      </c>
      <c r="C1023" t="str">
        <f>_xlfn.XLOOKUP(B1023,raw_customers!A:A,raw_customers!B:B)</f>
        <v>Rüfət Rəhimov</v>
      </c>
      <c r="D1023" t="str">
        <f>_xlfn.XLOOKUP(C1023,raw_customers!B:B,raw_customers!C:C)</f>
        <v>M</v>
      </c>
      <c r="E1023" t="str">
        <f>_xlfn.XLOOKUP(C1023,raw_customers!B:B,raw_customers!G:G)</f>
        <v>Retail</v>
      </c>
      <c r="F1023" t="str">
        <f>_xlfn.XLOOKUP(_xlfn.XLOOKUP(B1023,raw_customers!A:A,raw_customers!F:F),raw_branches!A:A,raw_branches!B:B)</f>
        <v>Baku Central</v>
      </c>
      <c r="G1023" s="7">
        <v>3012.34</v>
      </c>
      <c r="H1023" s="6">
        <v>14.31</v>
      </c>
      <c r="I1023" t="s">
        <v>2377</v>
      </c>
      <c r="J1023" t="str">
        <f t="shared" si="15"/>
        <v>Orta Risk</v>
      </c>
    </row>
    <row r="1024" spans="1:10">
      <c r="A1024">
        <v>1100</v>
      </c>
      <c r="B1024">
        <v>488</v>
      </c>
      <c r="C1024" t="str">
        <f>_xlfn.XLOOKUP(B1024,raw_customers!A:A,raw_customers!B:B)</f>
        <v>Rəşad Abbasov</v>
      </c>
      <c r="D1024" t="str">
        <f>_xlfn.XLOOKUP(C1024,raw_customers!B:B,raw_customers!C:C)</f>
        <v>M</v>
      </c>
      <c r="E1024" t="str">
        <f>_xlfn.XLOOKUP(C1024,raw_customers!B:B,raw_customers!G:G)</f>
        <v>Retail</v>
      </c>
      <c r="F1024" t="str">
        <f>_xlfn.XLOOKUP(_xlfn.XLOOKUP(B1024,raw_customers!A:A,raw_customers!F:F),raw_branches!A:A,raw_branches!B:B)</f>
        <v>Sumgait Branch</v>
      </c>
      <c r="G1024" s="7">
        <v>135042.69</v>
      </c>
      <c r="H1024" s="6">
        <v>13.57</v>
      </c>
      <c r="I1024" t="s">
        <v>2377</v>
      </c>
      <c r="J1024" t="str">
        <f t="shared" si="15"/>
        <v>Orta Risk</v>
      </c>
    </row>
    <row r="1025" spans="1:10">
      <c r="A1025">
        <v>1101</v>
      </c>
      <c r="B1025">
        <v>973</v>
      </c>
      <c r="C1025" t="str">
        <f>_xlfn.XLOOKUP(B1025,raw_customers!A:A,raw_customers!B:B)</f>
        <v>Kənan Orucov</v>
      </c>
      <c r="D1025" t="str">
        <f>_xlfn.XLOOKUP(C1025,raw_customers!B:B,raw_customers!C:C)</f>
        <v>M</v>
      </c>
      <c r="E1025" t="str">
        <f>_xlfn.XLOOKUP(C1025,raw_customers!B:B,raw_customers!G:G)</f>
        <v>Retail</v>
      </c>
      <c r="F1025" t="str">
        <f>_xlfn.XLOOKUP(_xlfn.XLOOKUP(B1025,raw_customers!A:A,raw_customers!F:F),raw_branches!A:A,raw_branches!B:B)</f>
        <v>Sheki Branch</v>
      </c>
      <c r="G1025" s="7">
        <v>2942.65</v>
      </c>
      <c r="H1025" s="6">
        <v>21.43</v>
      </c>
      <c r="I1025" t="s">
        <v>2377</v>
      </c>
      <c r="J1025" t="str">
        <f t="shared" si="15"/>
        <v>Yüksək Risk</v>
      </c>
    </row>
    <row r="1026" spans="1:10">
      <c r="A1026">
        <v>1102</v>
      </c>
      <c r="B1026">
        <v>872</v>
      </c>
      <c r="C1026" t="str">
        <f>_xlfn.XLOOKUP(B1026,raw_customers!A:A,raw_customers!B:B)</f>
        <v>Elşən Nəbiyev</v>
      </c>
      <c r="D1026" t="str">
        <f>_xlfn.XLOOKUP(C1026,raw_customers!B:B,raw_customers!C:C)</f>
        <v>M</v>
      </c>
      <c r="E1026" t="str">
        <f>_xlfn.XLOOKUP(C1026,raw_customers!B:B,raw_customers!G:G)</f>
        <v>Retail</v>
      </c>
      <c r="F1026" t="str">
        <f>_xlfn.XLOOKUP(_xlfn.XLOOKUP(B1026,raw_customers!A:A,raw_customers!F:F),raw_branches!A:A,raw_branches!B:B)</f>
        <v>Baku Central</v>
      </c>
      <c r="G1026" s="7">
        <v>6816.88</v>
      </c>
      <c r="H1026" s="6">
        <v>12.12</v>
      </c>
      <c r="I1026" t="s">
        <v>2377</v>
      </c>
      <c r="J1026" t="str">
        <f t="shared" si="15"/>
        <v>Orta Risk</v>
      </c>
    </row>
    <row r="1027" spans="1:10">
      <c r="A1027">
        <v>1103</v>
      </c>
      <c r="B1027">
        <v>636</v>
      </c>
      <c r="C1027" t="str">
        <f>_xlfn.XLOOKUP(B1027,raw_customers!A:A,raw_customers!B:B)</f>
        <v>Şəbnəm Tağıyev</v>
      </c>
      <c r="D1027" t="str">
        <f>_xlfn.XLOOKUP(C1027,raw_customers!B:B,raw_customers!C:C)</f>
        <v>F</v>
      </c>
      <c r="E1027" t="str">
        <f>_xlfn.XLOOKUP(C1027,raw_customers!B:B,raw_customers!G:G)</f>
        <v>Premium</v>
      </c>
      <c r="F1027" t="str">
        <f>_xlfn.XLOOKUP(_xlfn.XLOOKUP(B1027,raw_customers!A:A,raw_customers!F:F),raw_branches!A:A,raw_branches!B:B)</f>
        <v>Mingachevir Branch</v>
      </c>
      <c r="G1027" s="7">
        <v>88832.17</v>
      </c>
      <c r="H1027" s="6">
        <v>9.47</v>
      </c>
      <c r="I1027" t="s">
        <v>2383</v>
      </c>
      <c r="J1027" t="str">
        <f t="shared" ref="J1027:J1090" si="16">IF(I1027="Default","Default (Batıq)",IF(H1027&gt;=18,"Yüksək Risk",IF(H1027&gt;=12,"Orta Risk","Aşağı Risk")))</f>
        <v>Aşağı Risk</v>
      </c>
    </row>
    <row r="1028" spans="1:10">
      <c r="A1028">
        <v>1104</v>
      </c>
      <c r="B1028">
        <v>236</v>
      </c>
      <c r="C1028" t="str">
        <f>_xlfn.XLOOKUP(B1028,raw_customers!A:A,raw_customers!B:B)</f>
        <v>Zeynəb Novruzov</v>
      </c>
      <c r="D1028" t="str">
        <f>_xlfn.XLOOKUP(C1028,raw_customers!B:B,raw_customers!C:C)</f>
        <v>F</v>
      </c>
      <c r="E1028" t="str">
        <f>_xlfn.XLOOKUP(C1028,raw_customers!B:B,raw_customers!G:G)</f>
        <v>Retail</v>
      </c>
      <c r="F1028" t="str">
        <f>_xlfn.XLOOKUP(_xlfn.XLOOKUP(B1028,raw_customers!A:A,raw_customers!F:F),raw_branches!A:A,raw_branches!B:B)</f>
        <v>Baku Central</v>
      </c>
      <c r="G1028" s="7">
        <v>194496.68</v>
      </c>
      <c r="H1028" s="6">
        <v>12.36</v>
      </c>
      <c r="I1028" t="s">
        <v>2383</v>
      </c>
      <c r="J1028" t="str">
        <f t="shared" si="16"/>
        <v>Orta Risk</v>
      </c>
    </row>
    <row r="1029" spans="1:10">
      <c r="A1029">
        <v>1105</v>
      </c>
      <c r="B1029">
        <v>97</v>
      </c>
      <c r="C1029" t="str">
        <f>_xlfn.XLOOKUP(B1029,raw_customers!A:A,raw_customers!B:B)</f>
        <v>Nərgiz Hüseynov</v>
      </c>
      <c r="D1029" t="str">
        <f>_xlfn.XLOOKUP(C1029,raw_customers!B:B,raw_customers!C:C)</f>
        <v>F</v>
      </c>
      <c r="E1029" t="str">
        <f>_xlfn.XLOOKUP(C1029,raw_customers!B:B,raw_customers!G:G)</f>
        <v>SME</v>
      </c>
      <c r="F1029" t="str">
        <f>_xlfn.XLOOKUP(_xlfn.XLOOKUP(B1029,raw_customers!A:A,raw_customers!F:F),raw_branches!A:A,raw_branches!B:B)</f>
        <v>Sumgait Branch</v>
      </c>
      <c r="G1029" s="7">
        <v>8676.21</v>
      </c>
      <c r="H1029" s="6">
        <v>17.03</v>
      </c>
      <c r="I1029" t="s">
        <v>2377</v>
      </c>
      <c r="J1029" t="str">
        <f t="shared" si="16"/>
        <v>Orta Risk</v>
      </c>
    </row>
    <row r="1030" spans="1:10">
      <c r="A1030">
        <v>1106</v>
      </c>
      <c r="B1030">
        <v>240</v>
      </c>
      <c r="C1030" t="str">
        <f>_xlfn.XLOOKUP(B1030,raw_customers!A:A,raw_customers!B:B)</f>
        <v>Samir Rəhimov</v>
      </c>
      <c r="D1030" t="str">
        <f>_xlfn.XLOOKUP(C1030,raw_customers!B:B,raw_customers!C:C)</f>
        <v>M</v>
      </c>
      <c r="E1030" t="str">
        <f>_xlfn.XLOOKUP(C1030,raw_customers!B:B,raw_customers!G:G)</f>
        <v>Retail</v>
      </c>
      <c r="F1030" t="str">
        <f>_xlfn.XLOOKUP(_xlfn.XLOOKUP(B1030,raw_customers!A:A,raw_customers!F:F),raw_branches!A:A,raw_branches!B:B)</f>
        <v>Sheki Branch</v>
      </c>
      <c r="G1030" s="7">
        <v>33814.05</v>
      </c>
      <c r="H1030" s="6">
        <v>15.58</v>
      </c>
      <c r="I1030" t="s">
        <v>2377</v>
      </c>
      <c r="J1030" t="str">
        <f t="shared" si="16"/>
        <v>Orta Risk</v>
      </c>
    </row>
    <row r="1031" spans="1:10">
      <c r="A1031">
        <v>1107</v>
      </c>
      <c r="B1031">
        <v>38</v>
      </c>
      <c r="C1031" t="str">
        <f>_xlfn.XLOOKUP(B1031,raw_customers!A:A,raw_customers!B:B)</f>
        <v>Şəbnəm Rzayev</v>
      </c>
      <c r="D1031" t="str">
        <f>_xlfn.XLOOKUP(C1031,raw_customers!B:B,raw_customers!C:C)</f>
        <v>F</v>
      </c>
      <c r="E1031" t="str">
        <f>_xlfn.XLOOKUP(C1031,raw_customers!B:B,raw_customers!G:G)</f>
        <v>Premium</v>
      </c>
      <c r="F1031" t="str">
        <f>_xlfn.XLOOKUP(_xlfn.XLOOKUP(B1031,raw_customers!A:A,raw_customers!F:F),raw_branches!A:A,raw_branches!B:B)</f>
        <v>Sumgait Branch</v>
      </c>
      <c r="G1031" s="7">
        <v>57502.63</v>
      </c>
      <c r="H1031" s="6">
        <v>11.63</v>
      </c>
      <c r="I1031" t="s">
        <v>2393</v>
      </c>
      <c r="J1031" t="str">
        <f t="shared" si="16"/>
        <v>Default (Batıq)</v>
      </c>
    </row>
    <row r="1032" spans="1:10">
      <c r="A1032">
        <v>1108</v>
      </c>
      <c r="B1032">
        <v>967</v>
      </c>
      <c r="C1032" t="str">
        <f>_xlfn.XLOOKUP(B1032,raw_customers!A:A,raw_customers!B:B)</f>
        <v>Tural Musayev</v>
      </c>
      <c r="D1032" t="str">
        <f>_xlfn.XLOOKUP(C1032,raw_customers!B:B,raw_customers!C:C)</f>
        <v>M</v>
      </c>
      <c r="E1032" t="str">
        <f>_xlfn.XLOOKUP(C1032,raw_customers!B:B,raw_customers!G:G)</f>
        <v>SME</v>
      </c>
      <c r="F1032" t="str">
        <f>_xlfn.XLOOKUP(_xlfn.XLOOKUP(B1032,raw_customers!A:A,raw_customers!F:F),raw_branches!A:A,raw_branches!B:B)</f>
        <v>Sumgait Branch</v>
      </c>
      <c r="G1032" s="7">
        <v>146702.97</v>
      </c>
      <c r="H1032" s="6">
        <v>20.27</v>
      </c>
      <c r="I1032" t="s">
        <v>2377</v>
      </c>
      <c r="J1032" t="str">
        <f t="shared" si="16"/>
        <v>Yüksək Risk</v>
      </c>
    </row>
    <row r="1033" spans="1:10">
      <c r="A1033">
        <v>1109</v>
      </c>
      <c r="B1033">
        <v>159</v>
      </c>
      <c r="C1033" t="str">
        <f>_xlfn.XLOOKUP(B1033,raw_customers!A:A,raw_customers!B:B)</f>
        <v>Emin Tağıyev</v>
      </c>
      <c r="D1033" t="str">
        <f>_xlfn.XLOOKUP(C1033,raw_customers!B:B,raw_customers!C:C)</f>
        <v>M</v>
      </c>
      <c r="E1033" t="str">
        <f>_xlfn.XLOOKUP(C1033,raw_customers!B:B,raw_customers!G:G)</f>
        <v>Retail</v>
      </c>
      <c r="F1033" t="str">
        <f>_xlfn.XLOOKUP(_xlfn.XLOOKUP(B1033,raw_customers!A:A,raw_customers!F:F),raw_branches!A:A,raw_branches!B:B)</f>
        <v>Lankaran Branch</v>
      </c>
      <c r="G1033" s="7">
        <v>24707.07</v>
      </c>
      <c r="H1033" s="6">
        <v>13.43</v>
      </c>
      <c r="I1033" t="s">
        <v>2383</v>
      </c>
      <c r="J1033" t="str">
        <f t="shared" si="16"/>
        <v>Orta Risk</v>
      </c>
    </row>
    <row r="1034" spans="1:10">
      <c r="A1034">
        <v>1110</v>
      </c>
      <c r="B1034">
        <v>490</v>
      </c>
      <c r="C1034" t="str">
        <f>_xlfn.XLOOKUP(B1034,raw_customers!A:A,raw_customers!B:B)</f>
        <v>Toğrul Musayev</v>
      </c>
      <c r="D1034" t="str">
        <f>_xlfn.XLOOKUP(C1034,raw_customers!B:B,raw_customers!C:C)</f>
        <v>M</v>
      </c>
      <c r="E1034" t="str">
        <f>_xlfn.XLOOKUP(C1034,raw_customers!B:B,raw_customers!G:G)</f>
        <v>Premium</v>
      </c>
      <c r="F1034" t="str">
        <f>_xlfn.XLOOKUP(_xlfn.XLOOKUP(B1034,raw_customers!A:A,raw_customers!F:F),raw_branches!A:A,raw_branches!B:B)</f>
        <v>Ganja Branch</v>
      </c>
      <c r="G1034" s="7">
        <v>4697.17</v>
      </c>
      <c r="H1034" s="6">
        <v>7.58</v>
      </c>
      <c r="I1034" t="s">
        <v>2377</v>
      </c>
      <c r="J1034" t="str">
        <f t="shared" si="16"/>
        <v>Aşağı Risk</v>
      </c>
    </row>
    <row r="1035" spans="1:10">
      <c r="A1035">
        <v>1111</v>
      </c>
      <c r="B1035">
        <v>994</v>
      </c>
      <c r="C1035" t="str">
        <f>_xlfn.XLOOKUP(B1035,raw_customers!A:A,raw_customers!B:B)</f>
        <v>Vüqar Novruzov</v>
      </c>
      <c r="D1035" t="str">
        <f>_xlfn.XLOOKUP(C1035,raw_customers!B:B,raw_customers!C:C)</f>
        <v>M</v>
      </c>
      <c r="E1035" t="str">
        <f>_xlfn.XLOOKUP(C1035,raw_customers!B:B,raw_customers!G:G)</f>
        <v>Retail</v>
      </c>
      <c r="F1035" t="str">
        <f>_xlfn.XLOOKUP(_xlfn.XLOOKUP(B1035,raw_customers!A:A,raw_customers!F:F),raw_branches!A:A,raw_branches!B:B)</f>
        <v>Ganja Branch</v>
      </c>
      <c r="G1035" s="7">
        <v>26255.37</v>
      </c>
      <c r="H1035" s="6">
        <v>21.9</v>
      </c>
      <c r="I1035" t="s">
        <v>2383</v>
      </c>
      <c r="J1035" t="str">
        <f t="shared" si="16"/>
        <v>Yüksək Risk</v>
      </c>
    </row>
    <row r="1036" spans="1:10">
      <c r="A1036">
        <v>1112</v>
      </c>
      <c r="B1036">
        <v>63</v>
      </c>
      <c r="C1036" t="str">
        <f>_xlfn.XLOOKUP(B1036,raw_customers!A:A,raw_customers!B:B)</f>
        <v>Ceyhun Rəhimov</v>
      </c>
      <c r="D1036" t="str">
        <f>_xlfn.XLOOKUP(C1036,raw_customers!B:B,raw_customers!C:C)</f>
        <v>M</v>
      </c>
      <c r="E1036" t="str">
        <f>_xlfn.XLOOKUP(C1036,raw_customers!B:B,raw_customers!G:G)</f>
        <v>Retail</v>
      </c>
      <c r="F1036" t="str">
        <f>_xlfn.XLOOKUP(_xlfn.XLOOKUP(B1036,raw_customers!A:A,raw_customers!F:F),raw_branches!A:A,raw_branches!B:B)</f>
        <v>Sumgait Branch</v>
      </c>
      <c r="G1036" s="7">
        <v>3701.82</v>
      </c>
      <c r="H1036" s="6">
        <v>15.29</v>
      </c>
      <c r="I1036" t="s">
        <v>2377</v>
      </c>
      <c r="J1036" t="str">
        <f t="shared" si="16"/>
        <v>Orta Risk</v>
      </c>
    </row>
    <row r="1037" spans="1:10">
      <c r="A1037">
        <v>1113</v>
      </c>
      <c r="B1037">
        <v>863</v>
      </c>
      <c r="C1037" t="str">
        <f>_xlfn.XLOOKUP(B1037,raw_customers!A:A,raw_customers!B:B)</f>
        <v>Ceyhun Hüseynov</v>
      </c>
      <c r="D1037" t="str">
        <f>_xlfn.XLOOKUP(C1037,raw_customers!B:B,raw_customers!C:C)</f>
        <v>M</v>
      </c>
      <c r="E1037" t="str">
        <f>_xlfn.XLOOKUP(C1037,raw_customers!B:B,raw_customers!G:G)</f>
        <v>Premium</v>
      </c>
      <c r="F1037" t="str">
        <f>_xlfn.XLOOKUP(_xlfn.XLOOKUP(B1037,raw_customers!A:A,raw_customers!F:F),raw_branches!A:A,raw_branches!B:B)</f>
        <v>Lankaran Branch</v>
      </c>
      <c r="G1037" s="7">
        <v>38718.66</v>
      </c>
      <c r="H1037" s="6">
        <v>14.8</v>
      </c>
      <c r="I1037" t="s">
        <v>2393</v>
      </c>
      <c r="J1037" t="str">
        <f t="shared" si="16"/>
        <v>Default (Batıq)</v>
      </c>
    </row>
    <row r="1038" spans="1:10">
      <c r="A1038">
        <v>1114</v>
      </c>
      <c r="B1038">
        <v>201</v>
      </c>
      <c r="C1038" t="str">
        <f>_xlfn.XLOOKUP(B1038,raw_customers!A:A,raw_customers!B:B)</f>
        <v>Türkan Məmmədov</v>
      </c>
      <c r="D1038" t="str">
        <f>_xlfn.XLOOKUP(C1038,raw_customers!B:B,raw_customers!C:C)</f>
        <v>F</v>
      </c>
      <c r="E1038" t="str">
        <f>_xlfn.XLOOKUP(C1038,raw_customers!B:B,raw_customers!G:G)</f>
        <v>SME</v>
      </c>
      <c r="F1038" t="str">
        <f>_xlfn.XLOOKUP(_xlfn.XLOOKUP(B1038,raw_customers!A:A,raw_customers!F:F),raw_branches!A:A,raw_branches!B:B)</f>
        <v>Sumgait Branch</v>
      </c>
      <c r="G1038" s="7">
        <v>118684.22</v>
      </c>
      <c r="H1038" s="6">
        <v>7.87</v>
      </c>
      <c r="I1038" t="s">
        <v>2383</v>
      </c>
      <c r="J1038" t="str">
        <f t="shared" si="16"/>
        <v>Aşağı Risk</v>
      </c>
    </row>
    <row r="1039" spans="1:10">
      <c r="A1039">
        <v>1115</v>
      </c>
      <c r="B1039">
        <v>961</v>
      </c>
      <c r="C1039" t="str">
        <f>_xlfn.XLOOKUP(B1039,raw_customers!A:A,raw_customers!B:B)</f>
        <v>Ramin Əliyev</v>
      </c>
      <c r="D1039" t="str">
        <f>_xlfn.XLOOKUP(C1039,raw_customers!B:B,raw_customers!C:C)</f>
        <v>M</v>
      </c>
      <c r="E1039" t="str">
        <f>_xlfn.XLOOKUP(C1039,raw_customers!B:B,raw_customers!G:G)</f>
        <v>SME</v>
      </c>
      <c r="F1039" t="str">
        <f>_xlfn.XLOOKUP(_xlfn.XLOOKUP(B1039,raw_customers!A:A,raw_customers!F:F),raw_branches!A:A,raw_branches!B:B)</f>
        <v>Sheki Branch</v>
      </c>
      <c r="G1039" s="7">
        <v>4012.33</v>
      </c>
      <c r="H1039" s="6">
        <v>20.17</v>
      </c>
      <c r="I1039" t="s">
        <v>2377</v>
      </c>
      <c r="J1039" t="str">
        <f t="shared" si="16"/>
        <v>Yüksək Risk</v>
      </c>
    </row>
    <row r="1040" spans="1:10">
      <c r="A1040">
        <v>1116</v>
      </c>
      <c r="B1040">
        <v>855</v>
      </c>
      <c r="C1040" t="str">
        <f>_xlfn.XLOOKUP(B1040,raw_customers!A:A,raw_customers!B:B)</f>
        <v>Səbinə Sadıqov</v>
      </c>
      <c r="D1040" t="str">
        <f>_xlfn.XLOOKUP(C1040,raw_customers!B:B,raw_customers!C:C)</f>
        <v>F</v>
      </c>
      <c r="E1040" t="str">
        <f>_xlfn.XLOOKUP(C1040,raw_customers!B:B,raw_customers!G:G)</f>
        <v>Retail</v>
      </c>
      <c r="F1040" t="str">
        <f>_xlfn.XLOOKUP(_xlfn.XLOOKUP(B1040,raw_customers!A:A,raw_customers!F:F),raw_branches!A:A,raw_branches!B:B)</f>
        <v>Mingachevir Branch</v>
      </c>
      <c r="G1040" s="7">
        <v>13663.6</v>
      </c>
      <c r="H1040" s="6">
        <v>17.35</v>
      </c>
      <c r="I1040" t="s">
        <v>2383</v>
      </c>
      <c r="J1040" t="str">
        <f t="shared" si="16"/>
        <v>Orta Risk</v>
      </c>
    </row>
    <row r="1041" spans="1:10">
      <c r="A1041">
        <v>1117</v>
      </c>
      <c r="B1041">
        <v>888</v>
      </c>
      <c r="C1041" t="str">
        <f>_xlfn.XLOOKUP(B1041,raw_customers!A:A,raw_customers!B:B)</f>
        <v>Rəşad Quliyev</v>
      </c>
      <c r="D1041" t="str">
        <f>_xlfn.XLOOKUP(C1041,raw_customers!B:B,raw_customers!C:C)</f>
        <v>M</v>
      </c>
      <c r="E1041" t="str">
        <f>_xlfn.XLOOKUP(C1041,raw_customers!B:B,raw_customers!G:G)</f>
        <v>Retail</v>
      </c>
      <c r="F1041" t="str">
        <f>_xlfn.XLOOKUP(_xlfn.XLOOKUP(B1041,raw_customers!A:A,raw_customers!F:F),raw_branches!A:A,raw_branches!B:B)</f>
        <v>Lankaran Branch</v>
      </c>
      <c r="G1041" s="7">
        <v>7820.62</v>
      </c>
      <c r="H1041" s="6">
        <v>9.6</v>
      </c>
      <c r="I1041" t="s">
        <v>2377</v>
      </c>
      <c r="J1041" t="str">
        <f t="shared" si="16"/>
        <v>Aşağı Risk</v>
      </c>
    </row>
    <row r="1042" spans="1:10">
      <c r="A1042">
        <v>1118</v>
      </c>
      <c r="B1042">
        <v>195</v>
      </c>
      <c r="C1042" t="str">
        <f>_xlfn.XLOOKUP(B1042,raw_customers!A:A,raw_customers!B:B)</f>
        <v>Fərid Musayev</v>
      </c>
      <c r="D1042" t="str">
        <f>_xlfn.XLOOKUP(C1042,raw_customers!B:B,raw_customers!C:C)</f>
        <v>M</v>
      </c>
      <c r="E1042" t="str">
        <f>_xlfn.XLOOKUP(C1042,raw_customers!B:B,raw_customers!G:G)</f>
        <v>Retail</v>
      </c>
      <c r="F1042" t="str">
        <f>_xlfn.XLOOKUP(_xlfn.XLOOKUP(B1042,raw_customers!A:A,raw_customers!F:F),raw_branches!A:A,raw_branches!B:B)</f>
        <v>Sumgait Branch</v>
      </c>
      <c r="G1042" s="7">
        <v>18546.87</v>
      </c>
      <c r="H1042" s="6">
        <v>7.77</v>
      </c>
      <c r="I1042" t="s">
        <v>2377</v>
      </c>
      <c r="J1042" t="str">
        <f t="shared" si="16"/>
        <v>Aşağı Risk</v>
      </c>
    </row>
    <row r="1043" spans="1:10">
      <c r="A1043">
        <v>1119</v>
      </c>
      <c r="B1043">
        <v>409</v>
      </c>
      <c r="C1043" t="str">
        <f>_xlfn.XLOOKUP(B1043,raw_customers!A:A,raw_customers!B:B)</f>
        <v>Orxan Əzizov</v>
      </c>
      <c r="D1043" t="str">
        <f>_xlfn.XLOOKUP(C1043,raw_customers!B:B,raw_customers!C:C)</f>
        <v>M</v>
      </c>
      <c r="E1043" t="str">
        <f>_xlfn.XLOOKUP(C1043,raw_customers!B:B,raw_customers!G:G)</f>
        <v>Retail</v>
      </c>
      <c r="F1043" t="str">
        <f>_xlfn.XLOOKUP(_xlfn.XLOOKUP(B1043,raw_customers!A:A,raw_customers!F:F),raw_branches!A:A,raw_branches!B:B)</f>
        <v>Baku Central</v>
      </c>
      <c r="G1043" s="7">
        <v>7972.09</v>
      </c>
      <c r="H1043" s="6">
        <v>17.76</v>
      </c>
      <c r="I1043" t="s">
        <v>2377</v>
      </c>
      <c r="J1043" t="str">
        <f t="shared" si="16"/>
        <v>Orta Risk</v>
      </c>
    </row>
    <row r="1044" spans="1:10">
      <c r="A1044">
        <v>1120</v>
      </c>
      <c r="B1044">
        <v>234</v>
      </c>
      <c r="C1044" t="str">
        <f>_xlfn.XLOOKUP(B1044,raw_customers!A:A,raw_customers!B:B)</f>
        <v>Səbinə Əzizov</v>
      </c>
      <c r="D1044" t="str">
        <f>_xlfn.XLOOKUP(C1044,raw_customers!B:B,raw_customers!C:C)</f>
        <v>F</v>
      </c>
      <c r="E1044" t="str">
        <f>_xlfn.XLOOKUP(C1044,raw_customers!B:B,raw_customers!G:G)</f>
        <v>Retail</v>
      </c>
      <c r="F1044" t="str">
        <f>_xlfn.XLOOKUP(_xlfn.XLOOKUP(B1044,raw_customers!A:A,raw_customers!F:F),raw_branches!A:A,raw_branches!B:B)</f>
        <v>Mingachevir Branch</v>
      </c>
      <c r="G1044" s="7">
        <v>12831.02</v>
      </c>
      <c r="H1044" s="6">
        <v>20.64</v>
      </c>
      <c r="I1044" t="s">
        <v>2383</v>
      </c>
      <c r="J1044" t="str">
        <f t="shared" si="16"/>
        <v>Yüksək Risk</v>
      </c>
    </row>
    <row r="1045" spans="1:10">
      <c r="A1045">
        <v>1121</v>
      </c>
      <c r="B1045">
        <v>971</v>
      </c>
      <c r="C1045" t="str">
        <f>_xlfn.XLOOKUP(B1045,raw_customers!A:A,raw_customers!B:B)</f>
        <v>Röya Orucov</v>
      </c>
      <c r="D1045" t="str">
        <f>_xlfn.XLOOKUP(C1045,raw_customers!B:B,raw_customers!C:C)</f>
        <v>F</v>
      </c>
      <c r="E1045" t="str">
        <f>_xlfn.XLOOKUP(C1045,raw_customers!B:B,raw_customers!G:G)</f>
        <v>Retail</v>
      </c>
      <c r="F1045" t="str">
        <f>_xlfn.XLOOKUP(_xlfn.XLOOKUP(B1045,raw_customers!A:A,raw_customers!F:F),raw_branches!A:A,raw_branches!B:B)</f>
        <v>Lankaran Branch</v>
      </c>
      <c r="G1045" s="7">
        <v>8948.58</v>
      </c>
      <c r="H1045" s="6">
        <v>19.25</v>
      </c>
      <c r="I1045" t="s">
        <v>2377</v>
      </c>
      <c r="J1045" t="str">
        <f t="shared" si="16"/>
        <v>Yüksək Risk</v>
      </c>
    </row>
    <row r="1046" spans="1:10">
      <c r="A1046">
        <v>1122</v>
      </c>
      <c r="B1046">
        <v>769</v>
      </c>
      <c r="C1046" t="str">
        <f>_xlfn.XLOOKUP(B1046,raw_customers!A:A,raw_customers!B:B)</f>
        <v>Murad Cəfərov</v>
      </c>
      <c r="D1046" t="str">
        <f>_xlfn.XLOOKUP(C1046,raw_customers!B:B,raw_customers!C:C)</f>
        <v>M</v>
      </c>
      <c r="E1046" t="str">
        <f>_xlfn.XLOOKUP(C1046,raw_customers!B:B,raw_customers!G:G)</f>
        <v>SME</v>
      </c>
      <c r="F1046" t="str">
        <f>_xlfn.XLOOKUP(_xlfn.XLOOKUP(B1046,raw_customers!A:A,raw_customers!F:F),raw_branches!A:A,raw_branches!B:B)</f>
        <v>Ganja Branch</v>
      </c>
      <c r="G1046" s="7">
        <v>6958.27</v>
      </c>
      <c r="H1046" s="6">
        <v>13.86</v>
      </c>
      <c r="I1046" t="s">
        <v>2377</v>
      </c>
      <c r="J1046" t="str">
        <f t="shared" si="16"/>
        <v>Orta Risk</v>
      </c>
    </row>
    <row r="1047" spans="1:10">
      <c r="A1047">
        <v>1123</v>
      </c>
      <c r="B1047">
        <v>585</v>
      </c>
      <c r="C1047" t="str">
        <f>_xlfn.XLOOKUP(B1047,raw_customers!A:A,raw_customers!B:B)</f>
        <v>Elvin Hüseynov</v>
      </c>
      <c r="D1047" t="str">
        <f>_xlfn.XLOOKUP(C1047,raw_customers!B:B,raw_customers!C:C)</f>
        <v>M</v>
      </c>
      <c r="E1047" t="str">
        <f>_xlfn.XLOOKUP(C1047,raw_customers!B:B,raw_customers!G:G)</f>
        <v>SME</v>
      </c>
      <c r="F1047" t="str">
        <f>_xlfn.XLOOKUP(_xlfn.XLOOKUP(B1047,raw_customers!A:A,raw_customers!F:F),raw_branches!A:A,raw_branches!B:B)</f>
        <v>Mingachevir Branch</v>
      </c>
      <c r="G1047" s="7">
        <v>26780.71</v>
      </c>
      <c r="H1047" s="6">
        <v>14.71</v>
      </c>
      <c r="I1047" t="s">
        <v>2377</v>
      </c>
      <c r="J1047" t="str">
        <f t="shared" si="16"/>
        <v>Orta Risk</v>
      </c>
    </row>
    <row r="1048" spans="1:10">
      <c r="A1048">
        <v>1124</v>
      </c>
      <c r="B1048">
        <v>116</v>
      </c>
      <c r="C1048" t="str">
        <f>_xlfn.XLOOKUP(B1048,raw_customers!A:A,raw_customers!B:B)</f>
        <v>Nərgiz İsmayılov</v>
      </c>
      <c r="D1048" t="str">
        <f>_xlfn.XLOOKUP(C1048,raw_customers!B:B,raw_customers!C:C)</f>
        <v>F</v>
      </c>
      <c r="E1048" t="str">
        <f>_xlfn.XLOOKUP(C1048,raw_customers!B:B,raw_customers!G:G)</f>
        <v>SME</v>
      </c>
      <c r="F1048" t="str">
        <f>_xlfn.XLOOKUP(_xlfn.XLOOKUP(B1048,raw_customers!A:A,raw_customers!F:F),raw_branches!A:A,raw_branches!B:B)</f>
        <v>Sumgait Branch</v>
      </c>
      <c r="G1048" s="7">
        <v>138356.75</v>
      </c>
      <c r="H1048" s="6">
        <v>18.29</v>
      </c>
      <c r="I1048" t="s">
        <v>2377</v>
      </c>
      <c r="J1048" t="str">
        <f t="shared" si="16"/>
        <v>Yüksək Risk</v>
      </c>
    </row>
    <row r="1049" spans="1:10">
      <c r="A1049">
        <v>1125</v>
      </c>
      <c r="B1049">
        <v>22</v>
      </c>
      <c r="C1049" t="str">
        <f>_xlfn.XLOOKUP(B1049,raw_customers!A:A,raw_customers!B:B)</f>
        <v>Nərgiz Əzizov</v>
      </c>
      <c r="D1049" t="str">
        <f>_xlfn.XLOOKUP(C1049,raw_customers!B:B,raw_customers!C:C)</f>
        <v>F</v>
      </c>
      <c r="E1049" t="str">
        <f>_xlfn.XLOOKUP(C1049,raw_customers!B:B,raw_customers!G:G)</f>
        <v>SME</v>
      </c>
      <c r="F1049" t="str">
        <f>_xlfn.XLOOKUP(_xlfn.XLOOKUP(B1049,raw_customers!A:A,raw_customers!F:F),raw_branches!A:A,raw_branches!B:B)</f>
        <v>Sumgait Branch</v>
      </c>
      <c r="G1049" s="7">
        <v>199763.33</v>
      </c>
      <c r="H1049" s="6">
        <v>8.01</v>
      </c>
      <c r="I1049" t="s">
        <v>2393</v>
      </c>
      <c r="J1049" t="str">
        <f t="shared" si="16"/>
        <v>Default (Batıq)</v>
      </c>
    </row>
    <row r="1050" spans="1:10">
      <c r="A1050">
        <v>1126</v>
      </c>
      <c r="B1050">
        <v>554</v>
      </c>
      <c r="C1050" t="str">
        <f>_xlfn.XLOOKUP(B1050,raw_customers!A:A,raw_customers!B:B)</f>
        <v>Səbinə Bağırov</v>
      </c>
      <c r="D1050" t="str">
        <f>_xlfn.XLOOKUP(C1050,raw_customers!B:B,raw_customers!C:C)</f>
        <v>F</v>
      </c>
      <c r="E1050" t="str">
        <f>_xlfn.XLOOKUP(C1050,raw_customers!B:B,raw_customers!G:G)</f>
        <v>SME</v>
      </c>
      <c r="F1050" t="str">
        <f>_xlfn.XLOOKUP(_xlfn.XLOOKUP(B1050,raw_customers!A:A,raw_customers!F:F),raw_branches!A:A,raw_branches!B:B)</f>
        <v>Sheki Branch</v>
      </c>
      <c r="G1050" s="7">
        <v>24621.89</v>
      </c>
      <c r="H1050" s="6">
        <v>10.28</v>
      </c>
      <c r="I1050" t="s">
        <v>2383</v>
      </c>
      <c r="J1050" t="str">
        <f t="shared" si="16"/>
        <v>Aşağı Risk</v>
      </c>
    </row>
    <row r="1051" spans="1:10">
      <c r="A1051">
        <v>1127</v>
      </c>
      <c r="B1051">
        <v>915</v>
      </c>
      <c r="C1051" t="str">
        <f>_xlfn.XLOOKUP(B1051,raw_customers!A:A,raw_customers!B:B)</f>
        <v>Leyla Məmmədov</v>
      </c>
      <c r="D1051" t="str">
        <f>_xlfn.XLOOKUP(C1051,raw_customers!B:B,raw_customers!C:C)</f>
        <v>F</v>
      </c>
      <c r="E1051" t="str">
        <f>_xlfn.XLOOKUP(C1051,raw_customers!B:B,raw_customers!G:G)</f>
        <v>Retail</v>
      </c>
      <c r="F1051" t="str">
        <f>_xlfn.XLOOKUP(_xlfn.XLOOKUP(B1051,raw_customers!A:A,raw_customers!F:F),raw_branches!A:A,raw_branches!B:B)</f>
        <v>Ganja Branch</v>
      </c>
      <c r="G1051" s="7">
        <v>20365.81</v>
      </c>
      <c r="H1051" s="6">
        <v>21.52</v>
      </c>
      <c r="I1051" t="s">
        <v>2393</v>
      </c>
      <c r="J1051" t="str">
        <f t="shared" si="16"/>
        <v>Default (Batıq)</v>
      </c>
    </row>
    <row r="1052" spans="1:10">
      <c r="A1052">
        <v>628</v>
      </c>
      <c r="B1052">
        <v>500</v>
      </c>
      <c r="C1052" t="str">
        <f>_xlfn.XLOOKUP(B1052,raw_customers!A:A,raw_customers!B:B)</f>
        <v>Anar Rzayev</v>
      </c>
      <c r="D1052" t="str">
        <f>_xlfn.XLOOKUP(C1052,raw_customers!B:B,raw_customers!C:C)</f>
        <v>M</v>
      </c>
      <c r="E1052" t="str">
        <f>_xlfn.XLOOKUP(C1052,raw_customers!B:B,raw_customers!G:G)</f>
        <v>SME</v>
      </c>
      <c r="F1052" t="str">
        <f>_xlfn.XLOOKUP(_xlfn.XLOOKUP(B1052,raw_customers!A:A,raw_customers!F:F),raw_branches!A:A,raw_branches!B:B)</f>
        <v>Mingachevir Branch</v>
      </c>
      <c r="G1052" s="7">
        <v>56883.47</v>
      </c>
      <c r="H1052" s="6">
        <v>17.76</v>
      </c>
      <c r="I1052" t="s">
        <v>2377</v>
      </c>
      <c r="J1052" t="str">
        <f t="shared" si="16"/>
        <v>Orta Risk</v>
      </c>
    </row>
    <row r="1053" spans="1:10">
      <c r="A1053">
        <v>629</v>
      </c>
      <c r="B1053">
        <v>801</v>
      </c>
      <c r="C1053" t="str">
        <f>_xlfn.XLOOKUP(B1053,raw_customers!A:A,raw_customers!B:B)</f>
        <v>Rüfət Novruzov</v>
      </c>
      <c r="D1053" t="str">
        <f>_xlfn.XLOOKUP(C1053,raw_customers!B:B,raw_customers!C:C)</f>
        <v>M</v>
      </c>
      <c r="E1053" t="str">
        <f>_xlfn.XLOOKUP(C1053,raw_customers!B:B,raw_customers!G:G)</f>
        <v>SME</v>
      </c>
      <c r="F1053" t="str">
        <f>_xlfn.XLOOKUP(_xlfn.XLOOKUP(B1053,raw_customers!A:A,raw_customers!F:F),raw_branches!A:A,raw_branches!B:B)</f>
        <v>Mingachevir Branch</v>
      </c>
      <c r="G1053" s="7">
        <v>8463.72</v>
      </c>
      <c r="H1053" s="6">
        <v>5.97</v>
      </c>
      <c r="I1053" t="s">
        <v>2377</v>
      </c>
      <c r="J1053" t="str">
        <f t="shared" si="16"/>
        <v>Aşağı Risk</v>
      </c>
    </row>
    <row r="1054" spans="1:10">
      <c r="A1054">
        <v>630</v>
      </c>
      <c r="B1054">
        <v>403</v>
      </c>
      <c r="C1054" t="str">
        <f>_xlfn.XLOOKUP(B1054,raw_customers!A:A,raw_customers!B:B)</f>
        <v>Anar Hüseynov</v>
      </c>
      <c r="D1054" t="str">
        <f>_xlfn.XLOOKUP(C1054,raw_customers!B:B,raw_customers!C:C)</f>
        <v>M</v>
      </c>
      <c r="E1054" t="str">
        <f>_xlfn.XLOOKUP(C1054,raw_customers!B:B,raw_customers!G:G)</f>
        <v>Retail</v>
      </c>
      <c r="F1054" t="str">
        <f>_xlfn.XLOOKUP(_xlfn.XLOOKUP(B1054,raw_customers!A:A,raw_customers!F:F),raw_branches!A:A,raw_branches!B:B)</f>
        <v>Baku Central</v>
      </c>
      <c r="G1054" s="7">
        <v>32828.37</v>
      </c>
      <c r="H1054" s="6">
        <v>13.24</v>
      </c>
      <c r="I1054" t="s">
        <v>2377</v>
      </c>
      <c r="J1054" t="str">
        <f t="shared" si="16"/>
        <v>Orta Risk</v>
      </c>
    </row>
    <row r="1055" spans="1:10">
      <c r="A1055">
        <v>631</v>
      </c>
      <c r="B1055">
        <v>946</v>
      </c>
      <c r="C1055" t="str">
        <f>_xlfn.XLOOKUP(B1055,raw_customers!A:A,raw_customers!B:B)</f>
        <v>Toğrul Vəliyev</v>
      </c>
      <c r="D1055" t="str">
        <f>_xlfn.XLOOKUP(C1055,raw_customers!B:B,raw_customers!C:C)</f>
        <v>M</v>
      </c>
      <c r="E1055" t="str">
        <f>_xlfn.XLOOKUP(C1055,raw_customers!B:B,raw_customers!G:G)</f>
        <v>SME</v>
      </c>
      <c r="F1055" t="str">
        <f>_xlfn.XLOOKUP(_xlfn.XLOOKUP(B1055,raw_customers!A:A,raw_customers!F:F),raw_branches!A:A,raw_branches!B:B)</f>
        <v>Baku Central</v>
      </c>
      <c r="G1055" s="7">
        <v>145550.8</v>
      </c>
      <c r="H1055" s="6">
        <v>8.4</v>
      </c>
      <c r="I1055" t="s">
        <v>2377</v>
      </c>
      <c r="J1055" t="str">
        <f t="shared" si="16"/>
        <v>Aşağı Risk</v>
      </c>
    </row>
    <row r="1056" spans="1:10">
      <c r="A1056">
        <v>632</v>
      </c>
      <c r="B1056">
        <v>926</v>
      </c>
      <c r="C1056" t="str">
        <f>_xlfn.XLOOKUP(B1056,raw_customers!A:A,raw_customers!B:B)</f>
        <v>Səbinə Nəbiyev</v>
      </c>
      <c r="D1056" t="str">
        <f>_xlfn.XLOOKUP(C1056,raw_customers!B:B,raw_customers!C:C)</f>
        <v>F</v>
      </c>
      <c r="E1056" t="str">
        <f>_xlfn.XLOOKUP(C1056,raw_customers!B:B,raw_customers!G:G)</f>
        <v>Retail</v>
      </c>
      <c r="F1056" t="str">
        <f>_xlfn.XLOOKUP(_xlfn.XLOOKUP(B1056,raw_customers!A:A,raw_customers!F:F),raw_branches!A:A,raw_branches!B:B)</f>
        <v>Baku Central</v>
      </c>
      <c r="G1056" s="7">
        <v>6035.31</v>
      </c>
      <c r="H1056" s="6">
        <v>9.67</v>
      </c>
      <c r="I1056" t="s">
        <v>2377</v>
      </c>
      <c r="J1056" t="str">
        <f t="shared" si="16"/>
        <v>Aşağı Risk</v>
      </c>
    </row>
    <row r="1057" spans="1:10">
      <c r="A1057">
        <v>633</v>
      </c>
      <c r="B1057">
        <v>208</v>
      </c>
      <c r="C1057" t="str">
        <f>_xlfn.XLOOKUP(B1057,raw_customers!A:A,raw_customers!B:B)</f>
        <v>Nigar Tağıyev</v>
      </c>
      <c r="D1057" t="str">
        <f>_xlfn.XLOOKUP(C1057,raw_customers!B:B,raw_customers!C:C)</f>
        <v>F</v>
      </c>
      <c r="E1057" t="str">
        <f>_xlfn.XLOOKUP(C1057,raw_customers!B:B,raw_customers!G:G)</f>
        <v>SME</v>
      </c>
      <c r="F1057" t="str">
        <f>_xlfn.XLOOKUP(_xlfn.XLOOKUP(B1057,raw_customers!A:A,raw_customers!F:F),raw_branches!A:A,raw_branches!B:B)</f>
        <v>Lankaran Branch</v>
      </c>
      <c r="G1057" s="7">
        <v>5334.64</v>
      </c>
      <c r="H1057" s="6">
        <v>12.3</v>
      </c>
      <c r="I1057" t="s">
        <v>2377</v>
      </c>
      <c r="J1057" t="str">
        <f t="shared" si="16"/>
        <v>Orta Risk</v>
      </c>
    </row>
    <row r="1058" spans="1:10">
      <c r="A1058">
        <v>634</v>
      </c>
      <c r="B1058">
        <v>14</v>
      </c>
      <c r="C1058" t="str">
        <f>_xlfn.XLOOKUP(B1058,raw_customers!A:A,raw_customers!B:B)</f>
        <v>Nərgiz Abbasov</v>
      </c>
      <c r="D1058" t="str">
        <f>_xlfn.XLOOKUP(C1058,raw_customers!B:B,raw_customers!C:C)</f>
        <v>F</v>
      </c>
      <c r="E1058" t="str">
        <f>_xlfn.XLOOKUP(C1058,raw_customers!B:B,raw_customers!G:G)</f>
        <v>Retail</v>
      </c>
      <c r="F1058" t="str">
        <f>_xlfn.XLOOKUP(_xlfn.XLOOKUP(B1058,raw_customers!A:A,raw_customers!F:F),raw_branches!A:A,raw_branches!B:B)</f>
        <v>Sheki Branch</v>
      </c>
      <c r="G1058" s="7">
        <v>13912.69</v>
      </c>
      <c r="H1058" s="6">
        <v>8.38</v>
      </c>
      <c r="I1058" t="s">
        <v>2383</v>
      </c>
      <c r="J1058" t="str">
        <f t="shared" si="16"/>
        <v>Aşağı Risk</v>
      </c>
    </row>
    <row r="1059" spans="1:10">
      <c r="A1059">
        <v>635</v>
      </c>
      <c r="B1059">
        <v>445</v>
      </c>
      <c r="C1059" t="str">
        <f>_xlfn.XLOOKUP(B1059,raw_customers!A:A,raw_customers!B:B)</f>
        <v>Lalə Hüseynov</v>
      </c>
      <c r="D1059" t="str">
        <f>_xlfn.XLOOKUP(C1059,raw_customers!B:B,raw_customers!C:C)</f>
        <v>F</v>
      </c>
      <c r="E1059" t="str">
        <f>_xlfn.XLOOKUP(C1059,raw_customers!B:B,raw_customers!G:G)</f>
        <v>Premium</v>
      </c>
      <c r="F1059" t="str">
        <f>_xlfn.XLOOKUP(_xlfn.XLOOKUP(B1059,raw_customers!A:A,raw_customers!F:F),raw_branches!A:A,raw_branches!B:B)</f>
        <v>Sumgait Branch</v>
      </c>
      <c r="G1059" s="7">
        <v>152434.27</v>
      </c>
      <c r="H1059" s="6">
        <v>21.17</v>
      </c>
      <c r="I1059" t="s">
        <v>2377</v>
      </c>
      <c r="J1059" t="str">
        <f t="shared" si="16"/>
        <v>Yüksək Risk</v>
      </c>
    </row>
    <row r="1060" spans="1:10">
      <c r="A1060">
        <v>636</v>
      </c>
      <c r="B1060">
        <v>726</v>
      </c>
      <c r="C1060" t="str">
        <f>_xlfn.XLOOKUP(B1060,raw_customers!A:A,raw_customers!B:B)</f>
        <v>Zeynəb Həsənov</v>
      </c>
      <c r="D1060" t="str">
        <f>_xlfn.XLOOKUP(C1060,raw_customers!B:B,raw_customers!C:C)</f>
        <v>F</v>
      </c>
      <c r="E1060" t="str">
        <f>_xlfn.XLOOKUP(C1060,raw_customers!B:B,raw_customers!G:G)</f>
        <v>Premium</v>
      </c>
      <c r="F1060" t="str">
        <f>_xlfn.XLOOKUP(_xlfn.XLOOKUP(B1060,raw_customers!A:A,raw_customers!F:F),raw_branches!A:A,raw_branches!B:B)</f>
        <v>Sumgait Branch</v>
      </c>
      <c r="G1060" s="7">
        <v>3771.32</v>
      </c>
      <c r="H1060" s="6">
        <v>10.64</v>
      </c>
      <c r="I1060" t="s">
        <v>2377</v>
      </c>
      <c r="J1060" t="str">
        <f t="shared" si="16"/>
        <v>Aşağı Risk</v>
      </c>
    </row>
    <row r="1061" spans="1:10">
      <c r="A1061">
        <v>637</v>
      </c>
      <c r="B1061">
        <v>611</v>
      </c>
      <c r="C1061" t="str">
        <f>_xlfn.XLOOKUP(B1061,raw_customers!A:A,raw_customers!B:B)</f>
        <v>Lalə Abbasov</v>
      </c>
      <c r="D1061" t="str">
        <f>_xlfn.XLOOKUP(C1061,raw_customers!B:B,raw_customers!C:C)</f>
        <v>F</v>
      </c>
      <c r="E1061" t="str">
        <f>_xlfn.XLOOKUP(C1061,raw_customers!B:B,raw_customers!G:G)</f>
        <v>Retail</v>
      </c>
      <c r="F1061" t="str">
        <f>_xlfn.XLOOKUP(_xlfn.XLOOKUP(B1061,raw_customers!A:A,raw_customers!F:F),raw_branches!A:A,raw_branches!B:B)</f>
        <v>Sheki Branch</v>
      </c>
      <c r="G1061" s="7">
        <v>31115.44</v>
      </c>
      <c r="H1061" s="6">
        <v>20.54</v>
      </c>
      <c r="I1061" t="s">
        <v>2383</v>
      </c>
      <c r="J1061" t="str">
        <f t="shared" si="16"/>
        <v>Yüksək Risk</v>
      </c>
    </row>
    <row r="1062" spans="1:10">
      <c r="A1062">
        <v>638</v>
      </c>
      <c r="B1062">
        <v>355</v>
      </c>
      <c r="C1062" t="str">
        <f>_xlfn.XLOOKUP(B1062,raw_customers!A:A,raw_customers!B:B)</f>
        <v>Mehriban Hüseynov</v>
      </c>
      <c r="D1062" t="str">
        <f>_xlfn.XLOOKUP(C1062,raw_customers!B:B,raw_customers!C:C)</f>
        <v>F</v>
      </c>
      <c r="E1062" t="str">
        <f>_xlfn.XLOOKUP(C1062,raw_customers!B:B,raw_customers!G:G)</f>
        <v>SME</v>
      </c>
      <c r="F1062" t="str">
        <f>_xlfn.XLOOKUP(_xlfn.XLOOKUP(B1062,raw_customers!A:A,raw_customers!F:F),raw_branches!A:A,raw_branches!B:B)</f>
        <v>Sumgait Branch</v>
      </c>
      <c r="G1062" s="7">
        <v>3240.71</v>
      </c>
      <c r="H1062" s="6">
        <v>9.15</v>
      </c>
      <c r="I1062" t="s">
        <v>2393</v>
      </c>
      <c r="J1062" t="str">
        <f t="shared" si="16"/>
        <v>Default (Batıq)</v>
      </c>
    </row>
    <row r="1063" spans="1:10">
      <c r="A1063">
        <v>639</v>
      </c>
      <c r="B1063">
        <v>283</v>
      </c>
      <c r="C1063" t="str">
        <f>_xlfn.XLOOKUP(B1063,raw_customers!A:A,raw_customers!B:B)</f>
        <v>Fuad Rzayev</v>
      </c>
      <c r="D1063" t="str">
        <f>_xlfn.XLOOKUP(C1063,raw_customers!B:B,raw_customers!C:C)</f>
        <v>M</v>
      </c>
      <c r="E1063" t="str">
        <f>_xlfn.XLOOKUP(C1063,raw_customers!B:B,raw_customers!G:G)</f>
        <v>SME</v>
      </c>
      <c r="F1063" t="str">
        <f>_xlfn.XLOOKUP(_xlfn.XLOOKUP(B1063,raw_customers!A:A,raw_customers!F:F),raw_branches!A:A,raw_branches!B:B)</f>
        <v>Baku Central</v>
      </c>
      <c r="G1063" s="7">
        <v>95485.57</v>
      </c>
      <c r="H1063" s="6">
        <v>8.08</v>
      </c>
      <c r="I1063" t="s">
        <v>2377</v>
      </c>
      <c r="J1063" t="str">
        <f t="shared" si="16"/>
        <v>Aşağı Risk</v>
      </c>
    </row>
    <row r="1064" spans="1:10">
      <c r="A1064">
        <v>640</v>
      </c>
      <c r="B1064">
        <v>492</v>
      </c>
      <c r="C1064" t="str">
        <f>_xlfn.XLOOKUP(B1064,raw_customers!A:A,raw_customers!B:B)</f>
        <v>Nərmin Orucov</v>
      </c>
      <c r="D1064" t="str">
        <f>_xlfn.XLOOKUP(C1064,raw_customers!B:B,raw_customers!C:C)</f>
        <v>F</v>
      </c>
      <c r="E1064" t="str">
        <f>_xlfn.XLOOKUP(C1064,raw_customers!B:B,raw_customers!G:G)</f>
        <v>Retail</v>
      </c>
      <c r="F1064" t="str">
        <f>_xlfn.XLOOKUP(_xlfn.XLOOKUP(B1064,raw_customers!A:A,raw_customers!F:F),raw_branches!A:A,raw_branches!B:B)</f>
        <v>Sumgait Branch</v>
      </c>
      <c r="G1064" s="7">
        <v>118125.17</v>
      </c>
      <c r="H1064" s="6">
        <v>12.12</v>
      </c>
      <c r="I1064" t="s">
        <v>2383</v>
      </c>
      <c r="J1064" t="str">
        <f t="shared" si="16"/>
        <v>Orta Risk</v>
      </c>
    </row>
    <row r="1065" spans="1:10">
      <c r="A1065">
        <v>641</v>
      </c>
      <c r="B1065">
        <v>990</v>
      </c>
      <c r="C1065" t="str">
        <f>_xlfn.XLOOKUP(B1065,raw_customers!A:A,raw_customers!B:B)</f>
        <v>Elşən Əliyev</v>
      </c>
      <c r="D1065" t="str">
        <f>_xlfn.XLOOKUP(C1065,raw_customers!B:B,raw_customers!C:C)</f>
        <v>M</v>
      </c>
      <c r="E1065" t="str">
        <f>_xlfn.XLOOKUP(C1065,raw_customers!B:B,raw_customers!G:G)</f>
        <v>SME</v>
      </c>
      <c r="F1065" t="str">
        <f>_xlfn.XLOOKUP(_xlfn.XLOOKUP(B1065,raw_customers!A:A,raw_customers!F:F),raw_branches!A:A,raw_branches!B:B)</f>
        <v>Ganja Branch</v>
      </c>
      <c r="G1065" s="7">
        <v>176426.84</v>
      </c>
      <c r="H1065" s="6">
        <v>17.63</v>
      </c>
      <c r="I1065" t="s">
        <v>2377</v>
      </c>
      <c r="J1065" t="str">
        <f t="shared" si="16"/>
        <v>Orta Risk</v>
      </c>
    </row>
    <row r="1066" spans="1:10">
      <c r="A1066">
        <v>642</v>
      </c>
      <c r="B1066">
        <v>404</v>
      </c>
      <c r="C1066" t="str">
        <f>_xlfn.XLOOKUP(B1066,raw_customers!A:A,raw_customers!B:B)</f>
        <v>Türkan Rəhimov</v>
      </c>
      <c r="D1066" t="str">
        <f>_xlfn.XLOOKUP(C1066,raw_customers!B:B,raw_customers!C:C)</f>
        <v>F</v>
      </c>
      <c r="E1066" t="str">
        <f>_xlfn.XLOOKUP(C1066,raw_customers!B:B,raw_customers!G:G)</f>
        <v>SME</v>
      </c>
      <c r="F1066" t="str">
        <f>_xlfn.XLOOKUP(_xlfn.XLOOKUP(B1066,raw_customers!A:A,raw_customers!F:F),raw_branches!A:A,raw_branches!B:B)</f>
        <v>Ganja Branch</v>
      </c>
      <c r="G1066" s="7">
        <v>24149.51</v>
      </c>
      <c r="H1066" s="6">
        <v>10.95</v>
      </c>
      <c r="I1066" t="s">
        <v>2377</v>
      </c>
      <c r="J1066" t="str">
        <f t="shared" si="16"/>
        <v>Aşağı Risk</v>
      </c>
    </row>
    <row r="1067" spans="1:10">
      <c r="A1067">
        <v>643</v>
      </c>
      <c r="B1067">
        <v>755</v>
      </c>
      <c r="C1067" t="str">
        <f>_xlfn.XLOOKUP(B1067,raw_customers!A:A,raw_customers!B:B)</f>
        <v>Könül Əliyev</v>
      </c>
      <c r="D1067" t="str">
        <f>_xlfn.XLOOKUP(C1067,raw_customers!B:B,raw_customers!C:C)</f>
        <v>F</v>
      </c>
      <c r="E1067" t="str">
        <f>_xlfn.XLOOKUP(C1067,raw_customers!B:B,raw_customers!G:G)</f>
        <v>Retail</v>
      </c>
      <c r="F1067" t="str">
        <f>_xlfn.XLOOKUP(_xlfn.XLOOKUP(B1067,raw_customers!A:A,raw_customers!F:F),raw_branches!A:A,raw_branches!B:B)</f>
        <v>Ganja Branch</v>
      </c>
      <c r="G1067" s="7">
        <v>145127.96</v>
      </c>
      <c r="H1067" s="6">
        <v>19.94</v>
      </c>
      <c r="I1067" t="s">
        <v>2377</v>
      </c>
      <c r="J1067" t="str">
        <f t="shared" si="16"/>
        <v>Yüksək Risk</v>
      </c>
    </row>
    <row r="1068" spans="1:10">
      <c r="A1068">
        <v>644</v>
      </c>
      <c r="B1068">
        <v>346</v>
      </c>
      <c r="C1068" t="str">
        <f>_xlfn.XLOOKUP(B1068,raw_customers!A:A,raw_customers!B:B)</f>
        <v>Elşən Novruzov</v>
      </c>
      <c r="D1068" t="str">
        <f>_xlfn.XLOOKUP(C1068,raw_customers!B:B,raw_customers!C:C)</f>
        <v>M</v>
      </c>
      <c r="E1068" t="str">
        <f>_xlfn.XLOOKUP(C1068,raw_customers!B:B,raw_customers!G:G)</f>
        <v>Retail</v>
      </c>
      <c r="F1068" t="str">
        <f>_xlfn.XLOOKUP(_xlfn.XLOOKUP(B1068,raw_customers!A:A,raw_customers!F:F),raw_branches!A:A,raw_branches!B:B)</f>
        <v>Baku Central</v>
      </c>
      <c r="G1068" s="7">
        <v>4075.89</v>
      </c>
      <c r="H1068" s="6">
        <v>10.13</v>
      </c>
      <c r="I1068" t="s">
        <v>2383</v>
      </c>
      <c r="J1068" t="str">
        <f t="shared" si="16"/>
        <v>Aşağı Risk</v>
      </c>
    </row>
    <row r="1069" spans="1:10">
      <c r="A1069">
        <v>645</v>
      </c>
      <c r="B1069">
        <v>423</v>
      </c>
      <c r="C1069" t="str">
        <f>_xlfn.XLOOKUP(B1069,raw_customers!A:A,raw_customers!B:B)</f>
        <v>Günel Həsənov</v>
      </c>
      <c r="D1069" t="str">
        <f>_xlfn.XLOOKUP(C1069,raw_customers!B:B,raw_customers!C:C)</f>
        <v>F</v>
      </c>
      <c r="E1069" t="str">
        <f>_xlfn.XLOOKUP(C1069,raw_customers!B:B,raw_customers!G:G)</f>
        <v>Premium</v>
      </c>
      <c r="F1069" t="str">
        <f>_xlfn.XLOOKUP(_xlfn.XLOOKUP(B1069,raw_customers!A:A,raw_customers!F:F),raw_branches!A:A,raw_branches!B:B)</f>
        <v>Baku Central</v>
      </c>
      <c r="G1069" s="7">
        <v>104416.1</v>
      </c>
      <c r="H1069" s="6">
        <v>21.22</v>
      </c>
      <c r="I1069" t="s">
        <v>2377</v>
      </c>
      <c r="J1069" t="str">
        <f t="shared" si="16"/>
        <v>Yüksək Risk</v>
      </c>
    </row>
    <row r="1070" spans="1:10">
      <c r="A1070">
        <v>646</v>
      </c>
      <c r="B1070">
        <v>686</v>
      </c>
      <c r="C1070" t="str">
        <f>_xlfn.XLOOKUP(B1070,raw_customers!A:A,raw_customers!B:B)</f>
        <v>Elşən Məmmədov</v>
      </c>
      <c r="D1070" t="str">
        <f>_xlfn.XLOOKUP(C1070,raw_customers!B:B,raw_customers!C:C)</f>
        <v>M</v>
      </c>
      <c r="E1070" t="str">
        <f>_xlfn.XLOOKUP(C1070,raw_customers!B:B,raw_customers!G:G)</f>
        <v>SME</v>
      </c>
      <c r="F1070" t="str">
        <f>_xlfn.XLOOKUP(_xlfn.XLOOKUP(B1070,raw_customers!A:A,raw_customers!F:F),raw_branches!A:A,raw_branches!B:B)</f>
        <v>Mingachevir Branch</v>
      </c>
      <c r="G1070" s="7">
        <v>33853.1</v>
      </c>
      <c r="H1070" s="6">
        <v>14.03</v>
      </c>
      <c r="I1070" t="s">
        <v>2377</v>
      </c>
      <c r="J1070" t="str">
        <f t="shared" si="16"/>
        <v>Orta Risk</v>
      </c>
    </row>
    <row r="1071" spans="1:10">
      <c r="A1071">
        <v>647</v>
      </c>
      <c r="B1071">
        <v>567</v>
      </c>
      <c r="C1071" t="str">
        <f>_xlfn.XLOOKUP(B1071,raw_customers!A:A,raw_customers!B:B)</f>
        <v>Fuad Hüseynov</v>
      </c>
      <c r="D1071" t="str">
        <f>_xlfn.XLOOKUP(C1071,raw_customers!B:B,raw_customers!C:C)</f>
        <v>M</v>
      </c>
      <c r="E1071" t="str">
        <f>_xlfn.XLOOKUP(C1071,raw_customers!B:B,raw_customers!G:G)</f>
        <v>Retail</v>
      </c>
      <c r="F1071" t="str">
        <f>_xlfn.XLOOKUP(_xlfn.XLOOKUP(B1071,raw_customers!A:A,raw_customers!F:F),raw_branches!A:A,raw_branches!B:B)</f>
        <v>Ganja Branch</v>
      </c>
      <c r="G1071" s="7">
        <v>38198.81</v>
      </c>
      <c r="H1071" s="6">
        <v>13.18</v>
      </c>
      <c r="I1071" t="s">
        <v>2393</v>
      </c>
      <c r="J1071" t="str">
        <f t="shared" si="16"/>
        <v>Default (Batıq)</v>
      </c>
    </row>
    <row r="1072" spans="1:10">
      <c r="A1072">
        <v>648</v>
      </c>
      <c r="B1072">
        <v>428</v>
      </c>
      <c r="C1072" t="str">
        <f>_xlfn.XLOOKUP(B1072,raw_customers!A:A,raw_customers!B:B)</f>
        <v>Mehriban Rzayev</v>
      </c>
      <c r="D1072" t="str">
        <f>_xlfn.XLOOKUP(C1072,raw_customers!B:B,raw_customers!C:C)</f>
        <v>F</v>
      </c>
      <c r="E1072" t="str">
        <f>_xlfn.XLOOKUP(C1072,raw_customers!B:B,raw_customers!G:G)</f>
        <v>Retail</v>
      </c>
      <c r="F1072" t="str">
        <f>_xlfn.XLOOKUP(_xlfn.XLOOKUP(B1072,raw_customers!A:A,raw_customers!F:F),raw_branches!A:A,raw_branches!B:B)</f>
        <v>Lankaran Branch</v>
      </c>
      <c r="G1072" s="7">
        <v>11089.7</v>
      </c>
      <c r="H1072" s="6">
        <v>15.45</v>
      </c>
      <c r="I1072" t="s">
        <v>2377</v>
      </c>
      <c r="J1072" t="str">
        <f t="shared" si="16"/>
        <v>Orta Risk</v>
      </c>
    </row>
    <row r="1073" spans="1:10">
      <c r="A1073">
        <v>649</v>
      </c>
      <c r="B1073">
        <v>41</v>
      </c>
      <c r="C1073" t="str">
        <f>_xlfn.XLOOKUP(B1073,raw_customers!A:A,raw_customers!B:B)</f>
        <v>Rəşad Musayev</v>
      </c>
      <c r="D1073" t="str">
        <f>_xlfn.XLOOKUP(C1073,raw_customers!B:B,raw_customers!C:C)</f>
        <v>M</v>
      </c>
      <c r="E1073" t="str">
        <f>_xlfn.XLOOKUP(C1073,raw_customers!B:B,raw_customers!G:G)</f>
        <v>Retail</v>
      </c>
      <c r="F1073" t="str">
        <f>_xlfn.XLOOKUP(_xlfn.XLOOKUP(B1073,raw_customers!A:A,raw_customers!F:F),raw_branches!A:A,raw_branches!B:B)</f>
        <v>Sheki Branch</v>
      </c>
      <c r="G1073" s="7">
        <v>140532.71</v>
      </c>
      <c r="H1073" s="6">
        <v>10</v>
      </c>
      <c r="I1073" t="s">
        <v>2377</v>
      </c>
      <c r="J1073" t="str">
        <f t="shared" si="16"/>
        <v>Aşağı Risk</v>
      </c>
    </row>
    <row r="1074" spans="1:10">
      <c r="A1074">
        <v>650</v>
      </c>
      <c r="B1074">
        <v>640</v>
      </c>
      <c r="C1074" t="str">
        <f>_xlfn.XLOOKUP(B1074,raw_customers!A:A,raw_customers!B:B)</f>
        <v>Səbinə Məmmədov</v>
      </c>
      <c r="D1074" t="str">
        <f>_xlfn.XLOOKUP(C1074,raw_customers!B:B,raw_customers!C:C)</f>
        <v>F</v>
      </c>
      <c r="E1074" t="str">
        <f>_xlfn.XLOOKUP(C1074,raw_customers!B:B,raw_customers!G:G)</f>
        <v>Retail</v>
      </c>
      <c r="F1074" t="str">
        <f>_xlfn.XLOOKUP(_xlfn.XLOOKUP(B1074,raw_customers!A:A,raw_customers!F:F),raw_branches!A:A,raw_branches!B:B)</f>
        <v>Baku Yasamal</v>
      </c>
      <c r="G1074" s="7">
        <v>25179.81</v>
      </c>
      <c r="H1074" s="6">
        <v>12.94</v>
      </c>
      <c r="I1074" t="s">
        <v>2377</v>
      </c>
      <c r="J1074" t="str">
        <f t="shared" si="16"/>
        <v>Orta Risk</v>
      </c>
    </row>
    <row r="1075" spans="1:10">
      <c r="A1075">
        <v>651</v>
      </c>
      <c r="B1075">
        <v>302</v>
      </c>
      <c r="C1075" t="str">
        <f>_xlfn.XLOOKUP(B1075,raw_customers!A:A,raw_customers!B:B)</f>
        <v>Vüqar Orucov</v>
      </c>
      <c r="D1075" t="str">
        <f>_xlfn.XLOOKUP(C1075,raw_customers!B:B,raw_customers!C:C)</f>
        <v>M</v>
      </c>
      <c r="E1075" t="str">
        <f>_xlfn.XLOOKUP(C1075,raw_customers!B:B,raw_customers!G:G)</f>
        <v>Retail</v>
      </c>
      <c r="F1075" t="str">
        <f>_xlfn.XLOOKUP(_xlfn.XLOOKUP(B1075,raw_customers!A:A,raw_customers!F:F),raw_branches!A:A,raw_branches!B:B)</f>
        <v>Baku Yasamal</v>
      </c>
      <c r="G1075" s="7">
        <v>16820.11</v>
      </c>
      <c r="H1075" s="6">
        <v>10.83</v>
      </c>
      <c r="I1075" t="s">
        <v>2383</v>
      </c>
      <c r="J1075" t="str">
        <f t="shared" si="16"/>
        <v>Aşağı Risk</v>
      </c>
    </row>
    <row r="1076" spans="1:10">
      <c r="A1076">
        <v>652</v>
      </c>
      <c r="B1076">
        <v>229</v>
      </c>
      <c r="C1076" t="str">
        <f>_xlfn.XLOOKUP(B1076,raw_customers!A:A,raw_customers!B:B)</f>
        <v>Orxan Novruzov</v>
      </c>
      <c r="D1076" t="str">
        <f>_xlfn.XLOOKUP(C1076,raw_customers!B:B,raw_customers!C:C)</f>
        <v>M</v>
      </c>
      <c r="E1076" t="str">
        <f>_xlfn.XLOOKUP(C1076,raw_customers!B:B,raw_customers!G:G)</f>
        <v>SME</v>
      </c>
      <c r="F1076" t="str">
        <f>_xlfn.XLOOKUP(_xlfn.XLOOKUP(B1076,raw_customers!A:A,raw_customers!F:F),raw_branches!A:A,raw_branches!B:B)</f>
        <v>Mingachevir Branch</v>
      </c>
      <c r="G1076" s="7">
        <v>17141.5</v>
      </c>
      <c r="H1076" s="6">
        <v>6.16</v>
      </c>
      <c r="I1076" t="s">
        <v>2377</v>
      </c>
      <c r="J1076" t="str">
        <f t="shared" si="16"/>
        <v>Aşağı Risk</v>
      </c>
    </row>
    <row r="1077" spans="1:10">
      <c r="A1077">
        <v>653</v>
      </c>
      <c r="B1077">
        <v>461</v>
      </c>
      <c r="C1077" t="str">
        <f>_xlfn.XLOOKUP(B1077,raw_customers!A:A,raw_customers!B:B)</f>
        <v>Fərid Kərimov</v>
      </c>
      <c r="D1077" t="str">
        <f>_xlfn.XLOOKUP(C1077,raw_customers!B:B,raw_customers!C:C)</f>
        <v>M</v>
      </c>
      <c r="E1077" t="str">
        <f>_xlfn.XLOOKUP(C1077,raw_customers!B:B,raw_customers!G:G)</f>
        <v>SME</v>
      </c>
      <c r="F1077" t="str">
        <f>_xlfn.XLOOKUP(_xlfn.XLOOKUP(B1077,raw_customers!A:A,raw_customers!F:F),raw_branches!A:A,raw_branches!B:B)</f>
        <v>Sheki Branch</v>
      </c>
      <c r="G1077" s="7">
        <v>664.45</v>
      </c>
      <c r="H1077" s="6">
        <v>6.66</v>
      </c>
      <c r="I1077" t="s">
        <v>2377</v>
      </c>
      <c r="J1077" t="str">
        <f t="shared" si="16"/>
        <v>Aşağı Risk</v>
      </c>
    </row>
    <row r="1078" spans="1:10">
      <c r="A1078">
        <v>654</v>
      </c>
      <c r="B1078">
        <v>206</v>
      </c>
      <c r="C1078" t="str">
        <f>_xlfn.XLOOKUP(B1078,raw_customers!A:A,raw_customers!B:B)</f>
        <v>Tural Musayev</v>
      </c>
      <c r="D1078" t="str">
        <f>_xlfn.XLOOKUP(C1078,raw_customers!B:B,raw_customers!C:C)</f>
        <v>M</v>
      </c>
      <c r="E1078" t="str">
        <f>_xlfn.XLOOKUP(C1078,raw_customers!B:B,raw_customers!G:G)</f>
        <v>SME</v>
      </c>
      <c r="F1078" t="str">
        <f>_xlfn.XLOOKUP(_xlfn.XLOOKUP(B1078,raw_customers!A:A,raw_customers!F:F),raw_branches!A:A,raw_branches!B:B)</f>
        <v>Baku Central</v>
      </c>
      <c r="G1078" s="7">
        <v>151528.99</v>
      </c>
      <c r="H1078" s="6">
        <v>21.12</v>
      </c>
      <c r="I1078" t="s">
        <v>2377</v>
      </c>
      <c r="J1078" t="str">
        <f t="shared" si="16"/>
        <v>Yüksək Risk</v>
      </c>
    </row>
    <row r="1079" spans="1:10">
      <c r="A1079">
        <v>655</v>
      </c>
      <c r="B1079">
        <v>730</v>
      </c>
      <c r="C1079" t="str">
        <f>_xlfn.XLOOKUP(B1079,raw_customers!A:A,raw_customers!B:B)</f>
        <v>Zeynəb Həsənov</v>
      </c>
      <c r="D1079" t="str">
        <f>_xlfn.XLOOKUP(C1079,raw_customers!B:B,raw_customers!C:C)</f>
        <v>F</v>
      </c>
      <c r="E1079" t="str">
        <f>_xlfn.XLOOKUP(C1079,raw_customers!B:B,raw_customers!G:G)</f>
        <v>Premium</v>
      </c>
      <c r="F1079" t="str">
        <f>_xlfn.XLOOKUP(_xlfn.XLOOKUP(B1079,raw_customers!A:A,raw_customers!F:F),raw_branches!A:A,raw_branches!B:B)</f>
        <v>Lankaran Branch</v>
      </c>
      <c r="G1079" s="7">
        <v>9965.05</v>
      </c>
      <c r="H1079" s="6">
        <v>21.28</v>
      </c>
      <c r="I1079" t="s">
        <v>2377</v>
      </c>
      <c r="J1079" t="str">
        <f t="shared" si="16"/>
        <v>Yüksək Risk</v>
      </c>
    </row>
    <row r="1080" spans="1:10">
      <c r="A1080">
        <v>656</v>
      </c>
      <c r="B1080">
        <v>271</v>
      </c>
      <c r="C1080" t="str">
        <f>_xlfn.XLOOKUP(B1080,raw_customers!A:A,raw_customers!B:B)</f>
        <v>Şəbnəm Kərimov</v>
      </c>
      <c r="D1080" t="str">
        <f>_xlfn.XLOOKUP(C1080,raw_customers!B:B,raw_customers!C:C)</f>
        <v>F</v>
      </c>
      <c r="E1080" t="str">
        <f>_xlfn.XLOOKUP(C1080,raw_customers!B:B,raw_customers!G:G)</f>
        <v>Retail</v>
      </c>
      <c r="F1080" t="str">
        <f>_xlfn.XLOOKUP(_xlfn.XLOOKUP(B1080,raw_customers!A:A,raw_customers!F:F),raw_branches!A:A,raw_branches!B:B)</f>
        <v>Ganja Branch</v>
      </c>
      <c r="G1080" s="7">
        <v>26231.07</v>
      </c>
      <c r="H1080" s="6">
        <v>7.3</v>
      </c>
      <c r="I1080" t="s">
        <v>2377</v>
      </c>
      <c r="J1080" t="str">
        <f t="shared" si="16"/>
        <v>Aşağı Risk</v>
      </c>
    </row>
    <row r="1081" spans="1:10">
      <c r="A1081">
        <v>657</v>
      </c>
      <c r="B1081">
        <v>517</v>
      </c>
      <c r="C1081" t="str">
        <f>_xlfn.XLOOKUP(B1081,raw_customers!A:A,raw_customers!B:B)</f>
        <v>Röya Cəfərov</v>
      </c>
      <c r="D1081" t="str">
        <f>_xlfn.XLOOKUP(C1081,raw_customers!B:B,raw_customers!C:C)</f>
        <v>F</v>
      </c>
      <c r="E1081" t="str">
        <f>_xlfn.XLOOKUP(C1081,raw_customers!B:B,raw_customers!G:G)</f>
        <v>Premium</v>
      </c>
      <c r="F1081" t="str">
        <f>_xlfn.XLOOKUP(_xlfn.XLOOKUP(B1081,raw_customers!A:A,raw_customers!F:F),raw_branches!A:A,raw_branches!B:B)</f>
        <v>Lankaran Branch</v>
      </c>
      <c r="G1081" s="7">
        <v>35877.6</v>
      </c>
      <c r="H1081" s="6">
        <v>5.76</v>
      </c>
      <c r="I1081" t="s">
        <v>2377</v>
      </c>
      <c r="J1081" t="str">
        <f t="shared" si="16"/>
        <v>Aşağı Risk</v>
      </c>
    </row>
    <row r="1082" spans="1:10">
      <c r="A1082">
        <v>658</v>
      </c>
      <c r="B1082">
        <v>37</v>
      </c>
      <c r="C1082" t="str">
        <f>_xlfn.XLOOKUP(B1082,raw_customers!A:A,raw_customers!B:B)</f>
        <v>Rüfət İsmayılov</v>
      </c>
      <c r="D1082" t="str">
        <f>_xlfn.XLOOKUP(C1082,raw_customers!B:B,raw_customers!C:C)</f>
        <v>M</v>
      </c>
      <c r="E1082" t="str">
        <f>_xlfn.XLOOKUP(C1082,raw_customers!B:B,raw_customers!G:G)</f>
        <v>SME</v>
      </c>
      <c r="F1082" t="str">
        <f>_xlfn.XLOOKUP(_xlfn.XLOOKUP(B1082,raw_customers!A:A,raw_customers!F:F),raw_branches!A:A,raw_branches!B:B)</f>
        <v>Sumgait Branch</v>
      </c>
      <c r="G1082" s="7">
        <v>31408.17</v>
      </c>
      <c r="H1082" s="6">
        <v>19.6</v>
      </c>
      <c r="I1082" t="s">
        <v>2393</v>
      </c>
      <c r="J1082" t="str">
        <f t="shared" si="16"/>
        <v>Default (Batıq)</v>
      </c>
    </row>
    <row r="1083" spans="1:10">
      <c r="A1083">
        <v>659</v>
      </c>
      <c r="B1083">
        <v>282</v>
      </c>
      <c r="C1083" t="str">
        <f>_xlfn.XLOOKUP(B1083,raw_customers!A:A,raw_customers!B:B)</f>
        <v>Mehriban Cəfərov</v>
      </c>
      <c r="D1083" t="str">
        <f>_xlfn.XLOOKUP(C1083,raw_customers!B:B,raw_customers!C:C)</f>
        <v>F</v>
      </c>
      <c r="E1083" t="str">
        <f>_xlfn.XLOOKUP(C1083,raw_customers!B:B,raw_customers!G:G)</f>
        <v>Retail</v>
      </c>
      <c r="F1083" t="str">
        <f>_xlfn.XLOOKUP(_xlfn.XLOOKUP(B1083,raw_customers!A:A,raw_customers!F:F),raw_branches!A:A,raw_branches!B:B)</f>
        <v>Sheki Branch</v>
      </c>
      <c r="G1083" s="7">
        <v>23399.9</v>
      </c>
      <c r="H1083" s="6">
        <v>21.4</v>
      </c>
      <c r="I1083" t="s">
        <v>2383</v>
      </c>
      <c r="J1083" t="str">
        <f t="shared" si="16"/>
        <v>Yüksək Risk</v>
      </c>
    </row>
    <row r="1084" spans="1:10">
      <c r="A1084">
        <v>660</v>
      </c>
      <c r="B1084">
        <v>233</v>
      </c>
      <c r="C1084" t="str">
        <f>_xlfn.XLOOKUP(B1084,raw_customers!A:A,raw_customers!B:B)</f>
        <v>Vüqar Nəbiyev</v>
      </c>
      <c r="D1084" t="str">
        <f>_xlfn.XLOOKUP(C1084,raw_customers!B:B,raw_customers!C:C)</f>
        <v>M</v>
      </c>
      <c r="E1084" t="str">
        <f>_xlfn.XLOOKUP(C1084,raw_customers!B:B,raw_customers!G:G)</f>
        <v>SME</v>
      </c>
      <c r="F1084" t="str">
        <f>_xlfn.XLOOKUP(_xlfn.XLOOKUP(B1084,raw_customers!A:A,raw_customers!F:F),raw_branches!A:A,raw_branches!B:B)</f>
        <v>Baku Central</v>
      </c>
      <c r="G1084" s="7">
        <v>3881.41</v>
      </c>
      <c r="H1084" s="6">
        <v>10.62</v>
      </c>
      <c r="I1084" t="s">
        <v>2377</v>
      </c>
      <c r="J1084" t="str">
        <f t="shared" si="16"/>
        <v>Aşağı Risk</v>
      </c>
    </row>
    <row r="1085" spans="1:10">
      <c r="A1085">
        <v>661</v>
      </c>
      <c r="B1085">
        <v>488</v>
      </c>
      <c r="C1085" t="str">
        <f>_xlfn.XLOOKUP(B1085,raw_customers!A:A,raw_customers!B:B)</f>
        <v>Rəşad Abbasov</v>
      </c>
      <c r="D1085" t="str">
        <f>_xlfn.XLOOKUP(C1085,raw_customers!B:B,raw_customers!C:C)</f>
        <v>M</v>
      </c>
      <c r="E1085" t="str">
        <f>_xlfn.XLOOKUP(C1085,raw_customers!B:B,raw_customers!G:G)</f>
        <v>Retail</v>
      </c>
      <c r="F1085" t="str">
        <f>_xlfn.XLOOKUP(_xlfn.XLOOKUP(B1085,raw_customers!A:A,raw_customers!F:F),raw_branches!A:A,raw_branches!B:B)</f>
        <v>Sumgait Branch</v>
      </c>
      <c r="G1085" s="7">
        <v>11670.45</v>
      </c>
      <c r="H1085" s="6">
        <v>13.46</v>
      </c>
      <c r="I1085" t="s">
        <v>2377</v>
      </c>
      <c r="J1085" t="str">
        <f t="shared" si="16"/>
        <v>Orta Risk</v>
      </c>
    </row>
    <row r="1086" spans="1:10">
      <c r="A1086">
        <v>662</v>
      </c>
      <c r="B1086">
        <v>254</v>
      </c>
      <c r="C1086" t="str">
        <f>_xlfn.XLOOKUP(B1086,raw_customers!A:A,raw_customers!B:B)</f>
        <v>Nicat Vəliyev</v>
      </c>
      <c r="D1086" t="str">
        <f>_xlfn.XLOOKUP(C1086,raw_customers!B:B,raw_customers!C:C)</f>
        <v>M</v>
      </c>
      <c r="E1086" t="str">
        <f>_xlfn.XLOOKUP(C1086,raw_customers!B:B,raw_customers!G:G)</f>
        <v>Retail</v>
      </c>
      <c r="F1086" t="str">
        <f>_xlfn.XLOOKUP(_xlfn.XLOOKUP(B1086,raw_customers!A:A,raw_customers!F:F),raw_branches!A:A,raw_branches!B:B)</f>
        <v>Baku Central</v>
      </c>
      <c r="G1086" s="7">
        <v>4423.67</v>
      </c>
      <c r="H1086" s="6">
        <v>14.85</v>
      </c>
      <c r="I1086" t="s">
        <v>2377</v>
      </c>
      <c r="J1086" t="str">
        <f t="shared" si="16"/>
        <v>Orta Risk</v>
      </c>
    </row>
    <row r="1087" spans="1:10">
      <c r="A1087">
        <v>663</v>
      </c>
      <c r="B1087">
        <v>331</v>
      </c>
      <c r="C1087" t="str">
        <f>_xlfn.XLOOKUP(B1087,raw_customers!A:A,raw_customers!B:B)</f>
        <v>Emin Sadıqov</v>
      </c>
      <c r="D1087" t="str">
        <f>_xlfn.XLOOKUP(C1087,raw_customers!B:B,raw_customers!C:C)</f>
        <v>M</v>
      </c>
      <c r="E1087" t="str">
        <f>_xlfn.XLOOKUP(C1087,raw_customers!B:B,raw_customers!G:G)</f>
        <v>Retail</v>
      </c>
      <c r="F1087" t="str">
        <f>_xlfn.XLOOKUP(_xlfn.XLOOKUP(B1087,raw_customers!A:A,raw_customers!F:F),raw_branches!A:A,raw_branches!B:B)</f>
        <v>Mingachevir Branch</v>
      </c>
      <c r="G1087" s="7">
        <v>5096.92</v>
      </c>
      <c r="H1087" s="6">
        <v>13.93</v>
      </c>
      <c r="I1087" t="s">
        <v>2383</v>
      </c>
      <c r="J1087" t="str">
        <f t="shared" si="16"/>
        <v>Orta Risk</v>
      </c>
    </row>
    <row r="1088" spans="1:10">
      <c r="A1088">
        <v>664</v>
      </c>
      <c r="B1088">
        <v>981</v>
      </c>
      <c r="C1088" t="str">
        <f>_xlfn.XLOOKUP(B1088,raw_customers!A:A,raw_customers!B:B)</f>
        <v>Günel Vəliyev</v>
      </c>
      <c r="D1088" t="str">
        <f>_xlfn.XLOOKUP(C1088,raw_customers!B:B,raw_customers!C:C)</f>
        <v>F</v>
      </c>
      <c r="E1088" t="str">
        <f>_xlfn.XLOOKUP(C1088,raw_customers!B:B,raw_customers!G:G)</f>
        <v>Retail</v>
      </c>
      <c r="F1088" t="str">
        <f>_xlfn.XLOOKUP(_xlfn.XLOOKUP(B1088,raw_customers!A:A,raw_customers!F:F),raw_branches!A:A,raw_branches!B:B)</f>
        <v>Sumgait Branch</v>
      </c>
      <c r="G1088" s="7">
        <v>52153.4</v>
      </c>
      <c r="H1088" s="6">
        <v>7.49</v>
      </c>
      <c r="I1088" t="s">
        <v>2383</v>
      </c>
      <c r="J1088" t="str">
        <f t="shared" si="16"/>
        <v>Aşağı Risk</v>
      </c>
    </row>
    <row r="1089" spans="1:10">
      <c r="A1089">
        <v>665</v>
      </c>
      <c r="B1089">
        <v>883</v>
      </c>
      <c r="C1089" t="str">
        <f>_xlfn.XLOOKUP(B1089,raw_customers!A:A,raw_customers!B:B)</f>
        <v>Anar Əliyev</v>
      </c>
      <c r="D1089" t="str">
        <f>_xlfn.XLOOKUP(C1089,raw_customers!B:B,raw_customers!C:C)</f>
        <v>M</v>
      </c>
      <c r="E1089" t="str">
        <f>_xlfn.XLOOKUP(C1089,raw_customers!B:B,raw_customers!G:G)</f>
        <v>Retail</v>
      </c>
      <c r="F1089" t="str">
        <f>_xlfn.XLOOKUP(_xlfn.XLOOKUP(B1089,raw_customers!A:A,raw_customers!F:F),raw_branches!A:A,raw_branches!B:B)</f>
        <v>Baku Yasamal</v>
      </c>
      <c r="G1089" s="7">
        <v>1266.27</v>
      </c>
      <c r="H1089" s="6">
        <v>18.34</v>
      </c>
      <c r="I1089" t="s">
        <v>2377</v>
      </c>
      <c r="J1089" t="str">
        <f t="shared" si="16"/>
        <v>Yüksək Risk</v>
      </c>
    </row>
    <row r="1090" spans="1:10">
      <c r="A1090">
        <v>666</v>
      </c>
      <c r="B1090">
        <v>536</v>
      </c>
      <c r="C1090" t="str">
        <f>_xlfn.XLOOKUP(B1090,raw_customers!A:A,raw_customers!B:B)</f>
        <v>Fuad Abbasov</v>
      </c>
      <c r="D1090" t="str">
        <f>_xlfn.XLOOKUP(C1090,raw_customers!B:B,raw_customers!C:C)</f>
        <v>M</v>
      </c>
      <c r="E1090" t="str">
        <f>_xlfn.XLOOKUP(C1090,raw_customers!B:B,raw_customers!G:G)</f>
        <v>Retail</v>
      </c>
      <c r="F1090" t="str">
        <f>_xlfn.XLOOKUP(_xlfn.XLOOKUP(B1090,raw_customers!A:A,raw_customers!F:F),raw_branches!A:A,raw_branches!B:B)</f>
        <v>Baku Central</v>
      </c>
      <c r="G1090" s="7">
        <v>16662.44</v>
      </c>
      <c r="H1090" s="6">
        <v>14.24</v>
      </c>
      <c r="I1090" t="s">
        <v>2377</v>
      </c>
      <c r="J1090" t="str">
        <f t="shared" si="16"/>
        <v>Orta Risk</v>
      </c>
    </row>
    <row r="1091" spans="1:10">
      <c r="A1091">
        <v>667</v>
      </c>
      <c r="B1091">
        <v>918</v>
      </c>
      <c r="C1091" t="str">
        <f>_xlfn.XLOOKUP(B1091,raw_customers!A:A,raw_customers!B:B)</f>
        <v>Emin Vəliyev</v>
      </c>
      <c r="D1091" t="str">
        <f>_xlfn.XLOOKUP(C1091,raw_customers!B:B,raw_customers!C:C)</f>
        <v>M</v>
      </c>
      <c r="E1091" t="str">
        <f>_xlfn.XLOOKUP(C1091,raw_customers!B:B,raw_customers!G:G)</f>
        <v>Retail</v>
      </c>
      <c r="F1091" t="str">
        <f>_xlfn.XLOOKUP(_xlfn.XLOOKUP(B1091,raw_customers!A:A,raw_customers!F:F),raw_branches!A:A,raw_branches!B:B)</f>
        <v>Lankaran Branch</v>
      </c>
      <c r="G1091" s="7">
        <v>157592.58</v>
      </c>
      <c r="H1091" s="6">
        <v>7</v>
      </c>
      <c r="I1091" t="s">
        <v>2377</v>
      </c>
      <c r="J1091" t="str">
        <f t="shared" ref="J1091:J1154" si="17">IF(I1091="Default","Default (Batıq)",IF(H1091&gt;=18,"Yüksək Risk",IF(H1091&gt;=12,"Orta Risk","Aşağı Risk")))</f>
        <v>Aşağı Risk</v>
      </c>
    </row>
    <row r="1092" spans="1:10">
      <c r="A1092">
        <v>668</v>
      </c>
      <c r="B1092">
        <v>626</v>
      </c>
      <c r="C1092" t="str">
        <f>_xlfn.XLOOKUP(B1092,raw_customers!A:A,raw_customers!B:B)</f>
        <v>Ülviyyə Orucov</v>
      </c>
      <c r="D1092" t="str">
        <f>_xlfn.XLOOKUP(C1092,raw_customers!B:B,raw_customers!C:C)</f>
        <v>F</v>
      </c>
      <c r="E1092" t="str">
        <f>_xlfn.XLOOKUP(C1092,raw_customers!B:B,raw_customers!G:G)</f>
        <v>Retail</v>
      </c>
      <c r="F1092" t="str">
        <f>_xlfn.XLOOKUP(_xlfn.XLOOKUP(B1092,raw_customers!A:A,raw_customers!F:F),raw_branches!A:A,raw_branches!B:B)</f>
        <v>Sumgait Branch</v>
      </c>
      <c r="G1092" s="7">
        <v>67826.8</v>
      </c>
      <c r="H1092" s="6">
        <v>12.93</v>
      </c>
      <c r="I1092" t="s">
        <v>2377</v>
      </c>
      <c r="J1092" t="str">
        <f t="shared" si="17"/>
        <v>Orta Risk</v>
      </c>
    </row>
    <row r="1093" spans="1:10">
      <c r="A1093">
        <v>669</v>
      </c>
      <c r="B1093">
        <v>273</v>
      </c>
      <c r="C1093" t="str">
        <f>_xlfn.XLOOKUP(B1093,raw_customers!A:A,raw_customers!B:B)</f>
        <v>Anar Nəbiyev</v>
      </c>
      <c r="D1093" t="str">
        <f>_xlfn.XLOOKUP(C1093,raw_customers!B:B,raw_customers!C:C)</f>
        <v>M</v>
      </c>
      <c r="E1093" t="str">
        <f>_xlfn.XLOOKUP(C1093,raw_customers!B:B,raw_customers!G:G)</f>
        <v>Retail</v>
      </c>
      <c r="F1093" t="str">
        <f>_xlfn.XLOOKUP(_xlfn.XLOOKUP(B1093,raw_customers!A:A,raw_customers!F:F),raw_branches!A:A,raw_branches!B:B)</f>
        <v>Baku Central</v>
      </c>
      <c r="G1093" s="7">
        <v>8928.01</v>
      </c>
      <c r="H1093" s="6">
        <v>8.16</v>
      </c>
      <c r="I1093" t="s">
        <v>2377</v>
      </c>
      <c r="J1093" t="str">
        <f t="shared" si="17"/>
        <v>Aşağı Risk</v>
      </c>
    </row>
    <row r="1094" spans="1:10">
      <c r="A1094">
        <v>670</v>
      </c>
      <c r="B1094">
        <v>619</v>
      </c>
      <c r="C1094" t="str">
        <f>_xlfn.XLOOKUP(B1094,raw_customers!A:A,raw_customers!B:B)</f>
        <v>Xəyalə Nəbiyev</v>
      </c>
      <c r="D1094" t="str">
        <f>_xlfn.XLOOKUP(C1094,raw_customers!B:B,raw_customers!C:C)</f>
        <v>F</v>
      </c>
      <c r="E1094" t="str">
        <f>_xlfn.XLOOKUP(C1094,raw_customers!B:B,raw_customers!G:G)</f>
        <v>Retail</v>
      </c>
      <c r="F1094" t="str">
        <f>_xlfn.XLOOKUP(_xlfn.XLOOKUP(B1094,raw_customers!A:A,raw_customers!F:F),raw_branches!A:A,raw_branches!B:B)</f>
        <v>Sumgait Branch</v>
      </c>
      <c r="G1094" s="7">
        <v>79629.62</v>
      </c>
      <c r="H1094" s="6">
        <v>9.13</v>
      </c>
      <c r="I1094" t="s">
        <v>2377</v>
      </c>
      <c r="J1094" t="str">
        <f t="shared" si="17"/>
        <v>Aşağı Risk</v>
      </c>
    </row>
    <row r="1095" spans="1:10">
      <c r="A1095">
        <v>671</v>
      </c>
      <c r="B1095">
        <v>181</v>
      </c>
      <c r="C1095" t="str">
        <f>_xlfn.XLOOKUP(B1095,raw_customers!A:A,raw_customers!B:B)</f>
        <v>Sevinc Cəfərov</v>
      </c>
      <c r="D1095" t="str">
        <f>_xlfn.XLOOKUP(C1095,raw_customers!B:B,raw_customers!C:C)</f>
        <v>F</v>
      </c>
      <c r="E1095" t="str">
        <f>_xlfn.XLOOKUP(C1095,raw_customers!B:B,raw_customers!G:G)</f>
        <v>Retail</v>
      </c>
      <c r="F1095" t="str">
        <f>_xlfn.XLOOKUP(_xlfn.XLOOKUP(B1095,raw_customers!A:A,raw_customers!F:F),raw_branches!A:A,raw_branches!B:B)</f>
        <v>Sumgait Branch</v>
      </c>
      <c r="G1095" s="7">
        <v>75000.89</v>
      </c>
      <c r="H1095" s="6">
        <v>6.82</v>
      </c>
      <c r="I1095" t="s">
        <v>2377</v>
      </c>
      <c r="J1095" t="str">
        <f t="shared" si="17"/>
        <v>Aşağı Risk</v>
      </c>
    </row>
    <row r="1096" spans="1:10">
      <c r="A1096">
        <v>672</v>
      </c>
      <c r="B1096">
        <v>796</v>
      </c>
      <c r="C1096" t="str">
        <f>_xlfn.XLOOKUP(B1096,raw_customers!A:A,raw_customers!B:B)</f>
        <v>Kamran Cəfərov</v>
      </c>
      <c r="D1096" t="str">
        <f>_xlfn.XLOOKUP(C1096,raw_customers!B:B,raw_customers!C:C)</f>
        <v>M</v>
      </c>
      <c r="E1096" t="str">
        <f>_xlfn.XLOOKUP(C1096,raw_customers!B:B,raw_customers!G:G)</f>
        <v>SME</v>
      </c>
      <c r="F1096" t="str">
        <f>_xlfn.XLOOKUP(_xlfn.XLOOKUP(B1096,raw_customers!A:A,raw_customers!F:F),raw_branches!A:A,raw_branches!B:B)</f>
        <v>Sumgait Branch</v>
      </c>
      <c r="G1096" s="7">
        <v>114341.2</v>
      </c>
      <c r="H1096" s="6">
        <v>20.14</v>
      </c>
      <c r="I1096" t="s">
        <v>2383</v>
      </c>
      <c r="J1096" t="str">
        <f t="shared" si="17"/>
        <v>Yüksək Risk</v>
      </c>
    </row>
    <row r="1097" spans="1:10">
      <c r="A1097">
        <v>673</v>
      </c>
      <c r="B1097">
        <v>808</v>
      </c>
      <c r="C1097" t="str">
        <f>_xlfn.XLOOKUP(B1097,raw_customers!A:A,raw_customers!B:B)</f>
        <v>Samir Quliyev</v>
      </c>
      <c r="D1097" t="str">
        <f>_xlfn.XLOOKUP(C1097,raw_customers!B:B,raw_customers!C:C)</f>
        <v>M</v>
      </c>
      <c r="E1097" t="str">
        <f>_xlfn.XLOOKUP(C1097,raw_customers!B:B,raw_customers!G:G)</f>
        <v>Premium</v>
      </c>
      <c r="F1097" t="str">
        <f>_xlfn.XLOOKUP(_xlfn.XLOOKUP(B1097,raw_customers!A:A,raw_customers!F:F),raw_branches!A:A,raw_branches!B:B)</f>
        <v>Mingachevir Branch</v>
      </c>
      <c r="G1097" s="7">
        <v>5195.82</v>
      </c>
      <c r="H1097" s="6">
        <v>17.4</v>
      </c>
      <c r="I1097" t="s">
        <v>2383</v>
      </c>
      <c r="J1097" t="str">
        <f t="shared" si="17"/>
        <v>Orta Risk</v>
      </c>
    </row>
    <row r="1098" spans="1:10">
      <c r="A1098">
        <v>674</v>
      </c>
      <c r="B1098">
        <v>43</v>
      </c>
      <c r="C1098" t="str">
        <f>_xlfn.XLOOKUP(B1098,raw_customers!A:A,raw_customers!B:B)</f>
        <v>Nicat İsmayılov</v>
      </c>
      <c r="D1098" t="str">
        <f>_xlfn.XLOOKUP(C1098,raw_customers!B:B,raw_customers!C:C)</f>
        <v>M</v>
      </c>
      <c r="E1098" t="str">
        <f>_xlfn.XLOOKUP(C1098,raw_customers!B:B,raw_customers!G:G)</f>
        <v>Premium</v>
      </c>
      <c r="F1098" t="str">
        <f>_xlfn.XLOOKUP(_xlfn.XLOOKUP(B1098,raw_customers!A:A,raw_customers!F:F),raw_branches!A:A,raw_branches!B:B)</f>
        <v>Lankaran Branch</v>
      </c>
      <c r="G1098" s="7">
        <v>4805.76</v>
      </c>
      <c r="H1098" s="6">
        <v>10.26</v>
      </c>
      <c r="I1098" t="s">
        <v>2393</v>
      </c>
      <c r="J1098" t="str">
        <f t="shared" si="17"/>
        <v>Default (Batıq)</v>
      </c>
    </row>
    <row r="1099" spans="1:10">
      <c r="A1099">
        <v>675</v>
      </c>
      <c r="B1099">
        <v>367</v>
      </c>
      <c r="C1099" t="str">
        <f>_xlfn.XLOOKUP(B1099,raw_customers!A:A,raw_customers!B:B)</f>
        <v>Türkan Əliyev</v>
      </c>
      <c r="D1099" t="str">
        <f>_xlfn.XLOOKUP(C1099,raw_customers!B:B,raw_customers!C:C)</f>
        <v>F</v>
      </c>
      <c r="E1099" t="str">
        <f>_xlfn.XLOOKUP(C1099,raw_customers!B:B,raw_customers!G:G)</f>
        <v>Premium</v>
      </c>
      <c r="F1099" t="str">
        <f>_xlfn.XLOOKUP(_xlfn.XLOOKUP(B1099,raw_customers!A:A,raw_customers!F:F),raw_branches!A:A,raw_branches!B:B)</f>
        <v>Sheki Branch</v>
      </c>
      <c r="G1099" s="7">
        <v>86062.2</v>
      </c>
      <c r="H1099" s="6">
        <v>20.46</v>
      </c>
      <c r="I1099" t="s">
        <v>2377</v>
      </c>
      <c r="J1099" t="str">
        <f t="shared" si="17"/>
        <v>Yüksək Risk</v>
      </c>
    </row>
    <row r="1100" spans="1:10">
      <c r="A1100">
        <v>676</v>
      </c>
      <c r="B1100">
        <v>772</v>
      </c>
      <c r="C1100" t="str">
        <f>_xlfn.XLOOKUP(B1100,raw_customers!A:A,raw_customers!B:B)</f>
        <v>Kamran Tağıyev</v>
      </c>
      <c r="D1100" t="str">
        <f>_xlfn.XLOOKUP(C1100,raw_customers!B:B,raw_customers!C:C)</f>
        <v>M</v>
      </c>
      <c r="E1100" t="str">
        <f>_xlfn.XLOOKUP(C1100,raw_customers!B:B,raw_customers!G:G)</f>
        <v>Retail</v>
      </c>
      <c r="F1100" t="str">
        <f>_xlfn.XLOOKUP(_xlfn.XLOOKUP(B1100,raw_customers!A:A,raw_customers!F:F),raw_branches!A:A,raw_branches!B:B)</f>
        <v>Baku Yasamal</v>
      </c>
      <c r="G1100" s="7">
        <v>101469.26</v>
      </c>
      <c r="H1100" s="6">
        <v>6.97</v>
      </c>
      <c r="I1100" t="s">
        <v>2377</v>
      </c>
      <c r="J1100" t="str">
        <f t="shared" si="17"/>
        <v>Aşağı Risk</v>
      </c>
    </row>
    <row r="1101" spans="1:10">
      <c r="A1101">
        <v>677</v>
      </c>
      <c r="B1101">
        <v>980</v>
      </c>
      <c r="C1101" t="str">
        <f>_xlfn.XLOOKUP(B1101,raw_customers!A:A,raw_customers!B:B)</f>
        <v>Türkan Rzayev</v>
      </c>
      <c r="D1101" t="str">
        <f>_xlfn.XLOOKUP(C1101,raw_customers!B:B,raw_customers!C:C)</f>
        <v>F</v>
      </c>
      <c r="E1101" t="str">
        <f>_xlfn.XLOOKUP(C1101,raw_customers!B:B,raw_customers!G:G)</f>
        <v>Retail</v>
      </c>
      <c r="F1101" t="str">
        <f>_xlfn.XLOOKUP(_xlfn.XLOOKUP(B1101,raw_customers!A:A,raw_customers!F:F),raw_branches!A:A,raw_branches!B:B)</f>
        <v>Mingachevir Branch</v>
      </c>
      <c r="G1101" s="7">
        <v>120209.7</v>
      </c>
      <c r="H1101" s="6">
        <v>21.85</v>
      </c>
      <c r="I1101" t="s">
        <v>2377</v>
      </c>
      <c r="J1101" t="str">
        <f t="shared" si="17"/>
        <v>Yüksək Risk</v>
      </c>
    </row>
    <row r="1102" spans="1:10">
      <c r="A1102">
        <v>678</v>
      </c>
      <c r="B1102">
        <v>435</v>
      </c>
      <c r="C1102" t="str">
        <f>_xlfn.XLOOKUP(B1102,raw_customers!A:A,raw_customers!B:B)</f>
        <v>Sevinc Cəfərov</v>
      </c>
      <c r="D1102" t="str">
        <f>_xlfn.XLOOKUP(C1102,raw_customers!B:B,raw_customers!C:C)</f>
        <v>F</v>
      </c>
      <c r="E1102" t="str">
        <f>_xlfn.XLOOKUP(C1102,raw_customers!B:B,raw_customers!G:G)</f>
        <v>Retail</v>
      </c>
      <c r="F1102" t="str">
        <f>_xlfn.XLOOKUP(_xlfn.XLOOKUP(B1102,raw_customers!A:A,raw_customers!F:F),raw_branches!A:A,raw_branches!B:B)</f>
        <v>Mingachevir Branch</v>
      </c>
      <c r="G1102" s="7">
        <v>10050.36</v>
      </c>
      <c r="H1102" s="6">
        <v>15.63</v>
      </c>
      <c r="I1102" t="s">
        <v>2377</v>
      </c>
      <c r="J1102" t="str">
        <f t="shared" si="17"/>
        <v>Orta Risk</v>
      </c>
    </row>
    <row r="1103" spans="1:10">
      <c r="A1103">
        <v>679</v>
      </c>
      <c r="B1103">
        <v>16</v>
      </c>
      <c r="C1103" t="str">
        <f>_xlfn.XLOOKUP(B1103,raw_customers!A:A,raw_customers!B:B)</f>
        <v>Zeynəb Hüseynov</v>
      </c>
      <c r="D1103" t="str">
        <f>_xlfn.XLOOKUP(C1103,raw_customers!B:B,raw_customers!C:C)</f>
        <v>F</v>
      </c>
      <c r="E1103" t="str">
        <f>_xlfn.XLOOKUP(C1103,raw_customers!B:B,raw_customers!G:G)</f>
        <v>SME</v>
      </c>
      <c r="F1103" t="str">
        <f>_xlfn.XLOOKUP(_xlfn.XLOOKUP(B1103,raw_customers!A:A,raw_customers!F:F),raw_branches!A:A,raw_branches!B:B)</f>
        <v>Sheki Branch</v>
      </c>
      <c r="G1103" s="7">
        <v>36264.45</v>
      </c>
      <c r="H1103" s="6">
        <v>16.6</v>
      </c>
      <c r="I1103" t="s">
        <v>2377</v>
      </c>
      <c r="J1103" t="str">
        <f t="shared" si="17"/>
        <v>Orta Risk</v>
      </c>
    </row>
    <row r="1104" spans="1:10">
      <c r="A1104">
        <v>680</v>
      </c>
      <c r="B1104">
        <v>876</v>
      </c>
      <c r="C1104" t="str">
        <f>_xlfn.XLOOKUP(B1104,raw_customers!A:A,raw_customers!B:B)</f>
        <v>Elvin Tağıyev</v>
      </c>
      <c r="D1104" t="str">
        <f>_xlfn.XLOOKUP(C1104,raw_customers!B:B,raw_customers!C:C)</f>
        <v>M</v>
      </c>
      <c r="E1104" t="str">
        <f>_xlfn.XLOOKUP(C1104,raw_customers!B:B,raw_customers!G:G)</f>
        <v>Retail</v>
      </c>
      <c r="F1104" t="str">
        <f>_xlfn.XLOOKUP(_xlfn.XLOOKUP(B1104,raw_customers!A:A,raw_customers!F:F),raw_branches!A:A,raw_branches!B:B)</f>
        <v>Baku Central</v>
      </c>
      <c r="G1104" s="7">
        <v>7697.61</v>
      </c>
      <c r="H1104" s="6">
        <v>18.7</v>
      </c>
      <c r="I1104" t="s">
        <v>2377</v>
      </c>
      <c r="J1104" t="str">
        <f t="shared" si="17"/>
        <v>Yüksək Risk</v>
      </c>
    </row>
    <row r="1105" spans="1:10">
      <c r="A1105">
        <v>681</v>
      </c>
      <c r="B1105">
        <v>740</v>
      </c>
      <c r="C1105" t="str">
        <f>_xlfn.XLOOKUP(B1105,raw_customers!A:A,raw_customers!B:B)</f>
        <v>Zaur Orucov</v>
      </c>
      <c r="D1105" t="str">
        <f>_xlfn.XLOOKUP(C1105,raw_customers!B:B,raw_customers!C:C)</f>
        <v>M</v>
      </c>
      <c r="E1105" t="str">
        <f>_xlfn.XLOOKUP(C1105,raw_customers!B:B,raw_customers!G:G)</f>
        <v>SME</v>
      </c>
      <c r="F1105" t="str">
        <f>_xlfn.XLOOKUP(_xlfn.XLOOKUP(B1105,raw_customers!A:A,raw_customers!F:F),raw_branches!A:A,raw_branches!B:B)</f>
        <v>Baku Yasamal</v>
      </c>
      <c r="G1105" s="7">
        <v>59051.04</v>
      </c>
      <c r="H1105" s="6">
        <v>9.49</v>
      </c>
      <c r="I1105" t="s">
        <v>2383</v>
      </c>
      <c r="J1105" t="str">
        <f t="shared" si="17"/>
        <v>Aşağı Risk</v>
      </c>
    </row>
    <row r="1106" spans="1:10">
      <c r="A1106">
        <v>682</v>
      </c>
      <c r="B1106">
        <v>258</v>
      </c>
      <c r="C1106" t="str">
        <f>_xlfn.XLOOKUP(B1106,raw_customers!A:A,raw_customers!B:B)</f>
        <v>Fərid Musayev</v>
      </c>
      <c r="D1106" t="str">
        <f>_xlfn.XLOOKUP(C1106,raw_customers!B:B,raw_customers!C:C)</f>
        <v>M</v>
      </c>
      <c r="E1106" t="str">
        <f>_xlfn.XLOOKUP(C1106,raw_customers!B:B,raw_customers!G:G)</f>
        <v>Retail</v>
      </c>
      <c r="F1106" t="str">
        <f>_xlfn.XLOOKUP(_xlfn.XLOOKUP(B1106,raw_customers!A:A,raw_customers!F:F),raw_branches!A:A,raw_branches!B:B)</f>
        <v>Mingachevir Branch</v>
      </c>
      <c r="G1106" s="7">
        <v>128527.35</v>
      </c>
      <c r="H1106" s="6">
        <v>15.95</v>
      </c>
      <c r="I1106" t="s">
        <v>2377</v>
      </c>
      <c r="J1106" t="str">
        <f t="shared" si="17"/>
        <v>Orta Risk</v>
      </c>
    </row>
    <row r="1107" spans="1:10">
      <c r="A1107">
        <v>683</v>
      </c>
      <c r="B1107">
        <v>372</v>
      </c>
      <c r="C1107" t="str">
        <f>_xlfn.XLOOKUP(B1107,raw_customers!A:A,raw_customers!B:B)</f>
        <v>Nicat Rəhimov</v>
      </c>
      <c r="D1107" t="str">
        <f>_xlfn.XLOOKUP(C1107,raw_customers!B:B,raw_customers!C:C)</f>
        <v>M</v>
      </c>
      <c r="E1107" t="str">
        <f>_xlfn.XLOOKUP(C1107,raw_customers!B:B,raw_customers!G:G)</f>
        <v>Retail</v>
      </c>
      <c r="F1107" t="str">
        <f>_xlfn.XLOOKUP(_xlfn.XLOOKUP(B1107,raw_customers!A:A,raw_customers!F:F),raw_branches!A:A,raw_branches!B:B)</f>
        <v>Sumgait Branch</v>
      </c>
      <c r="G1107" s="7">
        <v>33472.2</v>
      </c>
      <c r="H1107" s="6">
        <v>14.57</v>
      </c>
      <c r="I1107" t="s">
        <v>2383</v>
      </c>
      <c r="J1107" t="str">
        <f t="shared" si="17"/>
        <v>Orta Risk</v>
      </c>
    </row>
    <row r="1108" spans="1:10">
      <c r="A1108">
        <v>684</v>
      </c>
      <c r="B1108">
        <v>855</v>
      </c>
      <c r="C1108" t="str">
        <f>_xlfn.XLOOKUP(B1108,raw_customers!A:A,raw_customers!B:B)</f>
        <v>Səbinə Sadıqov</v>
      </c>
      <c r="D1108" t="str">
        <f>_xlfn.XLOOKUP(C1108,raw_customers!B:B,raw_customers!C:C)</f>
        <v>F</v>
      </c>
      <c r="E1108" t="str">
        <f>_xlfn.XLOOKUP(C1108,raw_customers!B:B,raw_customers!G:G)</f>
        <v>Retail</v>
      </c>
      <c r="F1108" t="str">
        <f>_xlfn.XLOOKUP(_xlfn.XLOOKUP(B1108,raw_customers!A:A,raw_customers!F:F),raw_branches!A:A,raw_branches!B:B)</f>
        <v>Mingachevir Branch</v>
      </c>
      <c r="G1108" s="7">
        <v>83856.21</v>
      </c>
      <c r="H1108" s="6">
        <v>18.55</v>
      </c>
      <c r="I1108" t="s">
        <v>2377</v>
      </c>
      <c r="J1108" t="str">
        <f t="shared" si="17"/>
        <v>Yüksək Risk</v>
      </c>
    </row>
    <row r="1109" spans="1:10">
      <c r="A1109">
        <v>685</v>
      </c>
      <c r="B1109">
        <v>129</v>
      </c>
      <c r="C1109" t="str">
        <f>_xlfn.XLOOKUP(B1109,raw_customers!A:A,raw_customers!B:B)</f>
        <v>Lalə Əliyev</v>
      </c>
      <c r="D1109" t="str">
        <f>_xlfn.XLOOKUP(C1109,raw_customers!B:B,raw_customers!C:C)</f>
        <v>F</v>
      </c>
      <c r="E1109" t="str">
        <f>_xlfn.XLOOKUP(C1109,raw_customers!B:B,raw_customers!G:G)</f>
        <v>SME</v>
      </c>
      <c r="F1109" t="str">
        <f>_xlfn.XLOOKUP(_xlfn.XLOOKUP(B1109,raw_customers!A:A,raw_customers!F:F),raw_branches!A:A,raw_branches!B:B)</f>
        <v>Sumgait Branch</v>
      </c>
      <c r="G1109" s="7">
        <v>121946.46</v>
      </c>
      <c r="H1109" s="6">
        <v>12.16</v>
      </c>
      <c r="I1109" t="s">
        <v>2377</v>
      </c>
      <c r="J1109" t="str">
        <f t="shared" si="17"/>
        <v>Orta Risk</v>
      </c>
    </row>
    <row r="1110" spans="1:10">
      <c r="A1110">
        <v>686</v>
      </c>
      <c r="B1110">
        <v>273</v>
      </c>
      <c r="C1110" t="str">
        <f>_xlfn.XLOOKUP(B1110,raw_customers!A:A,raw_customers!B:B)</f>
        <v>Anar Nəbiyev</v>
      </c>
      <c r="D1110" t="str">
        <f>_xlfn.XLOOKUP(C1110,raw_customers!B:B,raw_customers!C:C)</f>
        <v>M</v>
      </c>
      <c r="E1110" t="str">
        <f>_xlfn.XLOOKUP(C1110,raw_customers!B:B,raw_customers!G:G)</f>
        <v>Retail</v>
      </c>
      <c r="F1110" t="str">
        <f>_xlfn.XLOOKUP(_xlfn.XLOOKUP(B1110,raw_customers!A:A,raw_customers!F:F),raw_branches!A:A,raw_branches!B:B)</f>
        <v>Baku Central</v>
      </c>
      <c r="G1110" s="7">
        <v>6694.92</v>
      </c>
      <c r="H1110" s="6">
        <v>10.54</v>
      </c>
      <c r="I1110" t="s">
        <v>2377</v>
      </c>
      <c r="J1110" t="str">
        <f t="shared" si="17"/>
        <v>Aşağı Risk</v>
      </c>
    </row>
    <row r="1111" spans="1:10">
      <c r="A1111">
        <v>687</v>
      </c>
      <c r="B1111">
        <v>247</v>
      </c>
      <c r="C1111" t="str">
        <f>_xlfn.XLOOKUP(B1111,raw_customers!A:A,raw_customers!B:B)</f>
        <v>Samir Abbasov</v>
      </c>
      <c r="D1111" t="str">
        <f>_xlfn.XLOOKUP(C1111,raw_customers!B:B,raw_customers!C:C)</f>
        <v>M</v>
      </c>
      <c r="E1111" t="str">
        <f>_xlfn.XLOOKUP(C1111,raw_customers!B:B,raw_customers!G:G)</f>
        <v>Retail</v>
      </c>
      <c r="F1111" t="str">
        <f>_xlfn.XLOOKUP(_xlfn.XLOOKUP(B1111,raw_customers!A:A,raw_customers!F:F),raw_branches!A:A,raw_branches!B:B)</f>
        <v>Sheki Branch</v>
      </c>
      <c r="G1111" s="7">
        <v>133047.42</v>
      </c>
      <c r="H1111" s="6">
        <v>11.27</v>
      </c>
      <c r="I1111" t="s">
        <v>2383</v>
      </c>
      <c r="J1111" t="str">
        <f t="shared" si="17"/>
        <v>Aşağı Risk</v>
      </c>
    </row>
    <row r="1112" spans="1:10">
      <c r="A1112">
        <v>688</v>
      </c>
      <c r="B1112">
        <v>878</v>
      </c>
      <c r="C1112" t="str">
        <f>_xlfn.XLOOKUP(B1112,raw_customers!A:A,raw_customers!B:B)</f>
        <v>Anar Rəhimov</v>
      </c>
      <c r="D1112" t="str">
        <f>_xlfn.XLOOKUP(C1112,raw_customers!B:B,raw_customers!C:C)</f>
        <v>M</v>
      </c>
      <c r="E1112" t="str">
        <f>_xlfn.XLOOKUP(C1112,raw_customers!B:B,raw_customers!G:G)</f>
        <v>SME</v>
      </c>
      <c r="F1112" t="str">
        <f>_xlfn.XLOOKUP(_xlfn.XLOOKUP(B1112,raw_customers!A:A,raw_customers!F:F),raw_branches!A:A,raw_branches!B:B)</f>
        <v>Lankaran Branch</v>
      </c>
      <c r="G1112" s="7">
        <v>145529.64</v>
      </c>
      <c r="H1112" s="6">
        <v>6.65</v>
      </c>
      <c r="I1112" t="s">
        <v>2377</v>
      </c>
      <c r="J1112" t="str">
        <f t="shared" si="17"/>
        <v>Aşağı Risk</v>
      </c>
    </row>
    <row r="1113" spans="1:10">
      <c r="A1113">
        <v>689</v>
      </c>
      <c r="B1113">
        <v>930</v>
      </c>
      <c r="C1113" t="str">
        <f>_xlfn.XLOOKUP(B1113,raw_customers!A:A,raw_customers!B:B)</f>
        <v>Samir Rəhimov</v>
      </c>
      <c r="D1113" t="str">
        <f>_xlfn.XLOOKUP(C1113,raw_customers!B:B,raw_customers!C:C)</f>
        <v>M</v>
      </c>
      <c r="E1113" t="str">
        <f>_xlfn.XLOOKUP(C1113,raw_customers!B:B,raw_customers!G:G)</f>
        <v>Retail</v>
      </c>
      <c r="F1113" t="str">
        <f>_xlfn.XLOOKUP(_xlfn.XLOOKUP(B1113,raw_customers!A:A,raw_customers!F:F),raw_branches!A:A,raw_branches!B:B)</f>
        <v>Baku Central</v>
      </c>
      <c r="G1113" s="7">
        <v>9879.76</v>
      </c>
      <c r="H1113" s="6">
        <v>21.25</v>
      </c>
      <c r="I1113" t="s">
        <v>2377</v>
      </c>
      <c r="J1113" t="str">
        <f t="shared" si="17"/>
        <v>Yüksək Risk</v>
      </c>
    </row>
    <row r="1114" spans="1:10">
      <c r="A1114">
        <v>690</v>
      </c>
      <c r="B1114">
        <v>60</v>
      </c>
      <c r="C1114" t="str">
        <f>_xlfn.XLOOKUP(B1114,raw_customers!A:A,raw_customers!B:B)</f>
        <v>Emin Musayev</v>
      </c>
      <c r="D1114" t="str">
        <f>_xlfn.XLOOKUP(C1114,raw_customers!B:B,raw_customers!C:C)</f>
        <v>M</v>
      </c>
      <c r="E1114" t="str">
        <f>_xlfn.XLOOKUP(C1114,raw_customers!B:B,raw_customers!G:G)</f>
        <v>Premium</v>
      </c>
      <c r="F1114" t="str">
        <f>_xlfn.XLOOKUP(_xlfn.XLOOKUP(B1114,raw_customers!A:A,raw_customers!F:F),raw_branches!A:A,raw_branches!B:B)</f>
        <v>Lankaran Branch</v>
      </c>
      <c r="G1114" s="7">
        <v>102312.4</v>
      </c>
      <c r="H1114" s="6">
        <v>7.11</v>
      </c>
      <c r="I1114" t="s">
        <v>2377</v>
      </c>
      <c r="J1114" t="str">
        <f t="shared" si="17"/>
        <v>Aşağı Risk</v>
      </c>
    </row>
    <row r="1115" spans="1:10">
      <c r="A1115">
        <v>691</v>
      </c>
      <c r="B1115">
        <v>147</v>
      </c>
      <c r="C1115" t="str">
        <f>_xlfn.XLOOKUP(B1115,raw_customers!A:A,raw_customers!B:B)</f>
        <v>Elşən Musayev</v>
      </c>
      <c r="D1115" t="str">
        <f>_xlfn.XLOOKUP(C1115,raw_customers!B:B,raw_customers!C:C)</f>
        <v>M</v>
      </c>
      <c r="E1115" t="str">
        <f>_xlfn.XLOOKUP(C1115,raw_customers!B:B,raw_customers!G:G)</f>
        <v>Retail</v>
      </c>
      <c r="F1115" t="str">
        <f>_xlfn.XLOOKUP(_xlfn.XLOOKUP(B1115,raw_customers!A:A,raw_customers!F:F),raw_branches!A:A,raw_branches!B:B)</f>
        <v>Sheki Branch</v>
      </c>
      <c r="G1115" s="7">
        <v>70635.58</v>
      </c>
      <c r="H1115" s="6">
        <v>21.39</v>
      </c>
      <c r="I1115" t="s">
        <v>2377</v>
      </c>
      <c r="J1115" t="str">
        <f t="shared" si="17"/>
        <v>Yüksək Risk</v>
      </c>
    </row>
    <row r="1116" spans="1:10">
      <c r="A1116">
        <v>692</v>
      </c>
      <c r="B1116">
        <v>158</v>
      </c>
      <c r="C1116" t="str">
        <f>_xlfn.XLOOKUP(B1116,raw_customers!A:A,raw_customers!B:B)</f>
        <v>Şəbnəm Orucov</v>
      </c>
      <c r="D1116" t="str">
        <f>_xlfn.XLOOKUP(C1116,raw_customers!B:B,raw_customers!C:C)</f>
        <v>F</v>
      </c>
      <c r="E1116" t="str">
        <f>_xlfn.XLOOKUP(C1116,raw_customers!B:B,raw_customers!G:G)</f>
        <v>Retail</v>
      </c>
      <c r="F1116" t="str">
        <f>_xlfn.XLOOKUP(_xlfn.XLOOKUP(B1116,raw_customers!A:A,raw_customers!F:F),raw_branches!A:A,raw_branches!B:B)</f>
        <v>Sheki Branch</v>
      </c>
      <c r="G1116" s="7">
        <v>69536.64</v>
      </c>
      <c r="H1116" s="6">
        <v>21.24</v>
      </c>
      <c r="I1116" t="s">
        <v>2377</v>
      </c>
      <c r="J1116" t="str">
        <f t="shared" si="17"/>
        <v>Yüksək Risk</v>
      </c>
    </row>
    <row r="1117" spans="1:10">
      <c r="A1117">
        <v>693</v>
      </c>
      <c r="B1117">
        <v>93</v>
      </c>
      <c r="C1117" t="str">
        <f>_xlfn.XLOOKUP(B1117,raw_customers!A:A,raw_customers!B:B)</f>
        <v>Elvin Əzizov</v>
      </c>
      <c r="D1117" t="str">
        <f>_xlfn.XLOOKUP(C1117,raw_customers!B:B,raw_customers!C:C)</f>
        <v>M</v>
      </c>
      <c r="E1117" t="str">
        <f>_xlfn.XLOOKUP(C1117,raw_customers!B:B,raw_customers!G:G)</f>
        <v>Retail</v>
      </c>
      <c r="F1117" t="str">
        <f>_xlfn.XLOOKUP(_xlfn.XLOOKUP(B1117,raw_customers!A:A,raw_customers!F:F),raw_branches!A:A,raw_branches!B:B)</f>
        <v>Ganja Branch</v>
      </c>
      <c r="G1117" s="7">
        <v>8368.26</v>
      </c>
      <c r="H1117" s="6">
        <v>15.9</v>
      </c>
      <c r="I1117" t="s">
        <v>2377</v>
      </c>
      <c r="J1117" t="str">
        <f t="shared" si="17"/>
        <v>Orta Risk</v>
      </c>
    </row>
    <row r="1118" spans="1:10">
      <c r="A1118">
        <v>694</v>
      </c>
      <c r="B1118">
        <v>223</v>
      </c>
      <c r="C1118" t="str">
        <f>_xlfn.XLOOKUP(B1118,raw_customers!A:A,raw_customers!B:B)</f>
        <v>Zeynəb İsmayılov</v>
      </c>
      <c r="D1118" t="str">
        <f>_xlfn.XLOOKUP(C1118,raw_customers!B:B,raw_customers!C:C)</f>
        <v>F</v>
      </c>
      <c r="E1118" t="str">
        <f>_xlfn.XLOOKUP(C1118,raw_customers!B:B,raw_customers!G:G)</f>
        <v>Retail</v>
      </c>
      <c r="F1118" t="str">
        <f>_xlfn.XLOOKUP(_xlfn.XLOOKUP(B1118,raw_customers!A:A,raw_customers!F:F),raw_branches!A:A,raw_branches!B:B)</f>
        <v>Sheki Branch</v>
      </c>
      <c r="G1118" s="7">
        <v>74245.27</v>
      </c>
      <c r="H1118" s="6">
        <v>19.86</v>
      </c>
      <c r="I1118" t="s">
        <v>2383</v>
      </c>
      <c r="J1118" t="str">
        <f t="shared" si="17"/>
        <v>Yüksək Risk</v>
      </c>
    </row>
    <row r="1119" spans="1:10">
      <c r="A1119">
        <v>695</v>
      </c>
      <c r="B1119">
        <v>745</v>
      </c>
      <c r="C1119" t="str">
        <f>_xlfn.XLOOKUP(B1119,raw_customers!A:A,raw_customers!B:B)</f>
        <v>Emin Kərimov</v>
      </c>
      <c r="D1119" t="str">
        <f>_xlfn.XLOOKUP(C1119,raw_customers!B:B,raw_customers!C:C)</f>
        <v>M</v>
      </c>
      <c r="E1119" t="str">
        <f>_xlfn.XLOOKUP(C1119,raw_customers!B:B,raw_customers!G:G)</f>
        <v>Retail</v>
      </c>
      <c r="F1119" t="str">
        <f>_xlfn.XLOOKUP(_xlfn.XLOOKUP(B1119,raw_customers!A:A,raw_customers!F:F),raw_branches!A:A,raw_branches!B:B)</f>
        <v>Lankaran Branch</v>
      </c>
      <c r="G1119" s="7">
        <v>3000.12</v>
      </c>
      <c r="H1119" s="6">
        <v>18.78</v>
      </c>
      <c r="I1119" t="s">
        <v>2383</v>
      </c>
      <c r="J1119" t="str">
        <f t="shared" si="17"/>
        <v>Yüksək Risk</v>
      </c>
    </row>
    <row r="1120" spans="1:10">
      <c r="A1120">
        <v>696</v>
      </c>
      <c r="B1120">
        <v>608</v>
      </c>
      <c r="C1120" t="str">
        <f>_xlfn.XLOOKUP(B1120,raw_customers!A:A,raw_customers!B:B)</f>
        <v>Fidan Nəbiyev</v>
      </c>
      <c r="D1120" t="str">
        <f>_xlfn.XLOOKUP(C1120,raw_customers!B:B,raw_customers!C:C)</f>
        <v>F</v>
      </c>
      <c r="E1120" t="str">
        <f>_xlfn.XLOOKUP(C1120,raw_customers!B:B,raw_customers!G:G)</f>
        <v>SME</v>
      </c>
      <c r="F1120" t="str">
        <f>_xlfn.XLOOKUP(_xlfn.XLOOKUP(B1120,raw_customers!A:A,raw_customers!F:F),raw_branches!A:A,raw_branches!B:B)</f>
        <v>Sheki Branch</v>
      </c>
      <c r="G1120" s="7">
        <v>109269.17</v>
      </c>
      <c r="H1120" s="6">
        <v>20.87</v>
      </c>
      <c r="I1120" t="s">
        <v>2377</v>
      </c>
      <c r="J1120" t="str">
        <f t="shared" si="17"/>
        <v>Yüksək Risk</v>
      </c>
    </row>
    <row r="1121" spans="1:10">
      <c r="A1121">
        <v>697</v>
      </c>
      <c r="B1121">
        <v>923</v>
      </c>
      <c r="C1121" t="str">
        <f>_xlfn.XLOOKUP(B1121,raw_customers!A:A,raw_customers!B:B)</f>
        <v>Nigar Kərimov</v>
      </c>
      <c r="D1121" t="str">
        <f>_xlfn.XLOOKUP(C1121,raw_customers!B:B,raw_customers!C:C)</f>
        <v>F</v>
      </c>
      <c r="E1121" t="str">
        <f>_xlfn.XLOOKUP(C1121,raw_customers!B:B,raw_customers!G:G)</f>
        <v>Retail</v>
      </c>
      <c r="F1121" t="str">
        <f>_xlfn.XLOOKUP(_xlfn.XLOOKUP(B1121,raw_customers!A:A,raw_customers!F:F),raw_branches!A:A,raw_branches!B:B)</f>
        <v>Baku Central</v>
      </c>
      <c r="G1121" s="7">
        <v>7954.24</v>
      </c>
      <c r="H1121" s="6">
        <v>16.72</v>
      </c>
      <c r="I1121" t="s">
        <v>2377</v>
      </c>
      <c r="J1121" t="str">
        <f t="shared" si="17"/>
        <v>Orta Risk</v>
      </c>
    </row>
    <row r="1122" spans="1:10">
      <c r="A1122">
        <v>698</v>
      </c>
      <c r="B1122">
        <v>888</v>
      </c>
      <c r="C1122" t="str">
        <f>_xlfn.XLOOKUP(B1122,raw_customers!A:A,raw_customers!B:B)</f>
        <v>Rəşad Quliyev</v>
      </c>
      <c r="D1122" t="str">
        <f>_xlfn.XLOOKUP(C1122,raw_customers!B:B,raw_customers!C:C)</f>
        <v>M</v>
      </c>
      <c r="E1122" t="str">
        <f>_xlfn.XLOOKUP(C1122,raw_customers!B:B,raw_customers!G:G)</f>
        <v>Retail</v>
      </c>
      <c r="F1122" t="str">
        <f>_xlfn.XLOOKUP(_xlfn.XLOOKUP(B1122,raw_customers!A:A,raw_customers!F:F),raw_branches!A:A,raw_branches!B:B)</f>
        <v>Lankaran Branch</v>
      </c>
      <c r="G1122" s="7">
        <v>72203.04</v>
      </c>
      <c r="H1122" s="6">
        <v>9.6</v>
      </c>
      <c r="I1122" t="s">
        <v>2377</v>
      </c>
      <c r="J1122" t="str">
        <f t="shared" si="17"/>
        <v>Aşağı Risk</v>
      </c>
    </row>
    <row r="1123" spans="1:10">
      <c r="A1123">
        <v>699</v>
      </c>
      <c r="B1123">
        <v>903</v>
      </c>
      <c r="C1123" t="str">
        <f>_xlfn.XLOOKUP(B1123,raw_customers!A:A,raw_customers!B:B)</f>
        <v>Leyla Rəhimov</v>
      </c>
      <c r="D1123" t="str">
        <f>_xlfn.XLOOKUP(C1123,raw_customers!B:B,raw_customers!C:C)</f>
        <v>F</v>
      </c>
      <c r="E1123" t="str">
        <f>_xlfn.XLOOKUP(C1123,raw_customers!B:B,raw_customers!G:G)</f>
        <v>Retail</v>
      </c>
      <c r="F1123" t="str">
        <f>_xlfn.XLOOKUP(_xlfn.XLOOKUP(B1123,raw_customers!A:A,raw_customers!F:F),raw_branches!A:A,raw_branches!B:B)</f>
        <v>Sumgait Branch</v>
      </c>
      <c r="G1123" s="7">
        <v>109012.16</v>
      </c>
      <c r="H1123" s="6">
        <v>18.02</v>
      </c>
      <c r="I1123" t="s">
        <v>2377</v>
      </c>
      <c r="J1123" t="str">
        <f t="shared" si="17"/>
        <v>Yüksək Risk</v>
      </c>
    </row>
    <row r="1124" spans="1:10">
      <c r="A1124">
        <v>700</v>
      </c>
      <c r="B1124">
        <v>795</v>
      </c>
      <c r="C1124" t="str">
        <f>_xlfn.XLOOKUP(B1124,raw_customers!A:A,raw_customers!B:B)</f>
        <v>Leyla Əliyev</v>
      </c>
      <c r="D1124" t="str">
        <f>_xlfn.XLOOKUP(C1124,raw_customers!B:B,raw_customers!C:C)</f>
        <v>F</v>
      </c>
      <c r="E1124" t="str">
        <f>_xlfn.XLOOKUP(C1124,raw_customers!B:B,raw_customers!G:G)</f>
        <v>Retail</v>
      </c>
      <c r="F1124" t="str">
        <f>_xlfn.XLOOKUP(_xlfn.XLOOKUP(B1124,raw_customers!A:A,raw_customers!F:F),raw_branches!A:A,raw_branches!B:B)</f>
        <v>Baku Yasamal</v>
      </c>
      <c r="G1124" s="7">
        <v>3723.32</v>
      </c>
      <c r="H1124" s="6">
        <v>11.66</v>
      </c>
      <c r="I1124" t="s">
        <v>2377</v>
      </c>
      <c r="J1124" t="str">
        <f t="shared" si="17"/>
        <v>Aşağı Risk</v>
      </c>
    </row>
    <row r="1125" spans="1:10">
      <c r="A1125">
        <v>701</v>
      </c>
      <c r="B1125">
        <v>338</v>
      </c>
      <c r="C1125" t="str">
        <f>_xlfn.XLOOKUP(B1125,raw_customers!A:A,raw_customers!B:B)</f>
        <v>Mehriban Əzizov</v>
      </c>
      <c r="D1125" t="str">
        <f>_xlfn.XLOOKUP(C1125,raw_customers!B:B,raw_customers!C:C)</f>
        <v>F</v>
      </c>
      <c r="E1125" t="str">
        <f>_xlfn.XLOOKUP(C1125,raw_customers!B:B,raw_customers!G:G)</f>
        <v>Retail</v>
      </c>
      <c r="F1125" t="str">
        <f>_xlfn.XLOOKUP(_xlfn.XLOOKUP(B1125,raw_customers!A:A,raw_customers!F:F),raw_branches!A:A,raw_branches!B:B)</f>
        <v>Baku Yasamal</v>
      </c>
      <c r="G1125" s="7">
        <v>44298.56</v>
      </c>
      <c r="H1125" s="6">
        <v>21.27</v>
      </c>
      <c r="I1125" t="s">
        <v>2377</v>
      </c>
      <c r="J1125" t="str">
        <f t="shared" si="17"/>
        <v>Yüksək Risk</v>
      </c>
    </row>
    <row r="1126" spans="1:10">
      <c r="A1126">
        <v>702</v>
      </c>
      <c r="B1126">
        <v>747</v>
      </c>
      <c r="C1126" t="str">
        <f>_xlfn.XLOOKUP(B1126,raw_customers!A:A,raw_customers!B:B)</f>
        <v>Murad Rzayev</v>
      </c>
      <c r="D1126" t="str">
        <f>_xlfn.XLOOKUP(C1126,raw_customers!B:B,raw_customers!C:C)</f>
        <v>M</v>
      </c>
      <c r="E1126" t="str">
        <f>_xlfn.XLOOKUP(C1126,raw_customers!B:B,raw_customers!G:G)</f>
        <v>Retail</v>
      </c>
      <c r="F1126" t="str">
        <f>_xlfn.XLOOKUP(_xlfn.XLOOKUP(B1126,raw_customers!A:A,raw_customers!F:F),raw_branches!A:A,raw_branches!B:B)</f>
        <v>Ganja Branch</v>
      </c>
      <c r="G1126" s="2">
        <v>176944</v>
      </c>
      <c r="H1126" s="6">
        <v>19.86</v>
      </c>
      <c r="I1126" t="s">
        <v>2377</v>
      </c>
      <c r="J1126" t="str">
        <f t="shared" si="17"/>
        <v>Yüksək Risk</v>
      </c>
    </row>
    <row r="1127" spans="1:10">
      <c r="A1127">
        <v>703</v>
      </c>
      <c r="B1127">
        <v>748</v>
      </c>
      <c r="C1127" t="str">
        <f>_xlfn.XLOOKUP(B1127,raw_customers!A:A,raw_customers!B:B)</f>
        <v>Tural Orucov</v>
      </c>
      <c r="D1127" t="str">
        <f>_xlfn.XLOOKUP(C1127,raw_customers!B:B,raw_customers!C:C)</f>
        <v>M</v>
      </c>
      <c r="E1127" t="str">
        <f>_xlfn.XLOOKUP(C1127,raw_customers!B:B,raw_customers!G:G)</f>
        <v>Retail</v>
      </c>
      <c r="F1127" t="str">
        <f>_xlfn.XLOOKUP(_xlfn.XLOOKUP(B1127,raw_customers!A:A,raw_customers!F:F),raw_branches!A:A,raw_branches!B:B)</f>
        <v>Baku Yasamal</v>
      </c>
      <c r="G1127" s="7">
        <v>159515.08</v>
      </c>
      <c r="H1127" s="6">
        <v>10.9</v>
      </c>
      <c r="I1127" t="s">
        <v>2377</v>
      </c>
      <c r="J1127" t="str">
        <f t="shared" si="17"/>
        <v>Aşağı Risk</v>
      </c>
    </row>
    <row r="1128" spans="1:10">
      <c r="A1128">
        <v>704</v>
      </c>
      <c r="B1128">
        <v>247</v>
      </c>
      <c r="C1128" t="str">
        <f>_xlfn.XLOOKUP(B1128,raw_customers!A:A,raw_customers!B:B)</f>
        <v>Samir Abbasov</v>
      </c>
      <c r="D1128" t="str">
        <f>_xlfn.XLOOKUP(C1128,raw_customers!B:B,raw_customers!C:C)</f>
        <v>M</v>
      </c>
      <c r="E1128" t="str">
        <f>_xlfn.XLOOKUP(C1128,raw_customers!B:B,raw_customers!G:G)</f>
        <v>Retail</v>
      </c>
      <c r="F1128" t="str">
        <f>_xlfn.XLOOKUP(_xlfn.XLOOKUP(B1128,raw_customers!A:A,raw_customers!F:F),raw_branches!A:A,raw_branches!B:B)</f>
        <v>Sheki Branch</v>
      </c>
      <c r="G1128" s="7">
        <v>10329.68</v>
      </c>
      <c r="H1128" s="6">
        <v>18.69</v>
      </c>
      <c r="I1128" t="s">
        <v>2377</v>
      </c>
      <c r="J1128" t="str">
        <f t="shared" si="17"/>
        <v>Yüksək Risk</v>
      </c>
    </row>
    <row r="1129" spans="1:10">
      <c r="A1129">
        <v>705</v>
      </c>
      <c r="B1129">
        <v>721</v>
      </c>
      <c r="C1129" t="str">
        <f>_xlfn.XLOOKUP(B1129,raw_customers!A:A,raw_customers!B:B)</f>
        <v>Fidan Abbasov</v>
      </c>
      <c r="D1129" t="str">
        <f>_xlfn.XLOOKUP(C1129,raw_customers!B:B,raw_customers!C:C)</f>
        <v>F</v>
      </c>
      <c r="E1129" t="str">
        <f>_xlfn.XLOOKUP(C1129,raw_customers!B:B,raw_customers!G:G)</f>
        <v>SME</v>
      </c>
      <c r="F1129" t="str">
        <f>_xlfn.XLOOKUP(_xlfn.XLOOKUP(B1129,raw_customers!A:A,raw_customers!F:F),raw_branches!A:A,raw_branches!B:B)</f>
        <v>Sumgait Branch</v>
      </c>
      <c r="G1129" s="7">
        <v>30071.86</v>
      </c>
      <c r="H1129" s="6">
        <v>10.16</v>
      </c>
      <c r="I1129" t="s">
        <v>2377</v>
      </c>
      <c r="J1129" t="str">
        <f t="shared" si="17"/>
        <v>Aşağı Risk</v>
      </c>
    </row>
    <row r="1130" spans="1:10">
      <c r="A1130">
        <v>706</v>
      </c>
      <c r="B1130">
        <v>172</v>
      </c>
      <c r="C1130" t="str">
        <f>_xlfn.XLOOKUP(B1130,raw_customers!A:A,raw_customers!B:B)</f>
        <v>Xəyalə Nəbiyev</v>
      </c>
      <c r="D1130" t="str">
        <f>_xlfn.XLOOKUP(C1130,raw_customers!B:B,raw_customers!C:C)</f>
        <v>F</v>
      </c>
      <c r="E1130" t="str">
        <f>_xlfn.XLOOKUP(C1130,raw_customers!B:B,raw_customers!G:G)</f>
        <v>Retail</v>
      </c>
      <c r="F1130" t="str">
        <f>_xlfn.XLOOKUP(_xlfn.XLOOKUP(B1130,raw_customers!A:A,raw_customers!F:F),raw_branches!A:A,raw_branches!B:B)</f>
        <v>Mingachevir Branch</v>
      </c>
      <c r="G1130" s="7">
        <v>26805.41</v>
      </c>
      <c r="H1130" s="6">
        <v>7.34</v>
      </c>
      <c r="I1130" t="s">
        <v>2383</v>
      </c>
      <c r="J1130" t="str">
        <f t="shared" si="17"/>
        <v>Aşağı Risk</v>
      </c>
    </row>
    <row r="1131" spans="1:10">
      <c r="A1131">
        <v>707</v>
      </c>
      <c r="B1131">
        <v>543</v>
      </c>
      <c r="C1131" t="str">
        <f>_xlfn.XLOOKUP(B1131,raw_customers!A:A,raw_customers!B:B)</f>
        <v>Elvin Əzizov</v>
      </c>
      <c r="D1131" t="str">
        <f>_xlfn.XLOOKUP(C1131,raw_customers!B:B,raw_customers!C:C)</f>
        <v>M</v>
      </c>
      <c r="E1131" t="str">
        <f>_xlfn.XLOOKUP(C1131,raw_customers!B:B,raw_customers!G:G)</f>
        <v>Retail</v>
      </c>
      <c r="F1131" t="str">
        <f>_xlfn.XLOOKUP(_xlfn.XLOOKUP(B1131,raw_customers!A:A,raw_customers!F:F),raw_branches!A:A,raw_branches!B:B)</f>
        <v>Baku Yasamal</v>
      </c>
      <c r="G1131" s="7">
        <v>140201.08</v>
      </c>
      <c r="H1131" s="6">
        <v>17.56</v>
      </c>
      <c r="I1131" t="s">
        <v>2377</v>
      </c>
      <c r="J1131" t="str">
        <f t="shared" si="17"/>
        <v>Orta Risk</v>
      </c>
    </row>
    <row r="1132" spans="1:10">
      <c r="A1132">
        <v>708</v>
      </c>
      <c r="B1132">
        <v>584</v>
      </c>
      <c r="C1132" t="str">
        <f>_xlfn.XLOOKUP(B1132,raw_customers!A:A,raw_customers!B:B)</f>
        <v>Kamran Əliyev</v>
      </c>
      <c r="D1132" t="str">
        <f>_xlfn.XLOOKUP(C1132,raw_customers!B:B,raw_customers!C:C)</f>
        <v>M</v>
      </c>
      <c r="E1132" t="str">
        <f>_xlfn.XLOOKUP(C1132,raw_customers!B:B,raw_customers!G:G)</f>
        <v>SME</v>
      </c>
      <c r="F1132" t="str">
        <f>_xlfn.XLOOKUP(_xlfn.XLOOKUP(B1132,raw_customers!A:A,raw_customers!F:F),raw_branches!A:A,raw_branches!B:B)</f>
        <v>Baku Central</v>
      </c>
      <c r="G1132" s="7">
        <v>35306.16</v>
      </c>
      <c r="H1132" s="6">
        <v>17.97</v>
      </c>
      <c r="I1132" t="s">
        <v>2377</v>
      </c>
      <c r="J1132" t="str">
        <f t="shared" si="17"/>
        <v>Orta Risk</v>
      </c>
    </row>
    <row r="1133" spans="1:10">
      <c r="A1133">
        <v>709</v>
      </c>
      <c r="B1133">
        <v>467</v>
      </c>
      <c r="C1133" t="str">
        <f>_xlfn.XLOOKUP(B1133,raw_customers!A:A,raw_customers!B:B)</f>
        <v>Səbinə Nəbiyev</v>
      </c>
      <c r="D1133" t="str">
        <f>_xlfn.XLOOKUP(C1133,raw_customers!B:B,raw_customers!C:C)</f>
        <v>F</v>
      </c>
      <c r="E1133" t="str">
        <f>_xlfn.XLOOKUP(C1133,raw_customers!B:B,raw_customers!G:G)</f>
        <v>Retail</v>
      </c>
      <c r="F1133" t="str">
        <f>_xlfn.XLOOKUP(_xlfn.XLOOKUP(B1133,raw_customers!A:A,raw_customers!F:F),raw_branches!A:A,raw_branches!B:B)</f>
        <v>Baku Central</v>
      </c>
      <c r="G1133" s="7">
        <v>8504.55</v>
      </c>
      <c r="H1133" s="6">
        <v>8.02</v>
      </c>
      <c r="I1133" t="s">
        <v>2377</v>
      </c>
      <c r="J1133" t="str">
        <f t="shared" si="17"/>
        <v>Aşağı Risk</v>
      </c>
    </row>
    <row r="1134" spans="1:10">
      <c r="A1134">
        <v>710</v>
      </c>
      <c r="B1134">
        <v>919</v>
      </c>
      <c r="C1134" t="str">
        <f>_xlfn.XLOOKUP(B1134,raw_customers!A:A,raw_customers!B:B)</f>
        <v>Rüfət Rəhimov</v>
      </c>
      <c r="D1134" t="str">
        <f>_xlfn.XLOOKUP(C1134,raw_customers!B:B,raw_customers!C:C)</f>
        <v>M</v>
      </c>
      <c r="E1134" t="str">
        <f>_xlfn.XLOOKUP(C1134,raw_customers!B:B,raw_customers!G:G)</f>
        <v>Retail</v>
      </c>
      <c r="F1134" t="str">
        <f>_xlfn.XLOOKUP(_xlfn.XLOOKUP(B1134,raw_customers!A:A,raw_customers!F:F),raw_branches!A:A,raw_branches!B:B)</f>
        <v>Baku Central</v>
      </c>
      <c r="G1134" s="7">
        <v>18168.63</v>
      </c>
      <c r="H1134" s="6">
        <v>13.24</v>
      </c>
      <c r="I1134" t="s">
        <v>2393</v>
      </c>
      <c r="J1134" t="str">
        <f t="shared" si="17"/>
        <v>Default (Batıq)</v>
      </c>
    </row>
    <row r="1135" spans="1:10">
      <c r="A1135">
        <v>711</v>
      </c>
      <c r="B1135">
        <v>977</v>
      </c>
      <c r="C1135" t="str">
        <f>_xlfn.XLOOKUP(B1135,raw_customers!A:A,raw_customers!B:B)</f>
        <v>Elşən Rzayev</v>
      </c>
      <c r="D1135" t="str">
        <f>_xlfn.XLOOKUP(C1135,raw_customers!B:B,raw_customers!C:C)</f>
        <v>M</v>
      </c>
      <c r="E1135" t="str">
        <f>_xlfn.XLOOKUP(C1135,raw_customers!B:B,raw_customers!G:G)</f>
        <v>Retail</v>
      </c>
      <c r="F1135" t="str">
        <f>_xlfn.XLOOKUP(_xlfn.XLOOKUP(B1135,raw_customers!A:A,raw_customers!F:F),raw_branches!A:A,raw_branches!B:B)</f>
        <v>Baku Central</v>
      </c>
      <c r="G1135" s="7">
        <v>9456.42</v>
      </c>
      <c r="H1135" s="6">
        <v>9.01</v>
      </c>
      <c r="I1135" t="s">
        <v>2383</v>
      </c>
      <c r="J1135" t="str">
        <f t="shared" si="17"/>
        <v>Aşağı Risk</v>
      </c>
    </row>
    <row r="1136" spans="1:10">
      <c r="A1136">
        <v>712</v>
      </c>
      <c r="B1136">
        <v>809</v>
      </c>
      <c r="C1136" t="str">
        <f>_xlfn.XLOOKUP(B1136,raw_customers!A:A,raw_customers!B:B)</f>
        <v>Elvin Kərimov</v>
      </c>
      <c r="D1136" t="str">
        <f>_xlfn.XLOOKUP(C1136,raw_customers!B:B,raw_customers!C:C)</f>
        <v>M</v>
      </c>
      <c r="E1136" t="str">
        <f>_xlfn.XLOOKUP(C1136,raw_customers!B:B,raw_customers!G:G)</f>
        <v>Premium</v>
      </c>
      <c r="F1136" t="str">
        <f>_xlfn.XLOOKUP(_xlfn.XLOOKUP(B1136,raw_customers!A:A,raw_customers!F:F),raw_branches!A:A,raw_branches!B:B)</f>
        <v>Sumgait Branch</v>
      </c>
      <c r="G1136" s="7">
        <v>78237.47</v>
      </c>
      <c r="H1136" s="6">
        <v>21.84</v>
      </c>
      <c r="I1136" t="s">
        <v>2377</v>
      </c>
      <c r="J1136" t="str">
        <f t="shared" si="17"/>
        <v>Yüksək Risk</v>
      </c>
    </row>
    <row r="1137" spans="1:10">
      <c r="A1137">
        <v>713</v>
      </c>
      <c r="B1137">
        <v>117</v>
      </c>
      <c r="C1137" t="str">
        <f>_xlfn.XLOOKUP(B1137,raw_customers!A:A,raw_customers!B:B)</f>
        <v>Rüfət Kərimov</v>
      </c>
      <c r="D1137" t="str">
        <f>_xlfn.XLOOKUP(C1137,raw_customers!B:B,raw_customers!C:C)</f>
        <v>M</v>
      </c>
      <c r="E1137" t="str">
        <f>_xlfn.XLOOKUP(C1137,raw_customers!B:B,raw_customers!G:G)</f>
        <v>Premium</v>
      </c>
      <c r="F1137" t="str">
        <f>_xlfn.XLOOKUP(_xlfn.XLOOKUP(B1137,raw_customers!A:A,raw_customers!F:F),raw_branches!A:A,raw_branches!B:B)</f>
        <v>Baku Central</v>
      </c>
      <c r="G1137" s="7">
        <v>11860.45</v>
      </c>
      <c r="H1137" s="6">
        <v>18.9</v>
      </c>
      <c r="I1137" t="s">
        <v>2383</v>
      </c>
      <c r="J1137" t="str">
        <f t="shared" si="17"/>
        <v>Yüksək Risk</v>
      </c>
    </row>
    <row r="1138" spans="1:10">
      <c r="A1138">
        <v>714</v>
      </c>
      <c r="B1138">
        <v>2</v>
      </c>
      <c r="C1138" t="str">
        <f>_xlfn.XLOOKUP(B1138,raw_customers!A:A,raw_customers!B:B)</f>
        <v>Fidan Quliyev</v>
      </c>
      <c r="D1138" t="str">
        <f>_xlfn.XLOOKUP(C1138,raw_customers!B:B,raw_customers!C:C)</f>
        <v>F</v>
      </c>
      <c r="E1138" t="str">
        <f>_xlfn.XLOOKUP(C1138,raw_customers!B:B,raw_customers!G:G)</f>
        <v>Retail</v>
      </c>
      <c r="F1138" t="str">
        <f>_xlfn.XLOOKUP(_xlfn.XLOOKUP(B1138,raw_customers!A:A,raw_customers!F:F),raw_branches!A:A,raw_branches!B:B)</f>
        <v>Mingachevir Branch</v>
      </c>
      <c r="G1138" s="7">
        <v>1697.42</v>
      </c>
      <c r="H1138" s="6">
        <v>9.72</v>
      </c>
      <c r="I1138" t="s">
        <v>2377</v>
      </c>
      <c r="J1138" t="str">
        <f t="shared" si="17"/>
        <v>Aşağı Risk</v>
      </c>
    </row>
    <row r="1139" spans="1:10">
      <c r="A1139">
        <v>715</v>
      </c>
      <c r="B1139">
        <v>976</v>
      </c>
      <c r="C1139" t="str">
        <f>_xlfn.XLOOKUP(B1139,raw_customers!A:A,raw_customers!B:B)</f>
        <v>Mehriban Kərimov</v>
      </c>
      <c r="D1139" t="str">
        <f>_xlfn.XLOOKUP(C1139,raw_customers!B:B,raw_customers!C:C)</f>
        <v>F</v>
      </c>
      <c r="E1139" t="str">
        <f>_xlfn.XLOOKUP(C1139,raw_customers!B:B,raw_customers!G:G)</f>
        <v>Retail</v>
      </c>
      <c r="F1139" t="str">
        <f>_xlfn.XLOOKUP(_xlfn.XLOOKUP(B1139,raw_customers!A:A,raw_customers!F:F),raw_branches!A:A,raw_branches!B:B)</f>
        <v>Baku Central</v>
      </c>
      <c r="G1139" s="7">
        <v>1364.1</v>
      </c>
      <c r="H1139" s="6">
        <v>5.13</v>
      </c>
      <c r="I1139" t="s">
        <v>2377</v>
      </c>
      <c r="J1139" t="str">
        <f t="shared" si="17"/>
        <v>Aşağı Risk</v>
      </c>
    </row>
    <row r="1140" spans="1:10">
      <c r="A1140">
        <v>716</v>
      </c>
      <c r="B1140">
        <v>800</v>
      </c>
      <c r="C1140" t="str">
        <f>_xlfn.XLOOKUP(B1140,raw_customers!A:A,raw_customers!B:B)</f>
        <v>Kamran Hüseynov</v>
      </c>
      <c r="D1140" t="str">
        <f>_xlfn.XLOOKUP(C1140,raw_customers!B:B,raw_customers!C:C)</f>
        <v>M</v>
      </c>
      <c r="E1140" t="str">
        <f>_xlfn.XLOOKUP(C1140,raw_customers!B:B,raw_customers!G:G)</f>
        <v>Retail</v>
      </c>
      <c r="F1140" t="str">
        <f>_xlfn.XLOOKUP(_xlfn.XLOOKUP(B1140,raw_customers!A:A,raw_customers!F:F),raw_branches!A:A,raw_branches!B:B)</f>
        <v>Ganja Branch</v>
      </c>
      <c r="G1140" s="7">
        <v>10084.4</v>
      </c>
      <c r="H1140" s="6">
        <v>12.51</v>
      </c>
      <c r="I1140" t="s">
        <v>2377</v>
      </c>
      <c r="J1140" t="str">
        <f t="shared" si="17"/>
        <v>Orta Risk</v>
      </c>
    </row>
    <row r="1141" spans="1:10">
      <c r="A1141">
        <v>717</v>
      </c>
      <c r="B1141">
        <v>276</v>
      </c>
      <c r="C1141" t="str">
        <f>_xlfn.XLOOKUP(B1141,raw_customers!A:A,raw_customers!B:B)</f>
        <v>Rüfət Abbasov</v>
      </c>
      <c r="D1141" t="str">
        <f>_xlfn.XLOOKUP(C1141,raw_customers!B:B,raw_customers!C:C)</f>
        <v>M</v>
      </c>
      <c r="E1141" t="str">
        <f>_xlfn.XLOOKUP(C1141,raw_customers!B:B,raw_customers!G:G)</f>
        <v>SME</v>
      </c>
      <c r="F1141" t="str">
        <f>_xlfn.XLOOKUP(_xlfn.XLOOKUP(B1141,raw_customers!A:A,raw_customers!F:F),raw_branches!A:A,raw_branches!B:B)</f>
        <v>Sheki Branch</v>
      </c>
      <c r="G1141" s="7">
        <v>2337.77</v>
      </c>
      <c r="H1141" s="6">
        <v>7.68</v>
      </c>
      <c r="I1141" t="s">
        <v>2383</v>
      </c>
      <c r="J1141" t="str">
        <f t="shared" si="17"/>
        <v>Aşağı Risk</v>
      </c>
    </row>
    <row r="1142" spans="1:10">
      <c r="A1142">
        <v>718</v>
      </c>
      <c r="B1142">
        <v>956</v>
      </c>
      <c r="C1142" t="str">
        <f>_xlfn.XLOOKUP(B1142,raw_customers!A:A,raw_customers!B:B)</f>
        <v>Zaur İsmayılov</v>
      </c>
      <c r="D1142" t="str">
        <f>_xlfn.XLOOKUP(C1142,raw_customers!B:B,raw_customers!C:C)</f>
        <v>M</v>
      </c>
      <c r="E1142" t="str">
        <f>_xlfn.XLOOKUP(C1142,raw_customers!B:B,raw_customers!G:G)</f>
        <v>Premium</v>
      </c>
      <c r="F1142" t="str">
        <f>_xlfn.XLOOKUP(_xlfn.XLOOKUP(B1142,raw_customers!A:A,raw_customers!F:F),raw_branches!A:A,raw_branches!B:B)</f>
        <v>Ganja Branch</v>
      </c>
      <c r="G1142" s="7">
        <v>23396.17</v>
      </c>
      <c r="H1142" s="6">
        <v>19.99</v>
      </c>
      <c r="I1142" t="s">
        <v>2383</v>
      </c>
      <c r="J1142" t="str">
        <f t="shared" si="17"/>
        <v>Yüksək Risk</v>
      </c>
    </row>
    <row r="1143" spans="1:10">
      <c r="A1143">
        <v>719</v>
      </c>
      <c r="B1143">
        <v>866</v>
      </c>
      <c r="C1143" t="str">
        <f>_xlfn.XLOOKUP(B1143,raw_customers!A:A,raw_customers!B:B)</f>
        <v>Rüfət Sadıqov</v>
      </c>
      <c r="D1143" t="str">
        <f>_xlfn.XLOOKUP(C1143,raw_customers!B:B,raw_customers!C:C)</f>
        <v>M</v>
      </c>
      <c r="E1143" t="str">
        <f>_xlfn.XLOOKUP(C1143,raw_customers!B:B,raw_customers!G:G)</f>
        <v>SME</v>
      </c>
      <c r="F1143" t="str">
        <f>_xlfn.XLOOKUP(_xlfn.XLOOKUP(B1143,raw_customers!A:A,raw_customers!F:F),raw_branches!A:A,raw_branches!B:B)</f>
        <v>Mingachevir Branch</v>
      </c>
      <c r="G1143" s="7">
        <v>4005.61</v>
      </c>
      <c r="H1143" s="6">
        <v>15.98</v>
      </c>
      <c r="I1143" t="s">
        <v>2393</v>
      </c>
      <c r="J1143" t="str">
        <f t="shared" si="17"/>
        <v>Default (Batıq)</v>
      </c>
    </row>
    <row r="1144" spans="1:10">
      <c r="A1144">
        <v>720</v>
      </c>
      <c r="B1144">
        <v>257</v>
      </c>
      <c r="C1144" t="str">
        <f>_xlfn.XLOOKUP(B1144,raw_customers!A:A,raw_customers!B:B)</f>
        <v>Ülviyyə Cəfərov</v>
      </c>
      <c r="D1144" t="str">
        <f>_xlfn.XLOOKUP(C1144,raw_customers!B:B,raw_customers!C:C)</f>
        <v>F</v>
      </c>
      <c r="E1144" t="str">
        <f>_xlfn.XLOOKUP(C1144,raw_customers!B:B,raw_customers!G:G)</f>
        <v>Premium</v>
      </c>
      <c r="F1144" t="str">
        <f>_xlfn.XLOOKUP(_xlfn.XLOOKUP(B1144,raw_customers!A:A,raw_customers!F:F),raw_branches!A:A,raw_branches!B:B)</f>
        <v>Lankaran Branch</v>
      </c>
      <c r="G1144" s="7">
        <v>30830.58</v>
      </c>
      <c r="H1144" s="6">
        <v>8.22</v>
      </c>
      <c r="I1144" t="s">
        <v>2377</v>
      </c>
      <c r="J1144" t="str">
        <f t="shared" si="17"/>
        <v>Aşağı Risk</v>
      </c>
    </row>
    <row r="1145" spans="1:10">
      <c r="A1145">
        <v>721</v>
      </c>
      <c r="B1145">
        <v>316</v>
      </c>
      <c r="C1145" t="str">
        <f>_xlfn.XLOOKUP(B1145,raw_customers!A:A,raw_customers!B:B)</f>
        <v>Nərgiz Nəbiyev</v>
      </c>
      <c r="D1145" t="str">
        <f>_xlfn.XLOOKUP(C1145,raw_customers!B:B,raw_customers!C:C)</f>
        <v>F</v>
      </c>
      <c r="E1145" t="str">
        <f>_xlfn.XLOOKUP(C1145,raw_customers!B:B,raw_customers!G:G)</f>
        <v>SME</v>
      </c>
      <c r="F1145" t="str">
        <f>_xlfn.XLOOKUP(_xlfn.XLOOKUP(B1145,raw_customers!A:A,raw_customers!F:F),raw_branches!A:A,raw_branches!B:B)</f>
        <v>Baku Central</v>
      </c>
      <c r="G1145" s="7">
        <v>8376.02</v>
      </c>
      <c r="H1145" s="6">
        <v>15.19</v>
      </c>
      <c r="I1145" t="s">
        <v>2377</v>
      </c>
      <c r="J1145" t="str">
        <f t="shared" si="17"/>
        <v>Orta Risk</v>
      </c>
    </row>
    <row r="1146" spans="1:10">
      <c r="A1146">
        <v>722</v>
      </c>
      <c r="B1146">
        <v>129</v>
      </c>
      <c r="C1146" t="str">
        <f>_xlfn.XLOOKUP(B1146,raw_customers!A:A,raw_customers!B:B)</f>
        <v>Lalə Əliyev</v>
      </c>
      <c r="D1146" t="str">
        <f>_xlfn.XLOOKUP(C1146,raw_customers!B:B,raw_customers!C:C)</f>
        <v>F</v>
      </c>
      <c r="E1146" t="str">
        <f>_xlfn.XLOOKUP(C1146,raw_customers!B:B,raw_customers!G:G)</f>
        <v>SME</v>
      </c>
      <c r="F1146" t="str">
        <f>_xlfn.XLOOKUP(_xlfn.XLOOKUP(B1146,raw_customers!A:A,raw_customers!F:F),raw_branches!A:A,raw_branches!B:B)</f>
        <v>Sumgait Branch</v>
      </c>
      <c r="G1146" s="7">
        <v>9207.61</v>
      </c>
      <c r="H1146" s="6">
        <v>10.76</v>
      </c>
      <c r="I1146" t="s">
        <v>2383</v>
      </c>
      <c r="J1146" t="str">
        <f t="shared" si="17"/>
        <v>Aşağı Risk</v>
      </c>
    </row>
    <row r="1147" spans="1:10">
      <c r="A1147">
        <v>723</v>
      </c>
      <c r="B1147">
        <v>270</v>
      </c>
      <c r="C1147" t="str">
        <f>_xlfn.XLOOKUP(B1147,raw_customers!A:A,raw_customers!B:B)</f>
        <v>Ramin Nəbiyev</v>
      </c>
      <c r="D1147" t="str">
        <f>_xlfn.XLOOKUP(C1147,raw_customers!B:B,raw_customers!C:C)</f>
        <v>M</v>
      </c>
      <c r="E1147" t="str">
        <f>_xlfn.XLOOKUP(C1147,raw_customers!B:B,raw_customers!G:G)</f>
        <v>Premium</v>
      </c>
      <c r="F1147" t="str">
        <f>_xlfn.XLOOKUP(_xlfn.XLOOKUP(B1147,raw_customers!A:A,raw_customers!F:F),raw_branches!A:A,raw_branches!B:B)</f>
        <v>Lankaran Branch</v>
      </c>
      <c r="G1147" s="7">
        <v>75275.39</v>
      </c>
      <c r="H1147" s="6">
        <v>10.01</v>
      </c>
      <c r="I1147" t="s">
        <v>2377</v>
      </c>
      <c r="J1147" t="str">
        <f t="shared" si="17"/>
        <v>Aşağı Risk</v>
      </c>
    </row>
    <row r="1148" spans="1:10">
      <c r="A1148">
        <v>724</v>
      </c>
      <c r="B1148">
        <v>527</v>
      </c>
      <c r="C1148" t="str">
        <f>_xlfn.XLOOKUP(B1148,raw_customers!A:A,raw_customers!B:B)</f>
        <v>Lalə Sadıqov</v>
      </c>
      <c r="D1148" t="str">
        <f>_xlfn.XLOOKUP(C1148,raw_customers!B:B,raw_customers!C:C)</f>
        <v>F</v>
      </c>
      <c r="E1148" t="str">
        <f>_xlfn.XLOOKUP(C1148,raw_customers!B:B,raw_customers!G:G)</f>
        <v>Premium</v>
      </c>
      <c r="F1148" t="str">
        <f>_xlfn.XLOOKUP(_xlfn.XLOOKUP(B1148,raw_customers!A:A,raw_customers!F:F),raw_branches!A:A,raw_branches!B:B)</f>
        <v>Baku Central</v>
      </c>
      <c r="G1148" s="7">
        <v>148628.82</v>
      </c>
      <c r="H1148" s="6">
        <v>9.84</v>
      </c>
      <c r="I1148" t="s">
        <v>2377</v>
      </c>
      <c r="J1148" t="str">
        <f t="shared" si="17"/>
        <v>Aşağı Risk</v>
      </c>
    </row>
    <row r="1149" spans="1:10">
      <c r="A1149">
        <v>725</v>
      </c>
      <c r="B1149">
        <v>147</v>
      </c>
      <c r="C1149" t="str">
        <f>_xlfn.XLOOKUP(B1149,raw_customers!A:A,raw_customers!B:B)</f>
        <v>Elşən Musayev</v>
      </c>
      <c r="D1149" t="str">
        <f>_xlfn.XLOOKUP(C1149,raw_customers!B:B,raw_customers!C:C)</f>
        <v>M</v>
      </c>
      <c r="E1149" t="str">
        <f>_xlfn.XLOOKUP(C1149,raw_customers!B:B,raw_customers!G:G)</f>
        <v>Retail</v>
      </c>
      <c r="F1149" t="str">
        <f>_xlfn.XLOOKUP(_xlfn.XLOOKUP(B1149,raw_customers!A:A,raw_customers!F:F),raw_branches!A:A,raw_branches!B:B)</f>
        <v>Sheki Branch</v>
      </c>
      <c r="G1149" s="7">
        <v>31432.82</v>
      </c>
      <c r="H1149" s="6">
        <v>12.78</v>
      </c>
      <c r="I1149" t="s">
        <v>2377</v>
      </c>
      <c r="J1149" t="str">
        <f t="shared" si="17"/>
        <v>Orta Risk</v>
      </c>
    </row>
    <row r="1150" spans="1:10">
      <c r="A1150">
        <v>726</v>
      </c>
      <c r="B1150">
        <v>564</v>
      </c>
      <c r="C1150" t="str">
        <f>_xlfn.XLOOKUP(B1150,raw_customers!A:A,raw_customers!B:B)</f>
        <v>Tural Novruzov</v>
      </c>
      <c r="D1150" t="str">
        <f>_xlfn.XLOOKUP(C1150,raw_customers!B:B,raw_customers!C:C)</f>
        <v>M</v>
      </c>
      <c r="E1150" t="str">
        <f>_xlfn.XLOOKUP(C1150,raw_customers!B:B,raw_customers!G:G)</f>
        <v>Retail</v>
      </c>
      <c r="F1150" t="str">
        <f>_xlfn.XLOOKUP(_xlfn.XLOOKUP(B1150,raw_customers!A:A,raw_customers!F:F),raw_branches!A:A,raw_branches!B:B)</f>
        <v>Sheki Branch</v>
      </c>
      <c r="G1150" s="7">
        <v>887.49</v>
      </c>
      <c r="H1150" s="6">
        <v>20.91</v>
      </c>
      <c r="I1150" t="s">
        <v>2377</v>
      </c>
      <c r="J1150" t="str">
        <f t="shared" si="17"/>
        <v>Yüksək Risk</v>
      </c>
    </row>
    <row r="1151" spans="1:10">
      <c r="A1151">
        <v>727</v>
      </c>
      <c r="B1151">
        <v>462</v>
      </c>
      <c r="C1151" t="str">
        <f>_xlfn.XLOOKUP(B1151,raw_customers!A:A,raw_customers!B:B)</f>
        <v>Kənan Əzizov</v>
      </c>
      <c r="D1151" t="str">
        <f>_xlfn.XLOOKUP(C1151,raw_customers!B:B,raw_customers!C:C)</f>
        <v>M</v>
      </c>
      <c r="E1151" t="str">
        <f>_xlfn.XLOOKUP(C1151,raw_customers!B:B,raw_customers!G:G)</f>
        <v>SME</v>
      </c>
      <c r="F1151" t="str">
        <f>_xlfn.XLOOKUP(_xlfn.XLOOKUP(B1151,raw_customers!A:A,raw_customers!F:F),raw_branches!A:A,raw_branches!B:B)</f>
        <v>Mingachevir Branch</v>
      </c>
      <c r="G1151" s="7">
        <v>9052.98</v>
      </c>
      <c r="H1151" s="6">
        <v>20.51</v>
      </c>
      <c r="I1151" t="s">
        <v>2377</v>
      </c>
      <c r="J1151" t="str">
        <f t="shared" si="17"/>
        <v>Yüksək Risk</v>
      </c>
    </row>
    <row r="1152" spans="1:10">
      <c r="A1152">
        <v>728</v>
      </c>
      <c r="B1152">
        <v>844</v>
      </c>
      <c r="C1152" t="str">
        <f>_xlfn.XLOOKUP(B1152,raw_customers!A:A,raw_customers!B:B)</f>
        <v>Samir Novruzov</v>
      </c>
      <c r="D1152" t="str">
        <f>_xlfn.XLOOKUP(C1152,raw_customers!B:B,raw_customers!C:C)</f>
        <v>M</v>
      </c>
      <c r="E1152" t="str">
        <f>_xlfn.XLOOKUP(C1152,raw_customers!B:B,raw_customers!G:G)</f>
        <v>Retail</v>
      </c>
      <c r="F1152" t="str">
        <f>_xlfn.XLOOKUP(_xlfn.XLOOKUP(B1152,raw_customers!A:A,raw_customers!F:F),raw_branches!A:A,raw_branches!B:B)</f>
        <v>Baku Central</v>
      </c>
      <c r="G1152" s="7">
        <v>22007.18</v>
      </c>
      <c r="H1152" s="6">
        <v>15.11</v>
      </c>
      <c r="I1152" t="s">
        <v>2377</v>
      </c>
      <c r="J1152" t="str">
        <f t="shared" si="17"/>
        <v>Orta Risk</v>
      </c>
    </row>
    <row r="1153" spans="1:10">
      <c r="A1153">
        <v>729</v>
      </c>
      <c r="B1153">
        <v>758</v>
      </c>
      <c r="C1153" t="str">
        <f>_xlfn.XLOOKUP(B1153,raw_customers!A:A,raw_customers!B:B)</f>
        <v>Ramin Tağıyev</v>
      </c>
      <c r="D1153" t="str">
        <f>_xlfn.XLOOKUP(C1153,raw_customers!B:B,raw_customers!C:C)</f>
        <v>M</v>
      </c>
      <c r="E1153" t="str">
        <f>_xlfn.XLOOKUP(C1153,raw_customers!B:B,raw_customers!G:G)</f>
        <v>Premium</v>
      </c>
      <c r="F1153" t="str">
        <f>_xlfn.XLOOKUP(_xlfn.XLOOKUP(B1153,raw_customers!A:A,raw_customers!F:F),raw_branches!A:A,raw_branches!B:B)</f>
        <v>Lankaran Branch</v>
      </c>
      <c r="G1153" s="7">
        <v>28970.69</v>
      </c>
      <c r="H1153" s="6">
        <v>17.01</v>
      </c>
      <c r="I1153" t="s">
        <v>2377</v>
      </c>
      <c r="J1153" t="str">
        <f t="shared" si="17"/>
        <v>Orta Risk</v>
      </c>
    </row>
    <row r="1154" spans="1:10">
      <c r="A1154">
        <v>730</v>
      </c>
      <c r="B1154">
        <v>279</v>
      </c>
      <c r="C1154" t="str">
        <f>_xlfn.XLOOKUP(B1154,raw_customers!A:A,raw_customers!B:B)</f>
        <v>Kamran Tağıyev</v>
      </c>
      <c r="D1154" t="str">
        <f>_xlfn.XLOOKUP(C1154,raw_customers!B:B,raw_customers!C:C)</f>
        <v>M</v>
      </c>
      <c r="E1154" t="str">
        <f>_xlfn.XLOOKUP(C1154,raw_customers!B:B,raw_customers!G:G)</f>
        <v>Retail</v>
      </c>
      <c r="F1154" t="str">
        <f>_xlfn.XLOOKUP(_xlfn.XLOOKUP(B1154,raw_customers!A:A,raw_customers!F:F),raw_branches!A:A,raw_branches!B:B)</f>
        <v>Mingachevir Branch</v>
      </c>
      <c r="G1154" s="7">
        <v>11944.06</v>
      </c>
      <c r="H1154" s="6">
        <v>19.89</v>
      </c>
      <c r="I1154" t="s">
        <v>2377</v>
      </c>
      <c r="J1154" t="str">
        <f t="shared" si="17"/>
        <v>Yüksək Risk</v>
      </c>
    </row>
    <row r="1155" spans="1:10">
      <c r="A1155">
        <v>731</v>
      </c>
      <c r="B1155">
        <v>774</v>
      </c>
      <c r="C1155" t="str">
        <f>_xlfn.XLOOKUP(B1155,raw_customers!A:A,raw_customers!B:B)</f>
        <v>Vüqar Məmmədov</v>
      </c>
      <c r="D1155" t="str">
        <f>_xlfn.XLOOKUP(C1155,raw_customers!B:B,raw_customers!C:C)</f>
        <v>M</v>
      </c>
      <c r="E1155" t="str">
        <f>_xlfn.XLOOKUP(C1155,raw_customers!B:B,raw_customers!G:G)</f>
        <v>Retail</v>
      </c>
      <c r="F1155" t="str">
        <f>_xlfn.XLOOKUP(_xlfn.XLOOKUP(B1155,raw_customers!A:A,raw_customers!F:F),raw_branches!A:A,raw_branches!B:B)</f>
        <v>Baku Central</v>
      </c>
      <c r="G1155" s="7">
        <v>123028.42</v>
      </c>
      <c r="H1155" s="6">
        <v>9.74</v>
      </c>
      <c r="I1155" t="s">
        <v>2377</v>
      </c>
      <c r="J1155" t="str">
        <f t="shared" ref="J1155:J1218" si="18">IF(I1155="Default","Default (Batıq)",IF(H1155&gt;=18,"Yüksək Risk",IF(H1155&gt;=12,"Orta Risk","Aşağı Risk")))</f>
        <v>Aşağı Risk</v>
      </c>
    </row>
    <row r="1156" spans="1:10">
      <c r="A1156">
        <v>732</v>
      </c>
      <c r="B1156">
        <v>896</v>
      </c>
      <c r="C1156" t="str">
        <f>_xlfn.XLOOKUP(B1156,raw_customers!A:A,raw_customers!B:B)</f>
        <v>Fərid Kərimov</v>
      </c>
      <c r="D1156" t="str">
        <f>_xlfn.XLOOKUP(C1156,raw_customers!B:B,raw_customers!C:C)</f>
        <v>M</v>
      </c>
      <c r="E1156" t="str">
        <f>_xlfn.XLOOKUP(C1156,raw_customers!B:B,raw_customers!G:G)</f>
        <v>SME</v>
      </c>
      <c r="F1156" t="str">
        <f>_xlfn.XLOOKUP(_xlfn.XLOOKUP(B1156,raw_customers!A:A,raw_customers!F:F),raw_branches!A:A,raw_branches!B:B)</f>
        <v>Baku Central</v>
      </c>
      <c r="G1156" s="7">
        <v>7365.85</v>
      </c>
      <c r="H1156" s="6">
        <v>11.03</v>
      </c>
      <c r="I1156" t="s">
        <v>2383</v>
      </c>
      <c r="J1156" t="str">
        <f t="shared" si="18"/>
        <v>Aşağı Risk</v>
      </c>
    </row>
    <row r="1157" spans="1:10">
      <c r="A1157">
        <v>733</v>
      </c>
      <c r="B1157">
        <v>383</v>
      </c>
      <c r="C1157" t="str">
        <f>_xlfn.XLOOKUP(B1157,raw_customers!A:A,raw_customers!B:B)</f>
        <v>Aysel Vəliyev</v>
      </c>
      <c r="D1157" t="str">
        <f>_xlfn.XLOOKUP(C1157,raw_customers!B:B,raw_customers!C:C)</f>
        <v>F</v>
      </c>
      <c r="E1157" t="str">
        <f>_xlfn.XLOOKUP(C1157,raw_customers!B:B,raw_customers!G:G)</f>
        <v>SME</v>
      </c>
      <c r="F1157" t="str">
        <f>_xlfn.XLOOKUP(_xlfn.XLOOKUP(B1157,raw_customers!A:A,raw_customers!F:F),raw_branches!A:A,raw_branches!B:B)</f>
        <v>Sheki Branch</v>
      </c>
      <c r="G1157" s="7">
        <v>2610.01</v>
      </c>
      <c r="H1157" s="6">
        <v>21.18</v>
      </c>
      <c r="I1157" t="s">
        <v>2377</v>
      </c>
      <c r="J1157" t="str">
        <f t="shared" si="18"/>
        <v>Yüksək Risk</v>
      </c>
    </row>
    <row r="1158" spans="1:10">
      <c r="A1158">
        <v>734</v>
      </c>
      <c r="B1158">
        <v>855</v>
      </c>
      <c r="C1158" t="str">
        <f>_xlfn.XLOOKUP(B1158,raw_customers!A:A,raw_customers!B:B)</f>
        <v>Səbinə Sadıqov</v>
      </c>
      <c r="D1158" t="str">
        <f>_xlfn.XLOOKUP(C1158,raw_customers!B:B,raw_customers!C:C)</f>
        <v>F</v>
      </c>
      <c r="E1158" t="str">
        <f>_xlfn.XLOOKUP(C1158,raw_customers!B:B,raw_customers!G:G)</f>
        <v>Retail</v>
      </c>
      <c r="F1158" t="str">
        <f>_xlfn.XLOOKUP(_xlfn.XLOOKUP(B1158,raw_customers!A:A,raw_customers!F:F),raw_branches!A:A,raw_branches!B:B)</f>
        <v>Mingachevir Branch</v>
      </c>
      <c r="G1158" s="7">
        <v>24619.6</v>
      </c>
      <c r="H1158" s="6">
        <v>5.85</v>
      </c>
      <c r="I1158" t="s">
        <v>2383</v>
      </c>
      <c r="J1158" t="str">
        <f t="shared" si="18"/>
        <v>Aşağı Risk</v>
      </c>
    </row>
    <row r="1159" spans="1:10">
      <c r="A1159">
        <v>735</v>
      </c>
      <c r="B1159">
        <v>250</v>
      </c>
      <c r="C1159" t="str">
        <f>_xlfn.XLOOKUP(B1159,raw_customers!A:A,raw_customers!B:B)</f>
        <v>Xəyalə Sadıqov</v>
      </c>
      <c r="D1159" t="str">
        <f>_xlfn.XLOOKUP(C1159,raw_customers!B:B,raw_customers!C:C)</f>
        <v>F</v>
      </c>
      <c r="E1159" t="str">
        <f>_xlfn.XLOOKUP(C1159,raw_customers!B:B,raw_customers!G:G)</f>
        <v>SME</v>
      </c>
      <c r="F1159" t="str">
        <f>_xlfn.XLOOKUP(_xlfn.XLOOKUP(B1159,raw_customers!A:A,raw_customers!F:F),raw_branches!A:A,raw_branches!B:B)</f>
        <v>Baku Yasamal</v>
      </c>
      <c r="G1159" s="7">
        <v>14025.74</v>
      </c>
      <c r="H1159" s="6">
        <v>9.73</v>
      </c>
      <c r="I1159" t="s">
        <v>2383</v>
      </c>
      <c r="J1159" t="str">
        <f t="shared" si="18"/>
        <v>Aşağı Risk</v>
      </c>
    </row>
    <row r="1160" spans="1:10">
      <c r="A1160">
        <v>736</v>
      </c>
      <c r="B1160">
        <v>4</v>
      </c>
      <c r="C1160" t="str">
        <f>_xlfn.XLOOKUP(B1160,raw_customers!A:A,raw_customers!B:B)</f>
        <v>Murad Hüseynov</v>
      </c>
      <c r="D1160" t="str">
        <f>_xlfn.XLOOKUP(C1160,raw_customers!B:B,raw_customers!C:C)</f>
        <v>M</v>
      </c>
      <c r="E1160" t="str">
        <f>_xlfn.XLOOKUP(C1160,raw_customers!B:B,raw_customers!G:G)</f>
        <v>Retail</v>
      </c>
      <c r="F1160" t="str">
        <f>_xlfn.XLOOKUP(_xlfn.XLOOKUP(B1160,raw_customers!A:A,raw_customers!F:F),raw_branches!A:A,raw_branches!B:B)</f>
        <v>Sumgait Branch</v>
      </c>
      <c r="G1160" s="7">
        <v>15596.86</v>
      </c>
      <c r="H1160" s="6">
        <v>20.33</v>
      </c>
      <c r="I1160" t="s">
        <v>2377</v>
      </c>
      <c r="J1160" t="str">
        <f t="shared" si="18"/>
        <v>Yüksək Risk</v>
      </c>
    </row>
    <row r="1161" spans="1:10">
      <c r="A1161">
        <v>737</v>
      </c>
      <c r="B1161">
        <v>837</v>
      </c>
      <c r="C1161" t="str">
        <f>_xlfn.XLOOKUP(B1161,raw_customers!A:A,raw_customers!B:B)</f>
        <v>Fuad Cəfərov</v>
      </c>
      <c r="D1161" t="str">
        <f>_xlfn.XLOOKUP(C1161,raw_customers!B:B,raw_customers!C:C)</f>
        <v>M</v>
      </c>
      <c r="E1161" t="str">
        <f>_xlfn.XLOOKUP(C1161,raw_customers!B:B,raw_customers!G:G)</f>
        <v>SME</v>
      </c>
      <c r="F1161" t="str">
        <f>_xlfn.XLOOKUP(_xlfn.XLOOKUP(B1161,raw_customers!A:A,raw_customers!F:F),raw_branches!A:A,raw_branches!B:B)</f>
        <v>Lankaran Branch</v>
      </c>
      <c r="G1161" s="7">
        <v>187799.62</v>
      </c>
      <c r="H1161" s="6">
        <v>13.88</v>
      </c>
      <c r="I1161" t="s">
        <v>2383</v>
      </c>
      <c r="J1161" t="str">
        <f t="shared" si="18"/>
        <v>Orta Risk</v>
      </c>
    </row>
    <row r="1162" spans="1:10">
      <c r="A1162">
        <v>738</v>
      </c>
      <c r="B1162">
        <v>865</v>
      </c>
      <c r="C1162" t="str">
        <f>_xlfn.XLOOKUP(B1162,raw_customers!A:A,raw_customers!B:B)</f>
        <v>Zaur Rzayev</v>
      </c>
      <c r="D1162" t="str">
        <f>_xlfn.XLOOKUP(C1162,raw_customers!B:B,raw_customers!C:C)</f>
        <v>M</v>
      </c>
      <c r="E1162" t="str">
        <f>_xlfn.XLOOKUP(C1162,raw_customers!B:B,raw_customers!G:G)</f>
        <v>SME</v>
      </c>
      <c r="F1162" t="str">
        <f>_xlfn.XLOOKUP(_xlfn.XLOOKUP(B1162,raw_customers!A:A,raw_customers!F:F),raw_branches!A:A,raw_branches!B:B)</f>
        <v>Baku Central</v>
      </c>
      <c r="G1162" s="7">
        <v>53892.29</v>
      </c>
      <c r="H1162" s="6">
        <v>18.36</v>
      </c>
      <c r="I1162" t="s">
        <v>2383</v>
      </c>
      <c r="J1162" t="str">
        <f t="shared" si="18"/>
        <v>Yüksək Risk</v>
      </c>
    </row>
    <row r="1163" spans="1:10">
      <c r="A1163">
        <v>739</v>
      </c>
      <c r="B1163">
        <v>691</v>
      </c>
      <c r="C1163" t="str">
        <f>_xlfn.XLOOKUP(B1163,raw_customers!A:A,raw_customers!B:B)</f>
        <v>Aysel Bağırov</v>
      </c>
      <c r="D1163" t="str">
        <f>_xlfn.XLOOKUP(C1163,raw_customers!B:B,raw_customers!C:C)</f>
        <v>F</v>
      </c>
      <c r="E1163" t="str">
        <f>_xlfn.XLOOKUP(C1163,raw_customers!B:B,raw_customers!G:G)</f>
        <v>SME</v>
      </c>
      <c r="F1163" t="str">
        <f>_xlfn.XLOOKUP(_xlfn.XLOOKUP(B1163,raw_customers!A:A,raw_customers!F:F),raw_branches!A:A,raw_branches!B:B)</f>
        <v>Sumgait Branch</v>
      </c>
      <c r="G1163" s="7">
        <v>34403.9</v>
      </c>
      <c r="H1163" s="6">
        <v>6.42</v>
      </c>
      <c r="I1163" t="s">
        <v>2377</v>
      </c>
      <c r="J1163" t="str">
        <f t="shared" si="18"/>
        <v>Aşağı Risk</v>
      </c>
    </row>
    <row r="1164" spans="1:10">
      <c r="A1164">
        <v>740</v>
      </c>
      <c r="B1164">
        <v>216</v>
      </c>
      <c r="C1164" t="str">
        <f>_xlfn.XLOOKUP(B1164,raw_customers!A:A,raw_customers!B:B)</f>
        <v>Kamran Quliyev</v>
      </c>
      <c r="D1164" t="str">
        <f>_xlfn.XLOOKUP(C1164,raw_customers!B:B,raw_customers!C:C)</f>
        <v>M</v>
      </c>
      <c r="E1164" t="str">
        <f>_xlfn.XLOOKUP(C1164,raw_customers!B:B,raw_customers!G:G)</f>
        <v>Retail</v>
      </c>
      <c r="F1164" t="str">
        <f>_xlfn.XLOOKUP(_xlfn.XLOOKUP(B1164,raw_customers!A:A,raw_customers!F:F),raw_branches!A:A,raw_branches!B:B)</f>
        <v>Baku Yasamal</v>
      </c>
      <c r="G1164" s="7">
        <v>1189.14</v>
      </c>
      <c r="H1164" s="6">
        <v>8.66</v>
      </c>
      <c r="I1164" t="s">
        <v>2377</v>
      </c>
      <c r="J1164" t="str">
        <f t="shared" si="18"/>
        <v>Aşağı Risk</v>
      </c>
    </row>
    <row r="1165" spans="1:10">
      <c r="A1165">
        <v>741</v>
      </c>
      <c r="B1165">
        <v>655</v>
      </c>
      <c r="C1165" t="str">
        <f>_xlfn.XLOOKUP(B1165,raw_customers!A:A,raw_customers!B:B)</f>
        <v>Leyla Abbasov</v>
      </c>
      <c r="D1165" t="str">
        <f>_xlfn.XLOOKUP(C1165,raw_customers!B:B,raw_customers!C:C)</f>
        <v>F</v>
      </c>
      <c r="E1165" t="str">
        <f>_xlfn.XLOOKUP(C1165,raw_customers!B:B,raw_customers!G:G)</f>
        <v>Retail</v>
      </c>
      <c r="F1165" t="str">
        <f>_xlfn.XLOOKUP(_xlfn.XLOOKUP(B1165,raw_customers!A:A,raw_customers!F:F),raw_branches!A:A,raw_branches!B:B)</f>
        <v>Ganja Branch</v>
      </c>
      <c r="G1165" s="7">
        <v>22059.84</v>
      </c>
      <c r="H1165" s="6">
        <v>6.24</v>
      </c>
      <c r="I1165" t="s">
        <v>2377</v>
      </c>
      <c r="J1165" t="str">
        <f t="shared" si="18"/>
        <v>Aşağı Risk</v>
      </c>
    </row>
    <row r="1166" spans="1:10">
      <c r="A1166">
        <v>742</v>
      </c>
      <c r="B1166">
        <v>276</v>
      </c>
      <c r="C1166" t="str">
        <f>_xlfn.XLOOKUP(B1166,raw_customers!A:A,raw_customers!B:B)</f>
        <v>Rüfət Abbasov</v>
      </c>
      <c r="D1166" t="str">
        <f>_xlfn.XLOOKUP(C1166,raw_customers!B:B,raw_customers!C:C)</f>
        <v>M</v>
      </c>
      <c r="E1166" t="str">
        <f>_xlfn.XLOOKUP(C1166,raw_customers!B:B,raw_customers!G:G)</f>
        <v>SME</v>
      </c>
      <c r="F1166" t="str">
        <f>_xlfn.XLOOKUP(_xlfn.XLOOKUP(B1166,raw_customers!A:A,raw_customers!F:F),raw_branches!A:A,raw_branches!B:B)</f>
        <v>Sheki Branch</v>
      </c>
      <c r="G1166" s="7">
        <v>24333.7</v>
      </c>
      <c r="H1166" s="6">
        <v>21.57</v>
      </c>
      <c r="I1166" t="s">
        <v>2377</v>
      </c>
      <c r="J1166" t="str">
        <f t="shared" si="18"/>
        <v>Yüksək Risk</v>
      </c>
    </row>
    <row r="1167" spans="1:10">
      <c r="A1167">
        <v>743</v>
      </c>
      <c r="B1167">
        <v>84</v>
      </c>
      <c r="C1167" t="str">
        <f>_xlfn.XLOOKUP(B1167,raw_customers!A:A,raw_customers!B:B)</f>
        <v>Toğrul Məmmədov</v>
      </c>
      <c r="D1167" t="str">
        <f>_xlfn.XLOOKUP(C1167,raw_customers!B:B,raw_customers!C:C)</f>
        <v>M</v>
      </c>
      <c r="E1167" t="str">
        <f>_xlfn.XLOOKUP(C1167,raw_customers!B:B,raw_customers!G:G)</f>
        <v>Retail</v>
      </c>
      <c r="F1167" t="str">
        <f>_xlfn.XLOOKUP(_xlfn.XLOOKUP(B1167,raw_customers!A:A,raw_customers!F:F),raw_branches!A:A,raw_branches!B:B)</f>
        <v>Ganja Branch</v>
      </c>
      <c r="G1167" s="7">
        <v>41402.33</v>
      </c>
      <c r="H1167" s="6">
        <v>20.16</v>
      </c>
      <c r="I1167" t="s">
        <v>2377</v>
      </c>
      <c r="J1167" t="str">
        <f t="shared" si="18"/>
        <v>Yüksək Risk</v>
      </c>
    </row>
    <row r="1168" spans="1:10">
      <c r="A1168">
        <v>744</v>
      </c>
      <c r="B1168">
        <v>644</v>
      </c>
      <c r="C1168" t="str">
        <f>_xlfn.XLOOKUP(B1168,raw_customers!A:A,raw_customers!B:B)</f>
        <v>Leyla İsmayılov</v>
      </c>
      <c r="D1168" t="str">
        <f>_xlfn.XLOOKUP(C1168,raw_customers!B:B,raw_customers!C:C)</f>
        <v>F</v>
      </c>
      <c r="E1168" t="str">
        <f>_xlfn.XLOOKUP(C1168,raw_customers!B:B,raw_customers!G:G)</f>
        <v>Retail</v>
      </c>
      <c r="F1168" t="str">
        <f>_xlfn.XLOOKUP(_xlfn.XLOOKUP(B1168,raw_customers!A:A,raw_customers!F:F),raw_branches!A:A,raw_branches!B:B)</f>
        <v>Lankaran Branch</v>
      </c>
      <c r="G1168" s="7">
        <v>8077.01</v>
      </c>
      <c r="H1168" s="6">
        <v>11.23</v>
      </c>
      <c r="I1168" t="s">
        <v>2383</v>
      </c>
      <c r="J1168" t="str">
        <f t="shared" si="18"/>
        <v>Aşağı Risk</v>
      </c>
    </row>
    <row r="1169" spans="1:10">
      <c r="A1169">
        <v>745</v>
      </c>
      <c r="B1169">
        <v>538</v>
      </c>
      <c r="C1169" t="str">
        <f>_xlfn.XLOOKUP(B1169,raw_customers!A:A,raw_customers!B:B)</f>
        <v>Günel Musayev</v>
      </c>
      <c r="D1169" t="str">
        <f>_xlfn.XLOOKUP(C1169,raw_customers!B:B,raw_customers!C:C)</f>
        <v>F</v>
      </c>
      <c r="E1169" t="str">
        <f>_xlfn.XLOOKUP(C1169,raw_customers!B:B,raw_customers!G:G)</f>
        <v>SME</v>
      </c>
      <c r="F1169" t="str">
        <f>_xlfn.XLOOKUP(_xlfn.XLOOKUP(B1169,raw_customers!A:A,raw_customers!F:F),raw_branches!A:A,raw_branches!B:B)</f>
        <v>Baku Yasamal</v>
      </c>
      <c r="G1169" s="2">
        <v>13059</v>
      </c>
      <c r="H1169" s="6">
        <v>14.67</v>
      </c>
      <c r="I1169" t="s">
        <v>2383</v>
      </c>
      <c r="J1169" t="str">
        <f t="shared" si="18"/>
        <v>Orta Risk</v>
      </c>
    </row>
    <row r="1170" spans="1:10">
      <c r="A1170">
        <v>746</v>
      </c>
      <c r="B1170">
        <v>667</v>
      </c>
      <c r="C1170" t="str">
        <f>_xlfn.XLOOKUP(B1170,raw_customers!A:A,raw_customers!B:B)</f>
        <v>Nigar Bağırov</v>
      </c>
      <c r="D1170" t="str">
        <f>_xlfn.XLOOKUP(C1170,raw_customers!B:B,raw_customers!C:C)</f>
        <v>F</v>
      </c>
      <c r="E1170" t="str">
        <f>_xlfn.XLOOKUP(C1170,raw_customers!B:B,raw_customers!G:G)</f>
        <v>SME</v>
      </c>
      <c r="F1170" t="str">
        <f>_xlfn.XLOOKUP(_xlfn.XLOOKUP(B1170,raw_customers!A:A,raw_customers!F:F),raw_branches!A:A,raw_branches!B:B)</f>
        <v>Lankaran Branch</v>
      </c>
      <c r="G1170" s="7">
        <v>6816.96</v>
      </c>
      <c r="H1170" s="6">
        <v>13.58</v>
      </c>
      <c r="I1170" t="s">
        <v>2377</v>
      </c>
      <c r="J1170" t="str">
        <f t="shared" si="18"/>
        <v>Orta Risk</v>
      </c>
    </row>
    <row r="1171" spans="1:10">
      <c r="A1171">
        <v>747</v>
      </c>
      <c r="B1171">
        <v>299</v>
      </c>
      <c r="C1171" t="str">
        <f>_xlfn.XLOOKUP(B1171,raw_customers!A:A,raw_customers!B:B)</f>
        <v>Ülviyyə Orucov</v>
      </c>
      <c r="D1171" t="str">
        <f>_xlfn.XLOOKUP(C1171,raw_customers!B:B,raw_customers!C:C)</f>
        <v>F</v>
      </c>
      <c r="E1171" t="str">
        <f>_xlfn.XLOOKUP(C1171,raw_customers!B:B,raw_customers!G:G)</f>
        <v>Retail</v>
      </c>
      <c r="F1171" t="str">
        <f>_xlfn.XLOOKUP(_xlfn.XLOOKUP(B1171,raw_customers!A:A,raw_customers!F:F),raw_branches!A:A,raw_branches!B:B)</f>
        <v>Lankaran Branch</v>
      </c>
      <c r="G1171" s="7">
        <v>50832.71</v>
      </c>
      <c r="H1171" s="6">
        <v>6.82</v>
      </c>
      <c r="I1171" t="s">
        <v>2383</v>
      </c>
      <c r="J1171" t="str">
        <f t="shared" si="18"/>
        <v>Aşağı Risk</v>
      </c>
    </row>
    <row r="1172" spans="1:10">
      <c r="A1172">
        <v>748</v>
      </c>
      <c r="B1172">
        <v>404</v>
      </c>
      <c r="C1172" t="str">
        <f>_xlfn.XLOOKUP(B1172,raw_customers!A:A,raw_customers!B:B)</f>
        <v>Türkan Rəhimov</v>
      </c>
      <c r="D1172" t="str">
        <f>_xlfn.XLOOKUP(C1172,raw_customers!B:B,raw_customers!C:C)</f>
        <v>F</v>
      </c>
      <c r="E1172" t="str">
        <f>_xlfn.XLOOKUP(C1172,raw_customers!B:B,raw_customers!G:G)</f>
        <v>SME</v>
      </c>
      <c r="F1172" t="str">
        <f>_xlfn.XLOOKUP(_xlfn.XLOOKUP(B1172,raw_customers!A:A,raw_customers!F:F),raw_branches!A:A,raw_branches!B:B)</f>
        <v>Ganja Branch</v>
      </c>
      <c r="G1172" s="7">
        <v>18616.01</v>
      </c>
      <c r="H1172" s="6">
        <v>20.41</v>
      </c>
      <c r="I1172" t="s">
        <v>2377</v>
      </c>
      <c r="J1172" t="str">
        <f t="shared" si="18"/>
        <v>Yüksək Risk</v>
      </c>
    </row>
    <row r="1173" spans="1:10">
      <c r="A1173">
        <v>749</v>
      </c>
      <c r="B1173">
        <v>563</v>
      </c>
      <c r="C1173" t="str">
        <f>_xlfn.XLOOKUP(B1173,raw_customers!A:A,raw_customers!B:B)</f>
        <v>Kamran Vəliyev</v>
      </c>
      <c r="D1173" t="str">
        <f>_xlfn.XLOOKUP(C1173,raw_customers!B:B,raw_customers!C:C)</f>
        <v>M</v>
      </c>
      <c r="E1173" t="str">
        <f>_xlfn.XLOOKUP(C1173,raw_customers!B:B,raw_customers!G:G)</f>
        <v>SME</v>
      </c>
      <c r="F1173" t="str">
        <f>_xlfn.XLOOKUP(_xlfn.XLOOKUP(B1173,raw_customers!A:A,raw_customers!F:F),raw_branches!A:A,raw_branches!B:B)</f>
        <v>Baku Central</v>
      </c>
      <c r="G1173" s="7">
        <v>8614.91</v>
      </c>
      <c r="H1173" s="6">
        <v>10.41</v>
      </c>
      <c r="I1173" t="s">
        <v>2377</v>
      </c>
      <c r="J1173" t="str">
        <f t="shared" si="18"/>
        <v>Aşağı Risk</v>
      </c>
    </row>
    <row r="1174" spans="1:10">
      <c r="A1174">
        <v>750</v>
      </c>
      <c r="B1174">
        <v>749</v>
      </c>
      <c r="C1174" t="str">
        <f>_xlfn.XLOOKUP(B1174,raw_customers!A:A,raw_customers!B:B)</f>
        <v>Zaur Rəhimov</v>
      </c>
      <c r="D1174" t="str">
        <f>_xlfn.XLOOKUP(C1174,raw_customers!B:B,raw_customers!C:C)</f>
        <v>M</v>
      </c>
      <c r="E1174" t="str">
        <f>_xlfn.XLOOKUP(C1174,raw_customers!B:B,raw_customers!G:G)</f>
        <v>SME</v>
      </c>
      <c r="F1174" t="str">
        <f>_xlfn.XLOOKUP(_xlfn.XLOOKUP(B1174,raw_customers!A:A,raw_customers!F:F),raw_branches!A:A,raw_branches!B:B)</f>
        <v>Ganja Branch</v>
      </c>
      <c r="G1174" s="7">
        <v>150375.48</v>
      </c>
      <c r="H1174" s="6">
        <v>10.48</v>
      </c>
      <c r="I1174" t="s">
        <v>2393</v>
      </c>
      <c r="J1174" t="str">
        <f t="shared" si="18"/>
        <v>Default (Batıq)</v>
      </c>
    </row>
    <row r="1175" spans="1:10">
      <c r="A1175">
        <v>751</v>
      </c>
      <c r="B1175">
        <v>468</v>
      </c>
      <c r="C1175" t="str">
        <f>_xlfn.XLOOKUP(B1175,raw_customers!A:A,raw_customers!B:B)</f>
        <v>Samir Rəhimov</v>
      </c>
      <c r="D1175" t="str">
        <f>_xlfn.XLOOKUP(C1175,raw_customers!B:B,raw_customers!C:C)</f>
        <v>M</v>
      </c>
      <c r="E1175" t="str">
        <f>_xlfn.XLOOKUP(C1175,raw_customers!B:B,raw_customers!G:G)</f>
        <v>Retail</v>
      </c>
      <c r="F1175" t="str">
        <f>_xlfn.XLOOKUP(_xlfn.XLOOKUP(B1175,raw_customers!A:A,raw_customers!F:F),raw_branches!A:A,raw_branches!B:B)</f>
        <v>Lankaran Branch</v>
      </c>
      <c r="G1175" s="7">
        <v>160831.71</v>
      </c>
      <c r="H1175" s="6">
        <v>9.86</v>
      </c>
      <c r="I1175" t="s">
        <v>2377</v>
      </c>
      <c r="J1175" t="str">
        <f t="shared" si="18"/>
        <v>Aşağı Risk</v>
      </c>
    </row>
    <row r="1176" spans="1:10">
      <c r="A1176">
        <v>752</v>
      </c>
      <c r="B1176">
        <v>619</v>
      </c>
      <c r="C1176" t="str">
        <f>_xlfn.XLOOKUP(B1176,raw_customers!A:A,raw_customers!B:B)</f>
        <v>Xəyalə Nəbiyev</v>
      </c>
      <c r="D1176" t="str">
        <f>_xlfn.XLOOKUP(C1176,raw_customers!B:B,raw_customers!C:C)</f>
        <v>F</v>
      </c>
      <c r="E1176" t="str">
        <f>_xlfn.XLOOKUP(C1176,raw_customers!B:B,raw_customers!G:G)</f>
        <v>Retail</v>
      </c>
      <c r="F1176" t="str">
        <f>_xlfn.XLOOKUP(_xlfn.XLOOKUP(B1176,raw_customers!A:A,raw_customers!F:F),raw_branches!A:A,raw_branches!B:B)</f>
        <v>Sumgait Branch</v>
      </c>
      <c r="G1176" s="7">
        <v>38084.25</v>
      </c>
      <c r="H1176" s="6">
        <v>21.62</v>
      </c>
      <c r="I1176" t="s">
        <v>2377</v>
      </c>
      <c r="J1176" t="str">
        <f t="shared" si="18"/>
        <v>Yüksək Risk</v>
      </c>
    </row>
    <row r="1177" spans="1:10">
      <c r="A1177">
        <v>753</v>
      </c>
      <c r="B1177">
        <v>266</v>
      </c>
      <c r="C1177" t="str">
        <f>_xlfn.XLOOKUP(B1177,raw_customers!A:A,raw_customers!B:B)</f>
        <v>Aynur Abbasov</v>
      </c>
      <c r="D1177" t="str">
        <f>_xlfn.XLOOKUP(C1177,raw_customers!B:B,raw_customers!C:C)</f>
        <v>F</v>
      </c>
      <c r="E1177" t="str">
        <f>_xlfn.XLOOKUP(C1177,raw_customers!B:B,raw_customers!G:G)</f>
        <v>Premium</v>
      </c>
      <c r="F1177" t="str">
        <f>_xlfn.XLOOKUP(_xlfn.XLOOKUP(B1177,raw_customers!A:A,raw_customers!F:F),raw_branches!A:A,raw_branches!B:B)</f>
        <v>Baku Yasamal</v>
      </c>
      <c r="G1177" s="7">
        <v>7842.2</v>
      </c>
      <c r="H1177" s="6">
        <v>12.54</v>
      </c>
      <c r="I1177" t="s">
        <v>2393</v>
      </c>
      <c r="J1177" t="str">
        <f t="shared" si="18"/>
        <v>Default (Batıq)</v>
      </c>
    </row>
    <row r="1178" spans="1:10">
      <c r="A1178">
        <v>754</v>
      </c>
      <c r="B1178">
        <v>988</v>
      </c>
      <c r="C1178" t="str">
        <f>_xlfn.XLOOKUP(B1178,raw_customers!A:A,raw_customers!B:B)</f>
        <v>Mehriban Bağırov</v>
      </c>
      <c r="D1178" t="str">
        <f>_xlfn.XLOOKUP(C1178,raw_customers!B:B,raw_customers!C:C)</f>
        <v>F</v>
      </c>
      <c r="E1178" t="str">
        <f>_xlfn.XLOOKUP(C1178,raw_customers!B:B,raw_customers!G:G)</f>
        <v>SME</v>
      </c>
      <c r="F1178" t="str">
        <f>_xlfn.XLOOKUP(_xlfn.XLOOKUP(B1178,raw_customers!A:A,raw_customers!F:F),raw_branches!A:A,raw_branches!B:B)</f>
        <v>Baku Yasamal</v>
      </c>
      <c r="G1178" s="7">
        <v>3545.48</v>
      </c>
      <c r="H1178" s="6">
        <v>19.18</v>
      </c>
      <c r="I1178" t="s">
        <v>2377</v>
      </c>
      <c r="J1178" t="str">
        <f t="shared" si="18"/>
        <v>Yüksək Risk</v>
      </c>
    </row>
    <row r="1179" spans="1:10">
      <c r="A1179">
        <v>755</v>
      </c>
      <c r="B1179">
        <v>479</v>
      </c>
      <c r="C1179" t="str">
        <f>_xlfn.XLOOKUP(B1179,raw_customers!A:A,raw_customers!B:B)</f>
        <v>Samir Əliyev</v>
      </c>
      <c r="D1179" t="str">
        <f>_xlfn.XLOOKUP(C1179,raw_customers!B:B,raw_customers!C:C)</f>
        <v>M</v>
      </c>
      <c r="E1179" t="str">
        <f>_xlfn.XLOOKUP(C1179,raw_customers!B:B,raw_customers!G:G)</f>
        <v>Premium</v>
      </c>
      <c r="F1179" t="str">
        <f>_xlfn.XLOOKUP(_xlfn.XLOOKUP(B1179,raw_customers!A:A,raw_customers!F:F),raw_branches!A:A,raw_branches!B:B)</f>
        <v>Baku Yasamal</v>
      </c>
      <c r="G1179" s="7">
        <v>1899.7</v>
      </c>
      <c r="H1179" s="6">
        <v>15.07</v>
      </c>
      <c r="I1179" t="s">
        <v>2377</v>
      </c>
      <c r="J1179" t="str">
        <f t="shared" si="18"/>
        <v>Orta Risk</v>
      </c>
    </row>
    <row r="1180" spans="1:10">
      <c r="A1180">
        <v>756</v>
      </c>
      <c r="B1180">
        <v>996</v>
      </c>
      <c r="C1180" t="str">
        <f>_xlfn.XLOOKUP(B1180,raw_customers!A:A,raw_customers!B:B)</f>
        <v>Mehriban Novruzov</v>
      </c>
      <c r="D1180" t="str">
        <f>_xlfn.XLOOKUP(C1180,raw_customers!B:B,raw_customers!C:C)</f>
        <v>F</v>
      </c>
      <c r="E1180" t="str">
        <f>_xlfn.XLOOKUP(C1180,raw_customers!B:B,raw_customers!G:G)</f>
        <v>Premium</v>
      </c>
      <c r="F1180" t="str">
        <f>_xlfn.XLOOKUP(_xlfn.XLOOKUP(B1180,raw_customers!A:A,raw_customers!F:F),raw_branches!A:A,raw_branches!B:B)</f>
        <v>Lankaran Branch</v>
      </c>
      <c r="G1180" s="7">
        <v>4872.53</v>
      </c>
      <c r="H1180" s="6">
        <v>20.54</v>
      </c>
      <c r="I1180" t="s">
        <v>2393</v>
      </c>
      <c r="J1180" t="str">
        <f t="shared" si="18"/>
        <v>Default (Batıq)</v>
      </c>
    </row>
    <row r="1181" spans="1:10">
      <c r="A1181">
        <v>757</v>
      </c>
      <c r="B1181">
        <v>44</v>
      </c>
      <c r="C1181" t="str">
        <f>_xlfn.XLOOKUP(B1181,raw_customers!A:A,raw_customers!B:B)</f>
        <v>Nərmin Cəfərov</v>
      </c>
      <c r="D1181" t="str">
        <f>_xlfn.XLOOKUP(C1181,raw_customers!B:B,raw_customers!C:C)</f>
        <v>F</v>
      </c>
      <c r="E1181" t="str">
        <f>_xlfn.XLOOKUP(C1181,raw_customers!B:B,raw_customers!G:G)</f>
        <v>Retail</v>
      </c>
      <c r="F1181" t="str">
        <f>_xlfn.XLOOKUP(_xlfn.XLOOKUP(B1181,raw_customers!A:A,raw_customers!F:F),raw_branches!A:A,raw_branches!B:B)</f>
        <v>Mingachevir Branch</v>
      </c>
      <c r="G1181" s="7">
        <v>32181.92</v>
      </c>
      <c r="H1181" s="6">
        <v>15.29</v>
      </c>
      <c r="I1181" t="s">
        <v>2377</v>
      </c>
      <c r="J1181" t="str">
        <f t="shared" si="18"/>
        <v>Orta Risk</v>
      </c>
    </row>
    <row r="1182" spans="1:10">
      <c r="A1182">
        <v>758</v>
      </c>
      <c r="B1182">
        <v>53</v>
      </c>
      <c r="C1182" t="str">
        <f>_xlfn.XLOOKUP(B1182,raw_customers!A:A,raw_customers!B:B)</f>
        <v>Vüqar Abbasov</v>
      </c>
      <c r="D1182" t="str">
        <f>_xlfn.XLOOKUP(C1182,raw_customers!B:B,raw_customers!C:C)</f>
        <v>M</v>
      </c>
      <c r="E1182" t="str">
        <f>_xlfn.XLOOKUP(C1182,raw_customers!B:B,raw_customers!G:G)</f>
        <v>Retail</v>
      </c>
      <c r="F1182" t="str">
        <f>_xlfn.XLOOKUP(_xlfn.XLOOKUP(B1182,raw_customers!A:A,raw_customers!F:F),raw_branches!A:A,raw_branches!B:B)</f>
        <v>Baku Yasamal</v>
      </c>
      <c r="G1182" s="7">
        <v>150493.28</v>
      </c>
      <c r="H1182" s="6">
        <v>17.82</v>
      </c>
      <c r="I1182" t="s">
        <v>2377</v>
      </c>
      <c r="J1182" t="str">
        <f t="shared" si="18"/>
        <v>Orta Risk</v>
      </c>
    </row>
    <row r="1183" spans="1:10">
      <c r="A1183">
        <v>759</v>
      </c>
      <c r="B1183">
        <v>88</v>
      </c>
      <c r="C1183" t="str">
        <f>_xlfn.XLOOKUP(B1183,raw_customers!A:A,raw_customers!B:B)</f>
        <v>Şəbnəm Məmmədov</v>
      </c>
      <c r="D1183" t="str">
        <f>_xlfn.XLOOKUP(C1183,raw_customers!B:B,raw_customers!C:C)</f>
        <v>F</v>
      </c>
      <c r="E1183" t="str">
        <f>_xlfn.XLOOKUP(C1183,raw_customers!B:B,raw_customers!G:G)</f>
        <v>SME</v>
      </c>
      <c r="F1183" t="str">
        <f>_xlfn.XLOOKUP(_xlfn.XLOOKUP(B1183,raw_customers!A:A,raw_customers!F:F),raw_branches!A:A,raw_branches!B:B)</f>
        <v>Baku Yasamal</v>
      </c>
      <c r="G1183" s="7">
        <v>94114.46</v>
      </c>
      <c r="H1183" s="6">
        <v>12.51</v>
      </c>
      <c r="I1183" t="s">
        <v>2377</v>
      </c>
      <c r="J1183" t="str">
        <f t="shared" si="18"/>
        <v>Orta Risk</v>
      </c>
    </row>
    <row r="1184" spans="1:10">
      <c r="A1184">
        <v>760</v>
      </c>
      <c r="B1184">
        <v>50</v>
      </c>
      <c r="C1184" t="str">
        <f>_xlfn.XLOOKUP(B1184,raw_customers!A:A,raw_customers!B:B)</f>
        <v>Günel Bağırov</v>
      </c>
      <c r="D1184" t="str">
        <f>_xlfn.XLOOKUP(C1184,raw_customers!B:B,raw_customers!C:C)</f>
        <v>F</v>
      </c>
      <c r="E1184" t="str">
        <f>_xlfn.XLOOKUP(C1184,raw_customers!B:B,raw_customers!G:G)</f>
        <v>Retail</v>
      </c>
      <c r="F1184" t="str">
        <f>_xlfn.XLOOKUP(_xlfn.XLOOKUP(B1184,raw_customers!A:A,raw_customers!F:F),raw_branches!A:A,raw_branches!B:B)</f>
        <v>Mingachevir Branch</v>
      </c>
      <c r="G1184" s="7">
        <v>6005.53</v>
      </c>
      <c r="H1184" s="6">
        <v>19.9</v>
      </c>
      <c r="I1184" t="s">
        <v>2377</v>
      </c>
      <c r="J1184" t="str">
        <f t="shared" si="18"/>
        <v>Yüksək Risk</v>
      </c>
    </row>
    <row r="1185" spans="1:10">
      <c r="A1185">
        <v>761</v>
      </c>
      <c r="B1185">
        <v>77</v>
      </c>
      <c r="C1185" t="str">
        <f>_xlfn.XLOOKUP(B1185,raw_customers!A:A,raw_customers!B:B)</f>
        <v>Könül Məmmədov</v>
      </c>
      <c r="D1185" t="str">
        <f>_xlfn.XLOOKUP(C1185,raw_customers!B:B,raw_customers!C:C)</f>
        <v>F</v>
      </c>
      <c r="E1185" t="str">
        <f>_xlfn.XLOOKUP(C1185,raw_customers!B:B,raw_customers!G:G)</f>
        <v>SME</v>
      </c>
      <c r="F1185" t="str">
        <f>_xlfn.XLOOKUP(_xlfn.XLOOKUP(B1185,raw_customers!A:A,raw_customers!F:F),raw_branches!A:A,raw_branches!B:B)</f>
        <v>Sheki Branch</v>
      </c>
      <c r="G1185" s="7">
        <v>115887.17</v>
      </c>
      <c r="H1185" s="6">
        <v>17.14</v>
      </c>
      <c r="I1185" t="s">
        <v>2377</v>
      </c>
      <c r="J1185" t="str">
        <f t="shared" si="18"/>
        <v>Orta Risk</v>
      </c>
    </row>
    <row r="1186" spans="1:10">
      <c r="A1186">
        <v>762</v>
      </c>
      <c r="B1186">
        <v>845</v>
      </c>
      <c r="C1186" t="str">
        <f>_xlfn.XLOOKUP(B1186,raw_customers!A:A,raw_customers!B:B)</f>
        <v>Tural Novruzov</v>
      </c>
      <c r="D1186" t="str">
        <f>_xlfn.XLOOKUP(C1186,raw_customers!B:B,raw_customers!C:C)</f>
        <v>M</v>
      </c>
      <c r="E1186" t="str">
        <f>_xlfn.XLOOKUP(C1186,raw_customers!B:B,raw_customers!G:G)</f>
        <v>Retail</v>
      </c>
      <c r="F1186" t="str">
        <f>_xlfn.XLOOKUP(_xlfn.XLOOKUP(B1186,raw_customers!A:A,raw_customers!F:F),raw_branches!A:A,raw_branches!B:B)</f>
        <v>Mingachevir Branch</v>
      </c>
      <c r="G1186" s="7">
        <v>39726.64</v>
      </c>
      <c r="H1186" s="6">
        <v>9.73</v>
      </c>
      <c r="I1186" t="s">
        <v>2377</v>
      </c>
      <c r="J1186" t="str">
        <f t="shared" si="18"/>
        <v>Aşağı Risk</v>
      </c>
    </row>
    <row r="1187" spans="1:10">
      <c r="A1187">
        <v>763</v>
      </c>
      <c r="B1187">
        <v>46</v>
      </c>
      <c r="C1187" t="str">
        <f>_xlfn.XLOOKUP(B1187,raw_customers!A:A,raw_customers!B:B)</f>
        <v>Aysel Rzayev</v>
      </c>
      <c r="D1187" t="str">
        <f>_xlfn.XLOOKUP(C1187,raw_customers!B:B,raw_customers!C:C)</f>
        <v>F</v>
      </c>
      <c r="E1187" t="str">
        <f>_xlfn.XLOOKUP(C1187,raw_customers!B:B,raw_customers!G:G)</f>
        <v>SME</v>
      </c>
      <c r="F1187" t="str">
        <f>_xlfn.XLOOKUP(_xlfn.XLOOKUP(B1187,raw_customers!A:A,raw_customers!F:F),raw_branches!A:A,raw_branches!B:B)</f>
        <v>Mingachevir Branch</v>
      </c>
      <c r="G1187" s="7">
        <v>27837.96</v>
      </c>
      <c r="H1187" s="6">
        <v>11.92</v>
      </c>
      <c r="I1187" t="s">
        <v>2377</v>
      </c>
      <c r="J1187" t="str">
        <f t="shared" si="18"/>
        <v>Aşağı Risk</v>
      </c>
    </row>
    <row r="1188" spans="1:10">
      <c r="A1188">
        <v>764</v>
      </c>
      <c r="B1188">
        <v>758</v>
      </c>
      <c r="C1188" t="str">
        <f>_xlfn.XLOOKUP(B1188,raw_customers!A:A,raw_customers!B:B)</f>
        <v>Ramin Tağıyev</v>
      </c>
      <c r="D1188" t="str">
        <f>_xlfn.XLOOKUP(C1188,raw_customers!B:B,raw_customers!C:C)</f>
        <v>M</v>
      </c>
      <c r="E1188" t="str">
        <f>_xlfn.XLOOKUP(C1188,raw_customers!B:B,raw_customers!G:G)</f>
        <v>Premium</v>
      </c>
      <c r="F1188" t="str">
        <f>_xlfn.XLOOKUP(_xlfn.XLOOKUP(B1188,raw_customers!A:A,raw_customers!F:F),raw_branches!A:A,raw_branches!B:B)</f>
        <v>Lankaran Branch</v>
      </c>
      <c r="G1188" s="7">
        <v>23577.4</v>
      </c>
      <c r="H1188" s="6">
        <v>7.31</v>
      </c>
      <c r="I1188" t="s">
        <v>2377</v>
      </c>
      <c r="J1188" t="str">
        <f t="shared" si="18"/>
        <v>Aşağı Risk</v>
      </c>
    </row>
    <row r="1189" spans="1:10">
      <c r="A1189">
        <v>765</v>
      </c>
      <c r="B1189">
        <v>476</v>
      </c>
      <c r="C1189" t="str">
        <f>_xlfn.XLOOKUP(B1189,raw_customers!A:A,raw_customers!B:B)</f>
        <v>Səbinə Abbasov</v>
      </c>
      <c r="D1189" t="str">
        <f>_xlfn.XLOOKUP(C1189,raw_customers!B:B,raw_customers!C:C)</f>
        <v>F</v>
      </c>
      <c r="E1189" t="str">
        <f>_xlfn.XLOOKUP(C1189,raw_customers!B:B,raw_customers!G:G)</f>
        <v>Retail</v>
      </c>
      <c r="F1189" t="str">
        <f>_xlfn.XLOOKUP(_xlfn.XLOOKUP(B1189,raw_customers!A:A,raw_customers!F:F),raw_branches!A:A,raw_branches!B:B)</f>
        <v>Baku Yasamal</v>
      </c>
      <c r="G1189" s="7">
        <v>101634.28</v>
      </c>
      <c r="H1189" s="6">
        <v>20.38</v>
      </c>
      <c r="I1189" t="s">
        <v>2393</v>
      </c>
      <c r="J1189" t="str">
        <f t="shared" si="18"/>
        <v>Default (Batıq)</v>
      </c>
    </row>
    <row r="1190" spans="1:10">
      <c r="A1190">
        <v>766</v>
      </c>
      <c r="B1190">
        <v>349</v>
      </c>
      <c r="C1190" t="str">
        <f>_xlfn.XLOOKUP(B1190,raw_customers!A:A,raw_customers!B:B)</f>
        <v>Elvin Cəfərov</v>
      </c>
      <c r="D1190" t="str">
        <f>_xlfn.XLOOKUP(C1190,raw_customers!B:B,raw_customers!C:C)</f>
        <v>M</v>
      </c>
      <c r="E1190" t="str">
        <f>_xlfn.XLOOKUP(C1190,raw_customers!B:B,raw_customers!G:G)</f>
        <v>Retail</v>
      </c>
      <c r="F1190" t="str">
        <f>_xlfn.XLOOKUP(_xlfn.XLOOKUP(B1190,raw_customers!A:A,raw_customers!F:F),raw_branches!A:A,raw_branches!B:B)</f>
        <v>Sheki Branch</v>
      </c>
      <c r="G1190" s="7">
        <v>6454.28</v>
      </c>
      <c r="H1190" s="6">
        <v>6.01</v>
      </c>
      <c r="I1190" t="s">
        <v>2377</v>
      </c>
      <c r="J1190" t="str">
        <f t="shared" si="18"/>
        <v>Aşağı Risk</v>
      </c>
    </row>
    <row r="1191" spans="1:10">
      <c r="A1191">
        <v>767</v>
      </c>
      <c r="B1191">
        <v>497</v>
      </c>
      <c r="C1191" t="str">
        <f>_xlfn.XLOOKUP(B1191,raw_customers!A:A,raw_customers!B:B)</f>
        <v>Fuad Tağıyev</v>
      </c>
      <c r="D1191" t="str">
        <f>_xlfn.XLOOKUP(C1191,raw_customers!B:B,raw_customers!C:C)</f>
        <v>M</v>
      </c>
      <c r="E1191" t="str">
        <f>_xlfn.XLOOKUP(C1191,raw_customers!B:B,raw_customers!G:G)</f>
        <v>Retail</v>
      </c>
      <c r="F1191" t="str">
        <f>_xlfn.XLOOKUP(_xlfn.XLOOKUP(B1191,raw_customers!A:A,raw_customers!F:F),raw_branches!A:A,raw_branches!B:B)</f>
        <v>Sheki Branch</v>
      </c>
      <c r="G1191" s="7">
        <v>22040.05</v>
      </c>
      <c r="H1191" s="6">
        <v>13.58</v>
      </c>
      <c r="I1191" t="s">
        <v>2377</v>
      </c>
      <c r="J1191" t="str">
        <f t="shared" si="18"/>
        <v>Orta Risk</v>
      </c>
    </row>
    <row r="1192" spans="1:10">
      <c r="A1192">
        <v>768</v>
      </c>
      <c r="B1192">
        <v>953</v>
      </c>
      <c r="C1192" t="str">
        <f>_xlfn.XLOOKUP(B1192,raw_customers!A:A,raw_customers!B:B)</f>
        <v>Türkan Rzayev</v>
      </c>
      <c r="D1192" t="str">
        <f>_xlfn.XLOOKUP(C1192,raw_customers!B:B,raw_customers!C:C)</f>
        <v>F</v>
      </c>
      <c r="E1192" t="str">
        <f>_xlfn.XLOOKUP(C1192,raw_customers!B:B,raw_customers!G:G)</f>
        <v>Retail</v>
      </c>
      <c r="F1192" t="str">
        <f>_xlfn.XLOOKUP(_xlfn.XLOOKUP(B1192,raw_customers!A:A,raw_customers!F:F),raw_branches!A:A,raw_branches!B:B)</f>
        <v>Lankaran Branch</v>
      </c>
      <c r="G1192" s="7">
        <v>141204.95</v>
      </c>
      <c r="H1192" s="6">
        <v>16.6</v>
      </c>
      <c r="I1192" t="s">
        <v>2383</v>
      </c>
      <c r="J1192" t="str">
        <f t="shared" si="18"/>
        <v>Orta Risk</v>
      </c>
    </row>
    <row r="1193" spans="1:10">
      <c r="A1193">
        <v>769</v>
      </c>
      <c r="B1193">
        <v>467</v>
      </c>
      <c r="C1193" t="str">
        <f>_xlfn.XLOOKUP(B1193,raw_customers!A:A,raw_customers!B:B)</f>
        <v>Səbinə Nəbiyev</v>
      </c>
      <c r="D1193" t="str">
        <f>_xlfn.XLOOKUP(C1193,raw_customers!B:B,raw_customers!C:C)</f>
        <v>F</v>
      </c>
      <c r="E1193" t="str">
        <f>_xlfn.XLOOKUP(C1193,raw_customers!B:B,raw_customers!G:G)</f>
        <v>Retail</v>
      </c>
      <c r="F1193" t="str">
        <f>_xlfn.XLOOKUP(_xlfn.XLOOKUP(B1193,raw_customers!A:A,raw_customers!F:F),raw_branches!A:A,raw_branches!B:B)</f>
        <v>Baku Central</v>
      </c>
      <c r="G1193" s="7">
        <v>137799.35</v>
      </c>
      <c r="H1193" s="6">
        <v>13.1</v>
      </c>
      <c r="I1193" t="s">
        <v>2383</v>
      </c>
      <c r="J1193" t="str">
        <f t="shared" si="18"/>
        <v>Orta Risk</v>
      </c>
    </row>
    <row r="1194" spans="1:10">
      <c r="A1194">
        <v>770</v>
      </c>
      <c r="B1194">
        <v>169</v>
      </c>
      <c r="C1194" t="str">
        <f>_xlfn.XLOOKUP(B1194,raw_customers!A:A,raw_customers!B:B)</f>
        <v>Lalə Rzayev</v>
      </c>
      <c r="D1194" t="str">
        <f>_xlfn.XLOOKUP(C1194,raw_customers!B:B,raw_customers!C:C)</f>
        <v>F</v>
      </c>
      <c r="E1194" t="str">
        <f>_xlfn.XLOOKUP(C1194,raw_customers!B:B,raw_customers!G:G)</f>
        <v>Retail</v>
      </c>
      <c r="F1194" t="str">
        <f>_xlfn.XLOOKUP(_xlfn.XLOOKUP(B1194,raw_customers!A:A,raw_customers!F:F),raw_branches!A:A,raw_branches!B:B)</f>
        <v>Baku Yasamal</v>
      </c>
      <c r="G1194" s="7">
        <v>9519.45</v>
      </c>
      <c r="H1194" s="6">
        <v>10.82</v>
      </c>
      <c r="I1194" t="s">
        <v>2393</v>
      </c>
      <c r="J1194" t="str">
        <f t="shared" si="18"/>
        <v>Default (Batıq)</v>
      </c>
    </row>
    <row r="1195" spans="1:10">
      <c r="A1195">
        <v>771</v>
      </c>
      <c r="B1195">
        <v>872</v>
      </c>
      <c r="C1195" t="str">
        <f>_xlfn.XLOOKUP(B1195,raw_customers!A:A,raw_customers!B:B)</f>
        <v>Elşən Nəbiyev</v>
      </c>
      <c r="D1195" t="str">
        <f>_xlfn.XLOOKUP(C1195,raw_customers!B:B,raw_customers!C:C)</f>
        <v>M</v>
      </c>
      <c r="E1195" t="str">
        <f>_xlfn.XLOOKUP(C1195,raw_customers!B:B,raw_customers!G:G)</f>
        <v>Retail</v>
      </c>
      <c r="F1195" t="str">
        <f>_xlfn.XLOOKUP(_xlfn.XLOOKUP(B1195,raw_customers!A:A,raw_customers!F:F),raw_branches!A:A,raw_branches!B:B)</f>
        <v>Baku Central</v>
      </c>
      <c r="G1195" s="7">
        <v>26346.69</v>
      </c>
      <c r="H1195" s="6">
        <v>9.1</v>
      </c>
      <c r="I1195" t="s">
        <v>2377</v>
      </c>
      <c r="J1195" t="str">
        <f t="shared" si="18"/>
        <v>Aşağı Risk</v>
      </c>
    </row>
    <row r="1196" spans="1:10">
      <c r="A1196">
        <v>772</v>
      </c>
      <c r="B1196">
        <v>429</v>
      </c>
      <c r="C1196" t="str">
        <f>_xlfn.XLOOKUP(B1196,raw_customers!A:A,raw_customers!B:B)</f>
        <v>Elşən Həsənov</v>
      </c>
      <c r="D1196" t="str">
        <f>_xlfn.XLOOKUP(C1196,raw_customers!B:B,raw_customers!C:C)</f>
        <v>M</v>
      </c>
      <c r="E1196" t="str">
        <f>_xlfn.XLOOKUP(C1196,raw_customers!B:B,raw_customers!G:G)</f>
        <v>Retail</v>
      </c>
      <c r="F1196" t="str">
        <f>_xlfn.XLOOKUP(_xlfn.XLOOKUP(B1196,raw_customers!A:A,raw_customers!F:F),raw_branches!A:A,raw_branches!B:B)</f>
        <v>Mingachevir Branch</v>
      </c>
      <c r="G1196" s="7">
        <v>8844.23</v>
      </c>
      <c r="H1196" s="6">
        <v>14.98</v>
      </c>
      <c r="I1196" t="s">
        <v>2377</v>
      </c>
      <c r="J1196" t="str">
        <f t="shared" si="18"/>
        <v>Orta Risk</v>
      </c>
    </row>
    <row r="1197" spans="1:10">
      <c r="A1197">
        <v>773</v>
      </c>
      <c r="B1197">
        <v>77</v>
      </c>
      <c r="C1197" t="str">
        <f>_xlfn.XLOOKUP(B1197,raw_customers!A:A,raw_customers!B:B)</f>
        <v>Könül Məmmədov</v>
      </c>
      <c r="D1197" t="str">
        <f>_xlfn.XLOOKUP(C1197,raw_customers!B:B,raw_customers!C:C)</f>
        <v>F</v>
      </c>
      <c r="E1197" t="str">
        <f>_xlfn.XLOOKUP(C1197,raw_customers!B:B,raw_customers!G:G)</f>
        <v>SME</v>
      </c>
      <c r="F1197" t="str">
        <f>_xlfn.XLOOKUP(_xlfn.XLOOKUP(B1197,raw_customers!A:A,raw_customers!F:F),raw_branches!A:A,raw_branches!B:B)</f>
        <v>Sheki Branch</v>
      </c>
      <c r="G1197" s="7">
        <v>4291.67</v>
      </c>
      <c r="H1197" s="6">
        <v>16.01</v>
      </c>
      <c r="I1197" t="s">
        <v>2377</v>
      </c>
      <c r="J1197" t="str">
        <f t="shared" si="18"/>
        <v>Orta Risk</v>
      </c>
    </row>
    <row r="1198" spans="1:10">
      <c r="A1198">
        <v>774</v>
      </c>
      <c r="B1198">
        <v>106</v>
      </c>
      <c r="C1198" t="str">
        <f>_xlfn.XLOOKUP(B1198,raw_customers!A:A,raw_customers!B:B)</f>
        <v>Nərgiz Cəfərov</v>
      </c>
      <c r="D1198" t="str">
        <f>_xlfn.XLOOKUP(C1198,raw_customers!B:B,raw_customers!C:C)</f>
        <v>F</v>
      </c>
      <c r="E1198" t="str">
        <f>_xlfn.XLOOKUP(C1198,raw_customers!B:B,raw_customers!G:G)</f>
        <v>Retail</v>
      </c>
      <c r="F1198" t="str">
        <f>_xlfn.XLOOKUP(_xlfn.XLOOKUP(B1198,raw_customers!A:A,raw_customers!F:F),raw_branches!A:A,raw_branches!B:B)</f>
        <v>Mingachevir Branch</v>
      </c>
      <c r="G1198" s="7">
        <v>32991.22</v>
      </c>
      <c r="H1198" s="6">
        <v>13.02</v>
      </c>
      <c r="I1198" t="s">
        <v>2377</v>
      </c>
      <c r="J1198" t="str">
        <f t="shared" si="18"/>
        <v>Orta Risk</v>
      </c>
    </row>
    <row r="1199" spans="1:10">
      <c r="A1199">
        <v>775</v>
      </c>
      <c r="B1199">
        <v>527</v>
      </c>
      <c r="C1199" t="str">
        <f>_xlfn.XLOOKUP(B1199,raw_customers!A:A,raw_customers!B:B)</f>
        <v>Lalə Sadıqov</v>
      </c>
      <c r="D1199" t="str">
        <f>_xlfn.XLOOKUP(C1199,raw_customers!B:B,raw_customers!C:C)</f>
        <v>F</v>
      </c>
      <c r="E1199" t="str">
        <f>_xlfn.XLOOKUP(C1199,raw_customers!B:B,raw_customers!G:G)</f>
        <v>Premium</v>
      </c>
      <c r="F1199" t="str">
        <f>_xlfn.XLOOKUP(_xlfn.XLOOKUP(B1199,raw_customers!A:A,raw_customers!F:F),raw_branches!A:A,raw_branches!B:B)</f>
        <v>Baku Central</v>
      </c>
      <c r="G1199" s="7">
        <v>3428.45</v>
      </c>
      <c r="H1199" s="6">
        <v>19.72</v>
      </c>
      <c r="I1199" t="s">
        <v>2377</v>
      </c>
      <c r="J1199" t="str">
        <f t="shared" si="18"/>
        <v>Yüksək Risk</v>
      </c>
    </row>
    <row r="1200" spans="1:10">
      <c r="A1200">
        <v>776</v>
      </c>
      <c r="B1200">
        <v>258</v>
      </c>
      <c r="C1200" t="str">
        <f>_xlfn.XLOOKUP(B1200,raw_customers!A:A,raw_customers!B:B)</f>
        <v>Fərid Musayev</v>
      </c>
      <c r="D1200" t="str">
        <f>_xlfn.XLOOKUP(C1200,raw_customers!B:B,raw_customers!C:C)</f>
        <v>M</v>
      </c>
      <c r="E1200" t="str">
        <f>_xlfn.XLOOKUP(C1200,raw_customers!B:B,raw_customers!G:G)</f>
        <v>Retail</v>
      </c>
      <c r="F1200" t="str">
        <f>_xlfn.XLOOKUP(_xlfn.XLOOKUP(B1200,raw_customers!A:A,raw_customers!F:F),raw_branches!A:A,raw_branches!B:B)</f>
        <v>Mingachevir Branch</v>
      </c>
      <c r="G1200" s="7">
        <v>5893.16</v>
      </c>
      <c r="H1200" s="6">
        <v>14.68</v>
      </c>
      <c r="I1200" t="s">
        <v>2383</v>
      </c>
      <c r="J1200" t="str">
        <f t="shared" si="18"/>
        <v>Orta Risk</v>
      </c>
    </row>
    <row r="1201" spans="1:10">
      <c r="A1201">
        <v>777</v>
      </c>
      <c r="B1201">
        <v>681</v>
      </c>
      <c r="C1201" t="str">
        <f>_xlfn.XLOOKUP(B1201,raw_customers!A:A,raw_customers!B:B)</f>
        <v>Xəyalə İsmayılov</v>
      </c>
      <c r="D1201" t="str">
        <f>_xlfn.XLOOKUP(C1201,raw_customers!B:B,raw_customers!C:C)</f>
        <v>F</v>
      </c>
      <c r="E1201" t="str">
        <f>_xlfn.XLOOKUP(C1201,raw_customers!B:B,raw_customers!G:G)</f>
        <v>Premium</v>
      </c>
      <c r="F1201" t="str">
        <f>_xlfn.XLOOKUP(_xlfn.XLOOKUP(B1201,raw_customers!A:A,raw_customers!F:F),raw_branches!A:A,raw_branches!B:B)</f>
        <v>Sumgait Branch</v>
      </c>
      <c r="G1201" s="7">
        <v>5198.11</v>
      </c>
      <c r="H1201" s="6">
        <v>8.37</v>
      </c>
      <c r="I1201" t="s">
        <v>2377</v>
      </c>
      <c r="J1201" t="str">
        <f t="shared" si="18"/>
        <v>Aşağı Risk</v>
      </c>
    </row>
    <row r="1202" spans="1:10">
      <c r="A1202">
        <v>778</v>
      </c>
      <c r="B1202">
        <v>360</v>
      </c>
      <c r="C1202" t="str">
        <f>_xlfn.XLOOKUP(B1202,raw_customers!A:A,raw_customers!B:B)</f>
        <v>Rüfət Əliyev</v>
      </c>
      <c r="D1202" t="str">
        <f>_xlfn.XLOOKUP(C1202,raw_customers!B:B,raw_customers!C:C)</f>
        <v>M</v>
      </c>
      <c r="E1202" t="str">
        <f>_xlfn.XLOOKUP(C1202,raw_customers!B:B,raw_customers!G:G)</f>
        <v>SME</v>
      </c>
      <c r="F1202" t="str">
        <f>_xlfn.XLOOKUP(_xlfn.XLOOKUP(B1202,raw_customers!A:A,raw_customers!F:F),raw_branches!A:A,raw_branches!B:B)</f>
        <v>Ganja Branch</v>
      </c>
      <c r="G1202" s="7">
        <v>111847.73</v>
      </c>
      <c r="H1202" s="6">
        <v>6.9</v>
      </c>
      <c r="I1202" t="s">
        <v>2377</v>
      </c>
      <c r="J1202" t="str">
        <f t="shared" si="18"/>
        <v>Aşağı Risk</v>
      </c>
    </row>
    <row r="1203" spans="1:10">
      <c r="A1203">
        <v>779</v>
      </c>
      <c r="B1203">
        <v>955</v>
      </c>
      <c r="C1203" t="str">
        <f>_xlfn.XLOOKUP(B1203,raw_customers!A:A,raw_customers!B:B)</f>
        <v>Kənan Vəliyev</v>
      </c>
      <c r="D1203" t="str">
        <f>_xlfn.XLOOKUP(C1203,raw_customers!B:B,raw_customers!C:C)</f>
        <v>M</v>
      </c>
      <c r="E1203" t="str">
        <f>_xlfn.XLOOKUP(C1203,raw_customers!B:B,raw_customers!G:G)</f>
        <v>Premium</v>
      </c>
      <c r="F1203" t="str">
        <f>_xlfn.XLOOKUP(_xlfn.XLOOKUP(B1203,raw_customers!A:A,raw_customers!F:F),raw_branches!A:A,raw_branches!B:B)</f>
        <v>Mingachevir Branch</v>
      </c>
      <c r="G1203" s="7">
        <v>160064.43</v>
      </c>
      <c r="H1203" s="6">
        <v>12.7</v>
      </c>
      <c r="I1203" t="s">
        <v>2377</v>
      </c>
      <c r="J1203" t="str">
        <f t="shared" si="18"/>
        <v>Orta Risk</v>
      </c>
    </row>
    <row r="1204" spans="1:10">
      <c r="A1204">
        <v>780</v>
      </c>
      <c r="B1204">
        <v>334</v>
      </c>
      <c r="C1204" t="str">
        <f>_xlfn.XLOOKUP(B1204,raw_customers!A:A,raw_customers!B:B)</f>
        <v>Rüfət Quliyev</v>
      </c>
      <c r="D1204" t="str">
        <f>_xlfn.XLOOKUP(C1204,raw_customers!B:B,raw_customers!C:C)</f>
        <v>M</v>
      </c>
      <c r="E1204" t="str">
        <f>_xlfn.XLOOKUP(C1204,raw_customers!B:B,raw_customers!G:G)</f>
        <v>Retail</v>
      </c>
      <c r="F1204" t="str">
        <f>_xlfn.XLOOKUP(_xlfn.XLOOKUP(B1204,raw_customers!A:A,raw_customers!F:F),raw_branches!A:A,raw_branches!B:B)</f>
        <v>Lankaran Branch</v>
      </c>
      <c r="G1204" s="7">
        <v>31956.31</v>
      </c>
      <c r="H1204" s="6">
        <v>8.69</v>
      </c>
      <c r="I1204" t="s">
        <v>2377</v>
      </c>
      <c r="J1204" t="str">
        <f t="shared" si="18"/>
        <v>Aşağı Risk</v>
      </c>
    </row>
    <row r="1205" spans="1:10">
      <c r="A1205">
        <v>781</v>
      </c>
      <c r="B1205">
        <v>535</v>
      </c>
      <c r="C1205" t="str">
        <f>_xlfn.XLOOKUP(B1205,raw_customers!A:A,raw_customers!B:B)</f>
        <v>Türkan Vəliyev</v>
      </c>
      <c r="D1205" t="str">
        <f>_xlfn.XLOOKUP(C1205,raw_customers!B:B,raw_customers!C:C)</f>
        <v>F</v>
      </c>
      <c r="E1205" t="str">
        <f>_xlfn.XLOOKUP(C1205,raw_customers!B:B,raw_customers!G:G)</f>
        <v>Premium</v>
      </c>
      <c r="F1205" t="str">
        <f>_xlfn.XLOOKUP(_xlfn.XLOOKUP(B1205,raw_customers!A:A,raw_customers!F:F),raw_branches!A:A,raw_branches!B:B)</f>
        <v>Ganja Branch</v>
      </c>
      <c r="G1205" s="7">
        <v>9248.38</v>
      </c>
      <c r="H1205" s="6">
        <v>21.01</v>
      </c>
      <c r="I1205" t="s">
        <v>2377</v>
      </c>
      <c r="J1205" t="str">
        <f t="shared" si="18"/>
        <v>Yüksək Risk</v>
      </c>
    </row>
    <row r="1206" spans="1:10">
      <c r="A1206">
        <v>782</v>
      </c>
      <c r="B1206">
        <v>340</v>
      </c>
      <c r="C1206" t="str">
        <f>_xlfn.XLOOKUP(B1206,raw_customers!A:A,raw_customers!B:B)</f>
        <v>Ceyhun İsmayılov</v>
      </c>
      <c r="D1206" t="str">
        <f>_xlfn.XLOOKUP(C1206,raw_customers!B:B,raw_customers!C:C)</f>
        <v>M</v>
      </c>
      <c r="E1206" t="str">
        <f>_xlfn.XLOOKUP(C1206,raw_customers!B:B,raw_customers!G:G)</f>
        <v>SME</v>
      </c>
      <c r="F1206" t="str">
        <f>_xlfn.XLOOKUP(_xlfn.XLOOKUP(B1206,raw_customers!A:A,raw_customers!F:F),raw_branches!A:A,raw_branches!B:B)</f>
        <v>Baku Yasamal</v>
      </c>
      <c r="G1206" s="7">
        <v>140006.63</v>
      </c>
      <c r="H1206" s="6">
        <v>5.7</v>
      </c>
      <c r="I1206" t="s">
        <v>2383</v>
      </c>
      <c r="J1206" t="str">
        <f t="shared" si="18"/>
        <v>Aşağı Risk</v>
      </c>
    </row>
    <row r="1207" spans="1:10">
      <c r="A1207">
        <v>783</v>
      </c>
      <c r="B1207">
        <v>420</v>
      </c>
      <c r="C1207" t="str">
        <f>_xlfn.XLOOKUP(B1207,raw_customers!A:A,raw_customers!B:B)</f>
        <v>Aynur Bağırov</v>
      </c>
      <c r="D1207" t="str">
        <f>_xlfn.XLOOKUP(C1207,raw_customers!B:B,raw_customers!C:C)</f>
        <v>F</v>
      </c>
      <c r="E1207" t="str">
        <f>_xlfn.XLOOKUP(C1207,raw_customers!B:B,raw_customers!G:G)</f>
        <v>Retail</v>
      </c>
      <c r="F1207" t="str">
        <f>_xlfn.XLOOKUP(_xlfn.XLOOKUP(B1207,raw_customers!A:A,raw_customers!F:F),raw_branches!A:A,raw_branches!B:B)</f>
        <v>Sumgait Branch</v>
      </c>
      <c r="G1207" s="7">
        <v>31613.06</v>
      </c>
      <c r="H1207" s="6">
        <v>6.07</v>
      </c>
      <c r="I1207" t="s">
        <v>2377</v>
      </c>
      <c r="J1207" t="str">
        <f t="shared" si="18"/>
        <v>Aşağı Risk</v>
      </c>
    </row>
    <row r="1208" spans="1:10">
      <c r="A1208">
        <v>784</v>
      </c>
      <c r="B1208">
        <v>49</v>
      </c>
      <c r="C1208" t="str">
        <f>_xlfn.XLOOKUP(B1208,raw_customers!A:A,raw_customers!B:B)</f>
        <v>Aynur Rzayev</v>
      </c>
      <c r="D1208" t="str">
        <f>_xlfn.XLOOKUP(C1208,raw_customers!B:B,raw_customers!C:C)</f>
        <v>F</v>
      </c>
      <c r="E1208" t="str">
        <f>_xlfn.XLOOKUP(C1208,raw_customers!B:B,raw_customers!G:G)</f>
        <v>Retail</v>
      </c>
      <c r="F1208" t="str">
        <f>_xlfn.XLOOKUP(_xlfn.XLOOKUP(B1208,raw_customers!A:A,raw_customers!F:F),raw_branches!A:A,raw_branches!B:B)</f>
        <v>Sheki Branch</v>
      </c>
      <c r="G1208" s="7">
        <v>21291.32</v>
      </c>
      <c r="H1208" s="6">
        <v>12.24</v>
      </c>
      <c r="I1208" t="s">
        <v>2393</v>
      </c>
      <c r="J1208" t="str">
        <f t="shared" si="18"/>
        <v>Default (Batıq)</v>
      </c>
    </row>
    <row r="1209" spans="1:10">
      <c r="A1209">
        <v>785</v>
      </c>
      <c r="B1209">
        <v>242</v>
      </c>
      <c r="C1209" t="str">
        <f>_xlfn.XLOOKUP(B1209,raw_customers!A:A,raw_customers!B:B)</f>
        <v>Zeynəb Cəfərov</v>
      </c>
      <c r="D1209" t="str">
        <f>_xlfn.XLOOKUP(C1209,raw_customers!B:B,raw_customers!C:C)</f>
        <v>F</v>
      </c>
      <c r="E1209" t="str">
        <f>_xlfn.XLOOKUP(C1209,raw_customers!B:B,raw_customers!G:G)</f>
        <v>Retail</v>
      </c>
      <c r="F1209" t="str">
        <f>_xlfn.XLOOKUP(_xlfn.XLOOKUP(B1209,raw_customers!A:A,raw_customers!F:F),raw_branches!A:A,raw_branches!B:B)</f>
        <v>Sumgait Branch</v>
      </c>
      <c r="G1209" s="7">
        <v>35909.38</v>
      </c>
      <c r="H1209" s="6">
        <v>8.19</v>
      </c>
      <c r="I1209" t="s">
        <v>2377</v>
      </c>
      <c r="J1209" t="str">
        <f t="shared" si="18"/>
        <v>Aşağı Risk</v>
      </c>
    </row>
    <row r="1210" spans="1:10">
      <c r="A1210">
        <v>786</v>
      </c>
      <c r="B1210">
        <v>540</v>
      </c>
      <c r="C1210" t="str">
        <f>_xlfn.XLOOKUP(B1210,raw_customers!A:A,raw_customers!B:B)</f>
        <v>Nərmin Əliyev</v>
      </c>
      <c r="D1210" t="str">
        <f>_xlfn.XLOOKUP(C1210,raw_customers!B:B,raw_customers!C:C)</f>
        <v>F</v>
      </c>
      <c r="E1210" t="str">
        <f>_xlfn.XLOOKUP(C1210,raw_customers!B:B,raw_customers!G:G)</f>
        <v>Retail</v>
      </c>
      <c r="F1210" t="str">
        <f>_xlfn.XLOOKUP(_xlfn.XLOOKUP(B1210,raw_customers!A:A,raw_customers!F:F),raw_branches!A:A,raw_branches!B:B)</f>
        <v>Sumgait Branch</v>
      </c>
      <c r="G1210" s="7">
        <v>19119.6</v>
      </c>
      <c r="H1210" s="6">
        <v>14.13</v>
      </c>
      <c r="I1210" t="s">
        <v>2383</v>
      </c>
      <c r="J1210" t="str">
        <f t="shared" si="18"/>
        <v>Orta Risk</v>
      </c>
    </row>
    <row r="1211" spans="1:10">
      <c r="A1211">
        <v>787</v>
      </c>
      <c r="B1211">
        <v>562</v>
      </c>
      <c r="C1211" t="str">
        <f>_xlfn.XLOOKUP(B1211,raw_customers!A:A,raw_customers!B:B)</f>
        <v>Vəfa İsmayılov</v>
      </c>
      <c r="D1211" t="str">
        <f>_xlfn.XLOOKUP(C1211,raw_customers!B:B,raw_customers!C:C)</f>
        <v>F</v>
      </c>
      <c r="E1211" t="str">
        <f>_xlfn.XLOOKUP(C1211,raw_customers!B:B,raw_customers!G:G)</f>
        <v>SME</v>
      </c>
      <c r="F1211" t="str">
        <f>_xlfn.XLOOKUP(_xlfn.XLOOKUP(B1211,raw_customers!A:A,raw_customers!F:F),raw_branches!A:A,raw_branches!B:B)</f>
        <v>Baku Central</v>
      </c>
      <c r="G1211" s="7">
        <v>14877.8</v>
      </c>
      <c r="H1211" s="6">
        <v>15.41</v>
      </c>
      <c r="I1211" t="s">
        <v>2377</v>
      </c>
      <c r="J1211" t="str">
        <f t="shared" si="18"/>
        <v>Orta Risk</v>
      </c>
    </row>
    <row r="1212" spans="1:10">
      <c r="A1212">
        <v>788</v>
      </c>
      <c r="B1212">
        <v>584</v>
      </c>
      <c r="C1212" t="str">
        <f>_xlfn.XLOOKUP(B1212,raw_customers!A:A,raw_customers!B:B)</f>
        <v>Kamran Əliyev</v>
      </c>
      <c r="D1212" t="str">
        <f>_xlfn.XLOOKUP(C1212,raw_customers!B:B,raw_customers!C:C)</f>
        <v>M</v>
      </c>
      <c r="E1212" t="str">
        <f>_xlfn.XLOOKUP(C1212,raw_customers!B:B,raw_customers!G:G)</f>
        <v>SME</v>
      </c>
      <c r="F1212" t="str">
        <f>_xlfn.XLOOKUP(_xlfn.XLOOKUP(B1212,raw_customers!A:A,raw_customers!F:F),raw_branches!A:A,raw_branches!B:B)</f>
        <v>Baku Central</v>
      </c>
      <c r="G1212" s="7">
        <v>20588.13</v>
      </c>
      <c r="H1212" s="6">
        <v>11.25</v>
      </c>
      <c r="I1212" t="s">
        <v>2377</v>
      </c>
      <c r="J1212" t="str">
        <f t="shared" si="18"/>
        <v>Aşağı Risk</v>
      </c>
    </row>
    <row r="1213" spans="1:10">
      <c r="A1213">
        <v>789</v>
      </c>
      <c r="B1213">
        <v>581</v>
      </c>
      <c r="C1213" t="str">
        <f>_xlfn.XLOOKUP(B1213,raw_customers!A:A,raw_customers!B:B)</f>
        <v>Kənan Sadıqov</v>
      </c>
      <c r="D1213" t="str">
        <f>_xlfn.XLOOKUP(C1213,raw_customers!B:B,raw_customers!C:C)</f>
        <v>M</v>
      </c>
      <c r="E1213" t="str">
        <f>_xlfn.XLOOKUP(C1213,raw_customers!B:B,raw_customers!G:G)</f>
        <v>Retail</v>
      </c>
      <c r="F1213" t="str">
        <f>_xlfn.XLOOKUP(_xlfn.XLOOKUP(B1213,raw_customers!A:A,raw_customers!F:F),raw_branches!A:A,raw_branches!B:B)</f>
        <v>Sheki Branch</v>
      </c>
      <c r="G1213" s="7">
        <v>169294.43</v>
      </c>
      <c r="H1213" s="6">
        <v>8.89</v>
      </c>
      <c r="I1213" t="s">
        <v>2377</v>
      </c>
      <c r="J1213" t="str">
        <f t="shared" si="18"/>
        <v>Aşağı Risk</v>
      </c>
    </row>
    <row r="1214" spans="1:10">
      <c r="A1214">
        <v>790</v>
      </c>
      <c r="B1214">
        <v>740</v>
      </c>
      <c r="C1214" t="str">
        <f>_xlfn.XLOOKUP(B1214,raw_customers!A:A,raw_customers!B:B)</f>
        <v>Zaur Orucov</v>
      </c>
      <c r="D1214" t="str">
        <f>_xlfn.XLOOKUP(C1214,raw_customers!B:B,raw_customers!C:C)</f>
        <v>M</v>
      </c>
      <c r="E1214" t="str">
        <f>_xlfn.XLOOKUP(C1214,raw_customers!B:B,raw_customers!G:G)</f>
        <v>SME</v>
      </c>
      <c r="F1214" t="str">
        <f>_xlfn.XLOOKUP(_xlfn.XLOOKUP(B1214,raw_customers!A:A,raw_customers!F:F),raw_branches!A:A,raw_branches!B:B)</f>
        <v>Baku Yasamal</v>
      </c>
      <c r="G1214" s="7">
        <v>179600.99</v>
      </c>
      <c r="H1214" s="6">
        <v>10.97</v>
      </c>
      <c r="I1214" t="s">
        <v>2383</v>
      </c>
      <c r="J1214" t="str">
        <f t="shared" si="18"/>
        <v>Aşağı Risk</v>
      </c>
    </row>
    <row r="1215" spans="1:10">
      <c r="A1215">
        <v>791</v>
      </c>
      <c r="B1215">
        <v>426</v>
      </c>
      <c r="C1215" t="str">
        <f>_xlfn.XLOOKUP(B1215,raw_customers!A:A,raw_customers!B:B)</f>
        <v>Röya Kərimov</v>
      </c>
      <c r="D1215" t="str">
        <f>_xlfn.XLOOKUP(C1215,raw_customers!B:B,raw_customers!C:C)</f>
        <v>F</v>
      </c>
      <c r="E1215" t="str">
        <f>_xlfn.XLOOKUP(C1215,raw_customers!B:B,raw_customers!G:G)</f>
        <v>SME</v>
      </c>
      <c r="F1215" t="str">
        <f>_xlfn.XLOOKUP(_xlfn.XLOOKUP(B1215,raw_customers!A:A,raw_customers!F:F),raw_branches!A:A,raw_branches!B:B)</f>
        <v>Sheki Branch</v>
      </c>
      <c r="G1215" s="7">
        <v>4074.17</v>
      </c>
      <c r="H1215" s="6">
        <v>16.88</v>
      </c>
      <c r="I1215" t="s">
        <v>2377</v>
      </c>
      <c r="J1215" t="str">
        <f t="shared" si="18"/>
        <v>Orta Risk</v>
      </c>
    </row>
    <row r="1216" spans="1:10">
      <c r="A1216">
        <v>792</v>
      </c>
      <c r="B1216">
        <v>927</v>
      </c>
      <c r="C1216" t="str">
        <f>_xlfn.XLOOKUP(B1216,raw_customers!A:A,raw_customers!B:B)</f>
        <v>Kənan İsmayılov</v>
      </c>
      <c r="D1216" t="str">
        <f>_xlfn.XLOOKUP(C1216,raw_customers!B:B,raw_customers!C:C)</f>
        <v>M</v>
      </c>
      <c r="E1216" t="str">
        <f>_xlfn.XLOOKUP(C1216,raw_customers!B:B,raw_customers!G:G)</f>
        <v>Retail</v>
      </c>
      <c r="F1216" t="str">
        <f>_xlfn.XLOOKUP(_xlfn.XLOOKUP(B1216,raw_customers!A:A,raw_customers!F:F),raw_branches!A:A,raw_branches!B:B)</f>
        <v>Sheki Branch</v>
      </c>
      <c r="G1216" s="7">
        <v>83844.06</v>
      </c>
      <c r="H1216" s="6">
        <v>10.75</v>
      </c>
      <c r="I1216" t="s">
        <v>2377</v>
      </c>
      <c r="J1216" t="str">
        <f t="shared" si="18"/>
        <v>Aşağı Risk</v>
      </c>
    </row>
    <row r="1217" spans="1:10">
      <c r="A1217">
        <v>793</v>
      </c>
      <c r="B1217">
        <v>83</v>
      </c>
      <c r="C1217" t="str">
        <f>_xlfn.XLOOKUP(B1217,raw_customers!A:A,raw_customers!B:B)</f>
        <v>Aynur Hüseynov</v>
      </c>
      <c r="D1217" t="str">
        <f>_xlfn.XLOOKUP(C1217,raw_customers!B:B,raw_customers!C:C)</f>
        <v>F</v>
      </c>
      <c r="E1217" t="str">
        <f>_xlfn.XLOOKUP(C1217,raw_customers!B:B,raw_customers!G:G)</f>
        <v>SME</v>
      </c>
      <c r="F1217" t="str">
        <f>_xlfn.XLOOKUP(_xlfn.XLOOKUP(B1217,raw_customers!A:A,raw_customers!F:F),raw_branches!A:A,raw_branches!B:B)</f>
        <v>Ganja Branch</v>
      </c>
      <c r="G1217" s="7">
        <v>2495.49</v>
      </c>
      <c r="H1217" s="6">
        <v>17.99</v>
      </c>
      <c r="I1217" t="s">
        <v>2377</v>
      </c>
      <c r="J1217" t="str">
        <f t="shared" si="18"/>
        <v>Orta Risk</v>
      </c>
    </row>
    <row r="1218" spans="1:10">
      <c r="A1218">
        <v>794</v>
      </c>
      <c r="B1218">
        <v>301</v>
      </c>
      <c r="C1218" t="str">
        <f>_xlfn.XLOOKUP(B1218,raw_customers!A:A,raw_customers!B:B)</f>
        <v>Nicat Abbasov</v>
      </c>
      <c r="D1218" t="str">
        <f>_xlfn.XLOOKUP(C1218,raw_customers!B:B,raw_customers!C:C)</f>
        <v>M</v>
      </c>
      <c r="E1218" t="str">
        <f>_xlfn.XLOOKUP(C1218,raw_customers!B:B,raw_customers!G:G)</f>
        <v>Retail</v>
      </c>
      <c r="F1218" t="str">
        <f>_xlfn.XLOOKUP(_xlfn.XLOOKUP(B1218,raw_customers!A:A,raw_customers!F:F),raw_branches!A:A,raw_branches!B:B)</f>
        <v>Baku Yasamal</v>
      </c>
      <c r="G1218" s="7">
        <v>12973.89</v>
      </c>
      <c r="H1218" s="6">
        <v>21.37</v>
      </c>
      <c r="I1218" t="s">
        <v>2383</v>
      </c>
      <c r="J1218" t="str">
        <f t="shared" si="18"/>
        <v>Yüksək Risk</v>
      </c>
    </row>
    <row r="1219" spans="1:10">
      <c r="A1219">
        <v>795</v>
      </c>
      <c r="B1219">
        <v>899</v>
      </c>
      <c r="C1219" t="str">
        <f>_xlfn.XLOOKUP(B1219,raw_customers!A:A,raw_customers!B:B)</f>
        <v>Fidan Vəliyev</v>
      </c>
      <c r="D1219" t="str">
        <f>_xlfn.XLOOKUP(C1219,raw_customers!B:B,raw_customers!C:C)</f>
        <v>F</v>
      </c>
      <c r="E1219" t="str">
        <f>_xlfn.XLOOKUP(C1219,raw_customers!B:B,raw_customers!G:G)</f>
        <v>SME</v>
      </c>
      <c r="F1219" t="str">
        <f>_xlfn.XLOOKUP(_xlfn.XLOOKUP(B1219,raw_customers!A:A,raw_customers!F:F),raw_branches!A:A,raw_branches!B:B)</f>
        <v>Sumgait Branch</v>
      </c>
      <c r="G1219" s="7">
        <v>197364.71</v>
      </c>
      <c r="H1219" s="6">
        <v>14.28</v>
      </c>
      <c r="I1219" t="s">
        <v>2377</v>
      </c>
      <c r="J1219" t="str">
        <f t="shared" ref="J1219:J1282" si="19">IF(I1219="Default","Default (Batıq)",IF(H1219&gt;=18,"Yüksək Risk",IF(H1219&gt;=12,"Orta Risk","Aşağı Risk")))</f>
        <v>Orta Risk</v>
      </c>
    </row>
    <row r="1220" spans="1:10">
      <c r="A1220">
        <v>796</v>
      </c>
      <c r="B1220">
        <v>605</v>
      </c>
      <c r="C1220" t="str">
        <f>_xlfn.XLOOKUP(B1220,raw_customers!A:A,raw_customers!B:B)</f>
        <v>Leyla Bağırov</v>
      </c>
      <c r="D1220" t="str">
        <f>_xlfn.XLOOKUP(C1220,raw_customers!B:B,raw_customers!C:C)</f>
        <v>F</v>
      </c>
      <c r="E1220" t="str">
        <f>_xlfn.XLOOKUP(C1220,raw_customers!B:B,raw_customers!G:G)</f>
        <v>Premium</v>
      </c>
      <c r="F1220" t="str">
        <f>_xlfn.XLOOKUP(_xlfn.XLOOKUP(B1220,raw_customers!A:A,raw_customers!F:F),raw_branches!A:A,raw_branches!B:B)</f>
        <v>Mingachevir Branch</v>
      </c>
      <c r="G1220" s="7">
        <v>4529.73</v>
      </c>
      <c r="H1220" s="6">
        <v>8.45</v>
      </c>
      <c r="I1220" t="s">
        <v>2377</v>
      </c>
      <c r="J1220" t="str">
        <f t="shared" si="19"/>
        <v>Aşağı Risk</v>
      </c>
    </row>
    <row r="1221" spans="1:10">
      <c r="A1221">
        <v>797</v>
      </c>
      <c r="B1221">
        <v>306</v>
      </c>
      <c r="C1221" t="str">
        <f>_xlfn.XLOOKUP(B1221,raw_customers!A:A,raw_customers!B:B)</f>
        <v>Anar Abbasov</v>
      </c>
      <c r="D1221" t="str">
        <f>_xlfn.XLOOKUP(C1221,raw_customers!B:B,raw_customers!C:C)</f>
        <v>M</v>
      </c>
      <c r="E1221" t="str">
        <f>_xlfn.XLOOKUP(C1221,raw_customers!B:B,raw_customers!G:G)</f>
        <v>SME</v>
      </c>
      <c r="F1221" t="str">
        <f>_xlfn.XLOOKUP(_xlfn.XLOOKUP(B1221,raw_customers!A:A,raw_customers!F:F),raw_branches!A:A,raw_branches!B:B)</f>
        <v>Ganja Branch</v>
      </c>
      <c r="G1221" s="7">
        <v>61447.38</v>
      </c>
      <c r="H1221" s="6">
        <v>16.75</v>
      </c>
      <c r="I1221" t="s">
        <v>2377</v>
      </c>
      <c r="J1221" t="str">
        <f t="shared" si="19"/>
        <v>Orta Risk</v>
      </c>
    </row>
    <row r="1222" spans="1:10">
      <c r="A1222">
        <v>798</v>
      </c>
      <c r="B1222">
        <v>72</v>
      </c>
      <c r="C1222" t="str">
        <f>_xlfn.XLOOKUP(B1222,raw_customers!A:A,raw_customers!B:B)</f>
        <v>Ülviyyə Məmmədov</v>
      </c>
      <c r="D1222" t="str">
        <f>_xlfn.XLOOKUP(C1222,raw_customers!B:B,raw_customers!C:C)</f>
        <v>F</v>
      </c>
      <c r="E1222" t="str">
        <f>_xlfn.XLOOKUP(C1222,raw_customers!B:B,raw_customers!G:G)</f>
        <v>SME</v>
      </c>
      <c r="F1222" t="str">
        <f>_xlfn.XLOOKUP(_xlfn.XLOOKUP(B1222,raw_customers!A:A,raw_customers!F:F),raw_branches!A:A,raw_branches!B:B)</f>
        <v>Baku Yasamal</v>
      </c>
      <c r="G1222" s="7">
        <v>136080.9</v>
      </c>
      <c r="H1222" s="6">
        <v>7.48</v>
      </c>
      <c r="I1222" t="s">
        <v>2377</v>
      </c>
      <c r="J1222" t="str">
        <f t="shared" si="19"/>
        <v>Aşağı Risk</v>
      </c>
    </row>
    <row r="1223" spans="1:10">
      <c r="A1223">
        <v>799</v>
      </c>
      <c r="B1223">
        <v>926</v>
      </c>
      <c r="C1223" t="str">
        <f>_xlfn.XLOOKUP(B1223,raw_customers!A:A,raw_customers!B:B)</f>
        <v>Səbinə Nəbiyev</v>
      </c>
      <c r="D1223" t="str">
        <f>_xlfn.XLOOKUP(C1223,raw_customers!B:B,raw_customers!C:C)</f>
        <v>F</v>
      </c>
      <c r="E1223" t="str">
        <f>_xlfn.XLOOKUP(C1223,raw_customers!B:B,raw_customers!G:G)</f>
        <v>Retail</v>
      </c>
      <c r="F1223" t="str">
        <f>_xlfn.XLOOKUP(_xlfn.XLOOKUP(B1223,raw_customers!A:A,raw_customers!F:F),raw_branches!A:A,raw_branches!B:B)</f>
        <v>Baku Central</v>
      </c>
      <c r="G1223" s="7">
        <v>30500.36</v>
      </c>
      <c r="H1223" s="6">
        <v>6.32</v>
      </c>
      <c r="I1223" t="s">
        <v>2377</v>
      </c>
      <c r="J1223" t="str">
        <f t="shared" si="19"/>
        <v>Aşağı Risk</v>
      </c>
    </row>
    <row r="1224" spans="1:10">
      <c r="A1224">
        <v>800</v>
      </c>
      <c r="B1224">
        <v>622</v>
      </c>
      <c r="C1224" t="str">
        <f>_xlfn.XLOOKUP(B1224,raw_customers!A:A,raw_customers!B:B)</f>
        <v>Toğrul Hüseynov</v>
      </c>
      <c r="D1224" t="str">
        <f>_xlfn.XLOOKUP(C1224,raw_customers!B:B,raw_customers!C:C)</f>
        <v>M</v>
      </c>
      <c r="E1224" t="str">
        <f>_xlfn.XLOOKUP(C1224,raw_customers!B:B,raw_customers!G:G)</f>
        <v>Retail</v>
      </c>
      <c r="F1224" t="str">
        <f>_xlfn.XLOOKUP(_xlfn.XLOOKUP(B1224,raw_customers!A:A,raw_customers!F:F),raw_branches!A:A,raw_branches!B:B)</f>
        <v>Baku Yasamal</v>
      </c>
      <c r="G1224" s="7">
        <v>11896.31</v>
      </c>
      <c r="H1224" s="6">
        <v>14.86</v>
      </c>
      <c r="I1224" t="s">
        <v>2377</v>
      </c>
      <c r="J1224" t="str">
        <f t="shared" si="19"/>
        <v>Orta Risk</v>
      </c>
    </row>
    <row r="1225" spans="1:10">
      <c r="A1225">
        <v>801</v>
      </c>
      <c r="B1225">
        <v>932</v>
      </c>
      <c r="C1225" t="str">
        <f>_xlfn.XLOOKUP(B1225,raw_customers!A:A,raw_customers!B:B)</f>
        <v>Ramin Bağırov</v>
      </c>
      <c r="D1225" t="str">
        <f>_xlfn.XLOOKUP(C1225,raw_customers!B:B,raw_customers!C:C)</f>
        <v>M</v>
      </c>
      <c r="E1225" t="str">
        <f>_xlfn.XLOOKUP(C1225,raw_customers!B:B,raw_customers!G:G)</f>
        <v>SME</v>
      </c>
      <c r="F1225" t="str">
        <f>_xlfn.XLOOKUP(_xlfn.XLOOKUP(B1225,raw_customers!A:A,raw_customers!F:F),raw_branches!A:A,raw_branches!B:B)</f>
        <v>Mingachevir Branch</v>
      </c>
      <c r="G1225" s="7">
        <v>28939.96</v>
      </c>
      <c r="H1225" s="6">
        <v>9.6</v>
      </c>
      <c r="I1225" t="s">
        <v>2377</v>
      </c>
      <c r="J1225" t="str">
        <f t="shared" si="19"/>
        <v>Aşağı Risk</v>
      </c>
    </row>
    <row r="1226" spans="1:10">
      <c r="A1226">
        <v>802</v>
      </c>
      <c r="B1226">
        <v>208</v>
      </c>
      <c r="C1226" t="str">
        <f>_xlfn.XLOOKUP(B1226,raw_customers!A:A,raw_customers!B:B)</f>
        <v>Nigar Tağıyev</v>
      </c>
      <c r="D1226" t="str">
        <f>_xlfn.XLOOKUP(C1226,raw_customers!B:B,raw_customers!C:C)</f>
        <v>F</v>
      </c>
      <c r="E1226" t="str">
        <f>_xlfn.XLOOKUP(C1226,raw_customers!B:B,raw_customers!G:G)</f>
        <v>SME</v>
      </c>
      <c r="F1226" t="str">
        <f>_xlfn.XLOOKUP(_xlfn.XLOOKUP(B1226,raw_customers!A:A,raw_customers!F:F),raw_branches!A:A,raw_branches!B:B)</f>
        <v>Lankaran Branch</v>
      </c>
      <c r="G1226" s="7">
        <v>7371.95</v>
      </c>
      <c r="H1226" s="6">
        <v>16.04</v>
      </c>
      <c r="I1226" t="s">
        <v>2377</v>
      </c>
      <c r="J1226" t="str">
        <f t="shared" si="19"/>
        <v>Orta Risk</v>
      </c>
    </row>
    <row r="1227" spans="1:10">
      <c r="A1227">
        <v>803</v>
      </c>
      <c r="B1227">
        <v>907</v>
      </c>
      <c r="C1227" t="str">
        <f>_xlfn.XLOOKUP(B1227,raw_customers!A:A,raw_customers!B:B)</f>
        <v>Fərid Nəbiyev</v>
      </c>
      <c r="D1227" t="str">
        <f>_xlfn.XLOOKUP(C1227,raw_customers!B:B,raw_customers!C:C)</f>
        <v>M</v>
      </c>
      <c r="E1227" t="str">
        <f>_xlfn.XLOOKUP(C1227,raw_customers!B:B,raw_customers!G:G)</f>
        <v>Retail</v>
      </c>
      <c r="F1227" t="str">
        <f>_xlfn.XLOOKUP(_xlfn.XLOOKUP(B1227,raw_customers!A:A,raw_customers!F:F),raw_branches!A:A,raw_branches!B:B)</f>
        <v>Lankaran Branch</v>
      </c>
      <c r="G1227" s="7">
        <v>85195.04</v>
      </c>
      <c r="H1227" s="6">
        <v>16.42</v>
      </c>
      <c r="I1227" t="s">
        <v>2383</v>
      </c>
      <c r="J1227" t="str">
        <f t="shared" si="19"/>
        <v>Orta Risk</v>
      </c>
    </row>
    <row r="1228" spans="1:10">
      <c r="A1228">
        <v>804</v>
      </c>
      <c r="B1228">
        <v>492</v>
      </c>
      <c r="C1228" t="str">
        <f>_xlfn.XLOOKUP(B1228,raw_customers!A:A,raw_customers!B:B)</f>
        <v>Nərmin Orucov</v>
      </c>
      <c r="D1228" t="str">
        <f>_xlfn.XLOOKUP(C1228,raw_customers!B:B,raw_customers!C:C)</f>
        <v>F</v>
      </c>
      <c r="E1228" t="str">
        <f>_xlfn.XLOOKUP(C1228,raw_customers!B:B,raw_customers!G:G)</f>
        <v>Retail</v>
      </c>
      <c r="F1228" t="str">
        <f>_xlfn.XLOOKUP(_xlfn.XLOOKUP(B1228,raw_customers!A:A,raw_customers!F:F),raw_branches!A:A,raw_branches!B:B)</f>
        <v>Sumgait Branch</v>
      </c>
      <c r="G1228" s="7">
        <v>7376.95</v>
      </c>
      <c r="H1228" s="6">
        <v>7.08</v>
      </c>
      <c r="I1228" t="s">
        <v>2383</v>
      </c>
      <c r="J1228" t="str">
        <f t="shared" si="19"/>
        <v>Aşağı Risk</v>
      </c>
    </row>
    <row r="1229" spans="1:10">
      <c r="A1229">
        <v>805</v>
      </c>
      <c r="B1229">
        <v>7</v>
      </c>
      <c r="C1229" t="str">
        <f>_xlfn.XLOOKUP(B1229,raw_customers!A:A,raw_customers!B:B)</f>
        <v>Anar Rəhimov</v>
      </c>
      <c r="D1229" t="str">
        <f>_xlfn.XLOOKUP(C1229,raw_customers!B:B,raw_customers!C:C)</f>
        <v>M</v>
      </c>
      <c r="E1229" t="str">
        <f>_xlfn.XLOOKUP(C1229,raw_customers!B:B,raw_customers!G:G)</f>
        <v>SME</v>
      </c>
      <c r="F1229" t="str">
        <f>_xlfn.XLOOKUP(_xlfn.XLOOKUP(B1229,raw_customers!A:A,raw_customers!F:F),raw_branches!A:A,raw_branches!B:B)</f>
        <v>Lankaran Branch</v>
      </c>
      <c r="G1229" s="7">
        <v>61133.46</v>
      </c>
      <c r="H1229" s="6">
        <v>12.5</v>
      </c>
      <c r="I1229" t="s">
        <v>2377</v>
      </c>
      <c r="J1229" t="str">
        <f t="shared" si="19"/>
        <v>Orta Risk</v>
      </c>
    </row>
    <row r="1230" spans="1:10">
      <c r="A1230">
        <v>806</v>
      </c>
      <c r="B1230">
        <v>473</v>
      </c>
      <c r="C1230" t="str">
        <f>_xlfn.XLOOKUP(B1230,raw_customers!A:A,raw_customers!B:B)</f>
        <v>Tural İsmayılov</v>
      </c>
      <c r="D1230" t="str">
        <f>_xlfn.XLOOKUP(C1230,raw_customers!B:B,raw_customers!C:C)</f>
        <v>M</v>
      </c>
      <c r="E1230" t="str">
        <f>_xlfn.XLOOKUP(C1230,raw_customers!B:B,raw_customers!G:G)</f>
        <v>Retail</v>
      </c>
      <c r="F1230" t="str">
        <f>_xlfn.XLOOKUP(_xlfn.XLOOKUP(B1230,raw_customers!A:A,raw_customers!F:F),raw_branches!A:A,raw_branches!B:B)</f>
        <v>Mingachevir Branch</v>
      </c>
      <c r="G1230" s="7">
        <v>35777.74</v>
      </c>
      <c r="H1230" s="6">
        <v>8.75</v>
      </c>
      <c r="I1230" t="s">
        <v>2393</v>
      </c>
      <c r="J1230" t="str">
        <f t="shared" si="19"/>
        <v>Default (Batıq)</v>
      </c>
    </row>
    <row r="1231" spans="1:10">
      <c r="A1231">
        <v>807</v>
      </c>
      <c r="B1231">
        <v>322</v>
      </c>
      <c r="C1231" t="str">
        <f>_xlfn.XLOOKUP(B1231,raw_customers!A:A,raw_customers!B:B)</f>
        <v>Səbinə Cəfərov</v>
      </c>
      <c r="D1231" t="str">
        <f>_xlfn.XLOOKUP(C1231,raw_customers!B:B,raw_customers!C:C)</f>
        <v>F</v>
      </c>
      <c r="E1231" t="str">
        <f>_xlfn.XLOOKUP(C1231,raw_customers!B:B,raw_customers!G:G)</f>
        <v>Premium</v>
      </c>
      <c r="F1231" t="str">
        <f>_xlfn.XLOOKUP(_xlfn.XLOOKUP(B1231,raw_customers!A:A,raw_customers!F:F),raw_branches!A:A,raw_branches!B:B)</f>
        <v>Sumgait Branch</v>
      </c>
      <c r="G1231" s="7">
        <v>3024.87</v>
      </c>
      <c r="H1231" s="6">
        <v>10.98</v>
      </c>
      <c r="I1231" t="s">
        <v>2377</v>
      </c>
      <c r="J1231" t="str">
        <f t="shared" si="19"/>
        <v>Aşağı Risk</v>
      </c>
    </row>
    <row r="1232" spans="1:10">
      <c r="A1232">
        <v>808</v>
      </c>
      <c r="B1232">
        <v>725</v>
      </c>
      <c r="C1232" t="str">
        <f>_xlfn.XLOOKUP(B1232,raw_customers!A:A,raw_customers!B:B)</f>
        <v>Aynur Məmmədov</v>
      </c>
      <c r="D1232" t="str">
        <f>_xlfn.XLOOKUP(C1232,raw_customers!B:B,raw_customers!C:C)</f>
        <v>F</v>
      </c>
      <c r="E1232" t="str">
        <f>_xlfn.XLOOKUP(C1232,raw_customers!B:B,raw_customers!G:G)</f>
        <v>SME</v>
      </c>
      <c r="F1232" t="str">
        <f>_xlfn.XLOOKUP(_xlfn.XLOOKUP(B1232,raw_customers!A:A,raw_customers!F:F),raw_branches!A:A,raw_branches!B:B)</f>
        <v>Ganja Branch</v>
      </c>
      <c r="G1232" s="7">
        <v>174747.97</v>
      </c>
      <c r="H1232" s="6">
        <v>21.28</v>
      </c>
      <c r="I1232" t="s">
        <v>2377</v>
      </c>
      <c r="J1232" t="str">
        <f t="shared" si="19"/>
        <v>Yüksək Risk</v>
      </c>
    </row>
    <row r="1233" spans="1:10">
      <c r="A1233">
        <v>809</v>
      </c>
      <c r="B1233">
        <v>857</v>
      </c>
      <c r="C1233" t="str">
        <f>_xlfn.XLOOKUP(B1233,raw_customers!A:A,raw_customers!B:B)</f>
        <v>Leyla Novruzov</v>
      </c>
      <c r="D1233" t="str">
        <f>_xlfn.XLOOKUP(C1233,raw_customers!B:B,raw_customers!C:C)</f>
        <v>F</v>
      </c>
      <c r="E1233" t="str">
        <f>_xlfn.XLOOKUP(C1233,raw_customers!B:B,raw_customers!G:G)</f>
        <v>SME</v>
      </c>
      <c r="F1233" t="str">
        <f>_xlfn.XLOOKUP(_xlfn.XLOOKUP(B1233,raw_customers!A:A,raw_customers!F:F),raw_branches!A:A,raw_branches!B:B)</f>
        <v>Sumgait Branch</v>
      </c>
      <c r="G1233" s="7">
        <v>7726.03</v>
      </c>
      <c r="H1233" s="6">
        <v>15.45</v>
      </c>
      <c r="I1233" t="s">
        <v>2377</v>
      </c>
      <c r="J1233" t="str">
        <f t="shared" si="19"/>
        <v>Orta Risk</v>
      </c>
    </row>
    <row r="1234" spans="1:10">
      <c r="A1234">
        <v>810</v>
      </c>
      <c r="B1234">
        <v>376</v>
      </c>
      <c r="C1234" t="str">
        <f>_xlfn.XLOOKUP(B1234,raw_customers!A:A,raw_customers!B:B)</f>
        <v>Röya Orucov</v>
      </c>
      <c r="D1234" t="str">
        <f>_xlfn.XLOOKUP(C1234,raw_customers!B:B,raw_customers!C:C)</f>
        <v>F</v>
      </c>
      <c r="E1234" t="str">
        <f>_xlfn.XLOOKUP(C1234,raw_customers!B:B,raw_customers!G:G)</f>
        <v>Retail</v>
      </c>
      <c r="F1234" t="str">
        <f>_xlfn.XLOOKUP(_xlfn.XLOOKUP(B1234,raw_customers!A:A,raw_customers!F:F),raw_branches!A:A,raw_branches!B:B)</f>
        <v>Baku Yasamal</v>
      </c>
      <c r="G1234" s="7">
        <v>9144.4</v>
      </c>
      <c r="H1234" s="6">
        <v>8.03</v>
      </c>
      <c r="I1234" t="s">
        <v>2377</v>
      </c>
      <c r="J1234" t="str">
        <f t="shared" si="19"/>
        <v>Aşağı Risk</v>
      </c>
    </row>
    <row r="1235" spans="1:10">
      <c r="A1235">
        <v>811</v>
      </c>
      <c r="B1235">
        <v>890</v>
      </c>
      <c r="C1235" t="str">
        <f>_xlfn.XLOOKUP(B1235,raw_customers!A:A,raw_customers!B:B)</f>
        <v>Ramin Rzayev</v>
      </c>
      <c r="D1235" t="str">
        <f>_xlfn.XLOOKUP(C1235,raw_customers!B:B,raw_customers!C:C)</f>
        <v>M</v>
      </c>
      <c r="E1235" t="str">
        <f>_xlfn.XLOOKUP(C1235,raw_customers!B:B,raw_customers!G:G)</f>
        <v>Premium</v>
      </c>
      <c r="F1235" t="str">
        <f>_xlfn.XLOOKUP(_xlfn.XLOOKUP(B1235,raw_customers!A:A,raw_customers!F:F),raw_branches!A:A,raw_branches!B:B)</f>
        <v>Lankaran Branch</v>
      </c>
      <c r="G1235" s="7">
        <v>1854.97</v>
      </c>
      <c r="H1235" s="6">
        <v>12.31</v>
      </c>
      <c r="I1235" t="s">
        <v>2377</v>
      </c>
      <c r="J1235" t="str">
        <f t="shared" si="19"/>
        <v>Orta Risk</v>
      </c>
    </row>
    <row r="1236" spans="1:10">
      <c r="A1236">
        <v>812</v>
      </c>
      <c r="B1236">
        <v>835</v>
      </c>
      <c r="C1236" t="str">
        <f>_xlfn.XLOOKUP(B1236,raw_customers!A:A,raw_customers!B:B)</f>
        <v>Zaur Bağırov</v>
      </c>
      <c r="D1236" t="str">
        <f>_xlfn.XLOOKUP(C1236,raw_customers!B:B,raw_customers!C:C)</f>
        <v>M</v>
      </c>
      <c r="E1236" t="str">
        <f>_xlfn.XLOOKUP(C1236,raw_customers!B:B,raw_customers!G:G)</f>
        <v>Retail</v>
      </c>
      <c r="F1236" t="str">
        <f>_xlfn.XLOOKUP(_xlfn.XLOOKUP(B1236,raw_customers!A:A,raw_customers!F:F),raw_branches!A:A,raw_branches!B:B)</f>
        <v>Mingachevir Branch</v>
      </c>
      <c r="G1236" s="7">
        <v>2276.22</v>
      </c>
      <c r="H1236" s="6">
        <v>9.9</v>
      </c>
      <c r="I1236" t="s">
        <v>2377</v>
      </c>
      <c r="J1236" t="str">
        <f t="shared" si="19"/>
        <v>Aşağı Risk</v>
      </c>
    </row>
    <row r="1237" spans="1:10">
      <c r="A1237">
        <v>813</v>
      </c>
      <c r="B1237">
        <v>635</v>
      </c>
      <c r="C1237" t="str">
        <f>_xlfn.XLOOKUP(B1237,raw_customers!A:A,raw_customers!B:B)</f>
        <v>Emin Rzayev</v>
      </c>
      <c r="D1237" t="str">
        <f>_xlfn.XLOOKUP(C1237,raw_customers!B:B,raw_customers!C:C)</f>
        <v>M</v>
      </c>
      <c r="E1237" t="str">
        <f>_xlfn.XLOOKUP(C1237,raw_customers!B:B,raw_customers!G:G)</f>
        <v>Retail</v>
      </c>
      <c r="F1237" t="str">
        <f>_xlfn.XLOOKUP(_xlfn.XLOOKUP(B1237,raw_customers!A:A,raw_customers!F:F),raw_branches!A:A,raw_branches!B:B)</f>
        <v>Mingachevir Branch</v>
      </c>
      <c r="G1237" s="7">
        <v>177907.48</v>
      </c>
      <c r="H1237" s="6">
        <v>16.1</v>
      </c>
      <c r="I1237" t="s">
        <v>2377</v>
      </c>
      <c r="J1237" t="str">
        <f t="shared" si="19"/>
        <v>Orta Risk</v>
      </c>
    </row>
    <row r="1238" spans="1:10">
      <c r="A1238">
        <v>814</v>
      </c>
      <c r="B1238">
        <v>156</v>
      </c>
      <c r="C1238" t="str">
        <f>_xlfn.XLOOKUP(B1238,raw_customers!A:A,raw_customers!B:B)</f>
        <v>Nərmin Məmmədov</v>
      </c>
      <c r="D1238" t="str">
        <f>_xlfn.XLOOKUP(C1238,raw_customers!B:B,raw_customers!C:C)</f>
        <v>F</v>
      </c>
      <c r="E1238" t="str">
        <f>_xlfn.XLOOKUP(C1238,raw_customers!B:B,raw_customers!G:G)</f>
        <v>Premium</v>
      </c>
      <c r="F1238" t="str">
        <f>_xlfn.XLOOKUP(_xlfn.XLOOKUP(B1238,raw_customers!A:A,raw_customers!F:F),raw_branches!A:A,raw_branches!B:B)</f>
        <v>Sheki Branch</v>
      </c>
      <c r="G1238" s="7">
        <v>35103.03</v>
      </c>
      <c r="H1238" s="6">
        <v>9.02</v>
      </c>
      <c r="I1238" t="s">
        <v>2383</v>
      </c>
      <c r="J1238" t="str">
        <f t="shared" si="19"/>
        <v>Aşağı Risk</v>
      </c>
    </row>
    <row r="1239" spans="1:10">
      <c r="A1239">
        <v>815</v>
      </c>
      <c r="B1239">
        <v>721</v>
      </c>
      <c r="C1239" t="str">
        <f>_xlfn.XLOOKUP(B1239,raw_customers!A:A,raw_customers!B:B)</f>
        <v>Fidan Abbasov</v>
      </c>
      <c r="D1239" t="str">
        <f>_xlfn.XLOOKUP(C1239,raw_customers!B:B,raw_customers!C:C)</f>
        <v>F</v>
      </c>
      <c r="E1239" t="str">
        <f>_xlfn.XLOOKUP(C1239,raw_customers!B:B,raw_customers!G:G)</f>
        <v>SME</v>
      </c>
      <c r="F1239" t="str">
        <f>_xlfn.XLOOKUP(_xlfn.XLOOKUP(B1239,raw_customers!A:A,raw_customers!F:F),raw_branches!A:A,raw_branches!B:B)</f>
        <v>Sumgait Branch</v>
      </c>
      <c r="G1239" s="7">
        <v>679.38</v>
      </c>
      <c r="H1239" s="6">
        <v>13.39</v>
      </c>
      <c r="I1239" t="s">
        <v>2393</v>
      </c>
      <c r="J1239" t="str">
        <f t="shared" si="19"/>
        <v>Default (Batıq)</v>
      </c>
    </row>
    <row r="1240" spans="1:10">
      <c r="A1240">
        <v>816</v>
      </c>
      <c r="B1240">
        <v>732</v>
      </c>
      <c r="C1240" t="str">
        <f>_xlfn.XLOOKUP(B1240,raw_customers!A:A,raw_customers!B:B)</f>
        <v>Tural Cəfərov</v>
      </c>
      <c r="D1240" t="str">
        <f>_xlfn.XLOOKUP(C1240,raw_customers!B:B,raw_customers!C:C)</f>
        <v>M</v>
      </c>
      <c r="E1240" t="str">
        <f>_xlfn.XLOOKUP(C1240,raw_customers!B:B,raw_customers!G:G)</f>
        <v>Retail</v>
      </c>
      <c r="F1240" t="str">
        <f>_xlfn.XLOOKUP(_xlfn.XLOOKUP(B1240,raw_customers!A:A,raw_customers!F:F),raw_branches!A:A,raw_branches!B:B)</f>
        <v>Lankaran Branch</v>
      </c>
      <c r="G1240" s="7">
        <v>1986.33</v>
      </c>
      <c r="H1240" s="6">
        <v>16.31</v>
      </c>
      <c r="I1240" t="s">
        <v>2377</v>
      </c>
      <c r="J1240" t="str">
        <f t="shared" si="19"/>
        <v>Orta Risk</v>
      </c>
    </row>
    <row r="1241" spans="1:10">
      <c r="A1241">
        <v>817</v>
      </c>
      <c r="B1241">
        <v>10</v>
      </c>
      <c r="C1241" t="str">
        <f>_xlfn.XLOOKUP(B1241,raw_customers!A:A,raw_customers!B:B)</f>
        <v>Murad Əzizov</v>
      </c>
      <c r="D1241" t="str">
        <f>_xlfn.XLOOKUP(C1241,raw_customers!B:B,raw_customers!C:C)</f>
        <v>M</v>
      </c>
      <c r="E1241" t="str">
        <f>_xlfn.XLOOKUP(C1241,raw_customers!B:B,raw_customers!G:G)</f>
        <v>Retail</v>
      </c>
      <c r="F1241" t="str">
        <f>_xlfn.XLOOKUP(_xlfn.XLOOKUP(B1241,raw_customers!A:A,raw_customers!F:F),raw_branches!A:A,raw_branches!B:B)</f>
        <v>Lankaran Branch</v>
      </c>
      <c r="G1241" s="7">
        <v>164397.95</v>
      </c>
      <c r="H1241" s="6">
        <v>19.13</v>
      </c>
      <c r="I1241" t="s">
        <v>2393</v>
      </c>
      <c r="J1241" t="str">
        <f t="shared" si="19"/>
        <v>Default (Batıq)</v>
      </c>
    </row>
    <row r="1242" spans="1:10">
      <c r="A1242">
        <v>818</v>
      </c>
      <c r="B1242">
        <v>45</v>
      </c>
      <c r="C1242" t="str">
        <f>_xlfn.XLOOKUP(B1242,raw_customers!A:A,raw_customers!B:B)</f>
        <v>Rəşad Bağırov</v>
      </c>
      <c r="D1242" t="str">
        <f>_xlfn.XLOOKUP(C1242,raw_customers!B:B,raw_customers!C:C)</f>
        <v>M</v>
      </c>
      <c r="E1242" t="str">
        <f>_xlfn.XLOOKUP(C1242,raw_customers!B:B,raw_customers!G:G)</f>
        <v>SME</v>
      </c>
      <c r="F1242" t="str">
        <f>_xlfn.XLOOKUP(_xlfn.XLOOKUP(B1242,raw_customers!A:A,raw_customers!F:F),raw_branches!A:A,raw_branches!B:B)</f>
        <v>Baku Yasamal</v>
      </c>
      <c r="G1242" s="7">
        <v>138045.1</v>
      </c>
      <c r="H1242" s="6">
        <v>16.33</v>
      </c>
      <c r="I1242" t="s">
        <v>2377</v>
      </c>
      <c r="J1242" t="str">
        <f t="shared" si="19"/>
        <v>Orta Risk</v>
      </c>
    </row>
    <row r="1243" spans="1:10">
      <c r="A1243">
        <v>819</v>
      </c>
      <c r="B1243">
        <v>702</v>
      </c>
      <c r="C1243" t="str">
        <f>_xlfn.XLOOKUP(B1243,raw_customers!A:A,raw_customers!B:B)</f>
        <v>Murad Bağırov</v>
      </c>
      <c r="D1243" t="str">
        <f>_xlfn.XLOOKUP(C1243,raw_customers!B:B,raw_customers!C:C)</f>
        <v>M</v>
      </c>
      <c r="E1243" t="str">
        <f>_xlfn.XLOOKUP(C1243,raw_customers!B:B,raw_customers!G:G)</f>
        <v>SME</v>
      </c>
      <c r="F1243" t="str">
        <f>_xlfn.XLOOKUP(_xlfn.XLOOKUP(B1243,raw_customers!A:A,raw_customers!F:F),raw_branches!A:A,raw_branches!B:B)</f>
        <v>Baku Yasamal</v>
      </c>
      <c r="G1243" s="7">
        <v>4039.9</v>
      </c>
      <c r="H1243" s="6">
        <v>20.57</v>
      </c>
      <c r="I1243" t="s">
        <v>2377</v>
      </c>
      <c r="J1243" t="str">
        <f t="shared" si="19"/>
        <v>Yüksək Risk</v>
      </c>
    </row>
    <row r="1244" spans="1:10">
      <c r="A1244">
        <v>820</v>
      </c>
      <c r="B1244">
        <v>318</v>
      </c>
      <c r="C1244" t="str">
        <f>_xlfn.XLOOKUP(B1244,raw_customers!A:A,raw_customers!B:B)</f>
        <v>Mehriban Cəfərov</v>
      </c>
      <c r="D1244" t="str">
        <f>_xlfn.XLOOKUP(C1244,raw_customers!B:B,raw_customers!C:C)</f>
        <v>F</v>
      </c>
      <c r="E1244" t="str">
        <f>_xlfn.XLOOKUP(C1244,raw_customers!B:B,raw_customers!G:G)</f>
        <v>Retail</v>
      </c>
      <c r="F1244" t="str">
        <f>_xlfn.XLOOKUP(_xlfn.XLOOKUP(B1244,raw_customers!A:A,raw_customers!F:F),raw_branches!A:A,raw_branches!B:B)</f>
        <v>Lankaran Branch</v>
      </c>
      <c r="G1244" s="7">
        <v>136195.26</v>
      </c>
      <c r="H1244" s="6">
        <v>20.34</v>
      </c>
      <c r="I1244" t="s">
        <v>2393</v>
      </c>
      <c r="J1244" t="str">
        <f t="shared" si="19"/>
        <v>Default (Batıq)</v>
      </c>
    </row>
    <row r="1245" spans="1:10">
      <c r="A1245">
        <v>821</v>
      </c>
      <c r="B1245">
        <v>158</v>
      </c>
      <c r="C1245" t="str">
        <f>_xlfn.XLOOKUP(B1245,raw_customers!A:A,raw_customers!B:B)</f>
        <v>Şəbnəm Orucov</v>
      </c>
      <c r="D1245" t="str">
        <f>_xlfn.XLOOKUP(C1245,raw_customers!B:B,raw_customers!C:C)</f>
        <v>F</v>
      </c>
      <c r="E1245" t="str">
        <f>_xlfn.XLOOKUP(C1245,raw_customers!B:B,raw_customers!G:G)</f>
        <v>Retail</v>
      </c>
      <c r="F1245" t="str">
        <f>_xlfn.XLOOKUP(_xlfn.XLOOKUP(B1245,raw_customers!A:A,raw_customers!F:F),raw_branches!A:A,raw_branches!B:B)</f>
        <v>Sheki Branch</v>
      </c>
      <c r="G1245" s="7">
        <v>100739.02</v>
      </c>
      <c r="H1245" s="6">
        <v>13.36</v>
      </c>
      <c r="I1245" t="s">
        <v>2377</v>
      </c>
      <c r="J1245" t="str">
        <f t="shared" si="19"/>
        <v>Orta Risk</v>
      </c>
    </row>
    <row r="1246" spans="1:10">
      <c r="A1246">
        <v>822</v>
      </c>
      <c r="B1246">
        <v>603</v>
      </c>
      <c r="C1246" t="str">
        <f>_xlfn.XLOOKUP(B1246,raw_customers!A:A,raw_customers!B:B)</f>
        <v>Elvin Quliyev</v>
      </c>
      <c r="D1246" t="str">
        <f>_xlfn.XLOOKUP(C1246,raw_customers!B:B,raw_customers!C:C)</f>
        <v>M</v>
      </c>
      <c r="E1246" t="str">
        <f>_xlfn.XLOOKUP(C1246,raw_customers!B:B,raw_customers!G:G)</f>
        <v>Retail</v>
      </c>
      <c r="F1246" t="str">
        <f>_xlfn.XLOOKUP(_xlfn.XLOOKUP(B1246,raw_customers!A:A,raw_customers!F:F),raw_branches!A:A,raw_branches!B:B)</f>
        <v>Ganja Branch</v>
      </c>
      <c r="G1246" s="7">
        <v>1132.85</v>
      </c>
      <c r="H1246" s="6">
        <v>9.55</v>
      </c>
      <c r="I1246" t="s">
        <v>2393</v>
      </c>
      <c r="J1246" t="str">
        <f t="shared" si="19"/>
        <v>Default (Batıq)</v>
      </c>
    </row>
    <row r="1247" spans="1:10">
      <c r="A1247">
        <v>823</v>
      </c>
      <c r="B1247">
        <v>625</v>
      </c>
      <c r="C1247" t="str">
        <f>_xlfn.XLOOKUP(B1247,raw_customers!A:A,raw_customers!B:B)</f>
        <v>Mehriban Musayev</v>
      </c>
      <c r="D1247" t="str">
        <f>_xlfn.XLOOKUP(C1247,raw_customers!B:B,raw_customers!C:C)</f>
        <v>F</v>
      </c>
      <c r="E1247" t="str">
        <f>_xlfn.XLOOKUP(C1247,raw_customers!B:B,raw_customers!G:G)</f>
        <v>Retail</v>
      </c>
      <c r="F1247" t="str">
        <f>_xlfn.XLOOKUP(_xlfn.XLOOKUP(B1247,raw_customers!A:A,raw_customers!F:F),raw_branches!A:A,raw_branches!B:B)</f>
        <v>Mingachevir Branch</v>
      </c>
      <c r="G1247" s="7">
        <v>18330.34</v>
      </c>
      <c r="H1247" s="6">
        <v>8.36</v>
      </c>
      <c r="I1247" t="s">
        <v>2383</v>
      </c>
      <c r="J1247" t="str">
        <f t="shared" si="19"/>
        <v>Aşağı Risk</v>
      </c>
    </row>
    <row r="1248" spans="1:10">
      <c r="A1248">
        <v>824</v>
      </c>
      <c r="B1248">
        <v>327</v>
      </c>
      <c r="C1248" t="str">
        <f>_xlfn.XLOOKUP(B1248,raw_customers!A:A,raw_customers!B:B)</f>
        <v>Sevinc Nəbiyev</v>
      </c>
      <c r="D1248" t="str">
        <f>_xlfn.XLOOKUP(C1248,raw_customers!B:B,raw_customers!C:C)</f>
        <v>F</v>
      </c>
      <c r="E1248" t="str">
        <f>_xlfn.XLOOKUP(C1248,raw_customers!B:B,raw_customers!G:G)</f>
        <v>SME</v>
      </c>
      <c r="F1248" t="str">
        <f>_xlfn.XLOOKUP(_xlfn.XLOOKUP(B1248,raw_customers!A:A,raw_customers!F:F),raw_branches!A:A,raw_branches!B:B)</f>
        <v>Baku Yasamal</v>
      </c>
      <c r="G1248" s="7">
        <v>100593.21</v>
      </c>
      <c r="H1248" s="6">
        <v>17.48</v>
      </c>
      <c r="I1248" t="s">
        <v>2383</v>
      </c>
      <c r="J1248" t="str">
        <f t="shared" si="19"/>
        <v>Orta Risk</v>
      </c>
    </row>
    <row r="1249" spans="1:10">
      <c r="A1249">
        <v>825</v>
      </c>
      <c r="B1249">
        <v>13</v>
      </c>
      <c r="C1249" t="str">
        <f>_xlfn.XLOOKUP(B1249,raw_customers!A:A,raw_customers!B:B)</f>
        <v>Elşən Bağırov</v>
      </c>
      <c r="D1249" t="str">
        <f>_xlfn.XLOOKUP(C1249,raw_customers!B:B,raw_customers!C:C)</f>
        <v>M</v>
      </c>
      <c r="E1249" t="str">
        <f>_xlfn.XLOOKUP(C1249,raw_customers!B:B,raw_customers!G:G)</f>
        <v>SME</v>
      </c>
      <c r="F1249" t="str">
        <f>_xlfn.XLOOKUP(_xlfn.XLOOKUP(B1249,raw_customers!A:A,raw_customers!F:F),raw_branches!A:A,raw_branches!B:B)</f>
        <v>Ganja Branch</v>
      </c>
      <c r="G1249" s="7">
        <v>32309.41</v>
      </c>
      <c r="H1249" s="6">
        <v>11.12</v>
      </c>
      <c r="I1249" t="s">
        <v>2377</v>
      </c>
      <c r="J1249" t="str">
        <f t="shared" si="19"/>
        <v>Aşağı Risk</v>
      </c>
    </row>
    <row r="1250" spans="1:10">
      <c r="A1250">
        <v>826</v>
      </c>
      <c r="B1250">
        <v>664</v>
      </c>
      <c r="C1250" t="str">
        <f>_xlfn.XLOOKUP(B1250,raw_customers!A:A,raw_customers!B:B)</f>
        <v>Elşən İsmayılov</v>
      </c>
      <c r="D1250" t="str">
        <f>_xlfn.XLOOKUP(C1250,raw_customers!B:B,raw_customers!C:C)</f>
        <v>M</v>
      </c>
      <c r="E1250" t="str">
        <f>_xlfn.XLOOKUP(C1250,raw_customers!B:B,raw_customers!G:G)</f>
        <v>Retail</v>
      </c>
      <c r="F1250" t="str">
        <f>_xlfn.XLOOKUP(_xlfn.XLOOKUP(B1250,raw_customers!A:A,raw_customers!F:F),raw_branches!A:A,raw_branches!B:B)</f>
        <v>Ganja Branch</v>
      </c>
      <c r="G1250" s="7">
        <v>35781.1</v>
      </c>
      <c r="H1250" s="6">
        <v>17.94</v>
      </c>
      <c r="I1250" t="s">
        <v>2377</v>
      </c>
      <c r="J1250" t="str">
        <f t="shared" si="19"/>
        <v>Orta Risk</v>
      </c>
    </row>
    <row r="1251" spans="1:10">
      <c r="A1251">
        <v>827</v>
      </c>
      <c r="B1251">
        <v>942</v>
      </c>
      <c r="C1251" t="str">
        <f>_xlfn.XLOOKUP(B1251,raw_customers!A:A,raw_customers!B:B)</f>
        <v>Nərgiz Orucov</v>
      </c>
      <c r="D1251" t="str">
        <f>_xlfn.XLOOKUP(C1251,raw_customers!B:B,raw_customers!C:C)</f>
        <v>F</v>
      </c>
      <c r="E1251" t="str">
        <f>_xlfn.XLOOKUP(C1251,raw_customers!B:B,raw_customers!G:G)</f>
        <v>SME</v>
      </c>
      <c r="F1251" t="str">
        <f>_xlfn.XLOOKUP(_xlfn.XLOOKUP(B1251,raw_customers!A:A,raw_customers!F:F),raw_branches!A:A,raw_branches!B:B)</f>
        <v>Baku Yasamal</v>
      </c>
      <c r="G1251" s="7">
        <v>13564.42</v>
      </c>
      <c r="H1251" s="6">
        <v>6.7</v>
      </c>
      <c r="I1251" t="s">
        <v>2383</v>
      </c>
      <c r="J1251" t="str">
        <f t="shared" si="19"/>
        <v>Aşağı Risk</v>
      </c>
    </row>
    <row r="1252" spans="1:10">
      <c r="A1252">
        <v>828</v>
      </c>
      <c r="B1252">
        <v>977</v>
      </c>
      <c r="C1252" t="str">
        <f>_xlfn.XLOOKUP(B1252,raw_customers!A:A,raw_customers!B:B)</f>
        <v>Elşən Rzayev</v>
      </c>
      <c r="D1252" t="str">
        <f>_xlfn.XLOOKUP(C1252,raw_customers!B:B,raw_customers!C:C)</f>
        <v>M</v>
      </c>
      <c r="E1252" t="str">
        <f>_xlfn.XLOOKUP(C1252,raw_customers!B:B,raw_customers!G:G)</f>
        <v>Retail</v>
      </c>
      <c r="F1252" t="str">
        <f>_xlfn.XLOOKUP(_xlfn.XLOOKUP(B1252,raw_customers!A:A,raw_customers!F:F),raw_branches!A:A,raw_branches!B:B)</f>
        <v>Baku Central</v>
      </c>
      <c r="G1252" s="7">
        <v>19564.73</v>
      </c>
      <c r="H1252" s="6">
        <v>8.62</v>
      </c>
      <c r="I1252" t="s">
        <v>2383</v>
      </c>
      <c r="J1252" t="str">
        <f t="shared" si="19"/>
        <v>Aşağı Risk</v>
      </c>
    </row>
    <row r="1253" spans="1:10">
      <c r="A1253">
        <v>829</v>
      </c>
      <c r="B1253">
        <v>206</v>
      </c>
      <c r="C1253" t="str">
        <f>_xlfn.XLOOKUP(B1253,raw_customers!A:A,raw_customers!B:B)</f>
        <v>Tural Musayev</v>
      </c>
      <c r="D1253" t="str">
        <f>_xlfn.XLOOKUP(C1253,raw_customers!B:B,raw_customers!C:C)</f>
        <v>M</v>
      </c>
      <c r="E1253" t="str">
        <f>_xlfn.XLOOKUP(C1253,raw_customers!B:B,raw_customers!G:G)</f>
        <v>SME</v>
      </c>
      <c r="F1253" t="str">
        <f>_xlfn.XLOOKUP(_xlfn.XLOOKUP(B1253,raw_customers!A:A,raw_customers!F:F),raw_branches!A:A,raw_branches!B:B)</f>
        <v>Baku Central</v>
      </c>
      <c r="G1253" s="7">
        <v>3943.28</v>
      </c>
      <c r="H1253" s="6">
        <v>12.26</v>
      </c>
      <c r="I1253" t="s">
        <v>2393</v>
      </c>
      <c r="J1253" t="str">
        <f t="shared" si="19"/>
        <v>Default (Batıq)</v>
      </c>
    </row>
    <row r="1254" spans="1:10">
      <c r="A1254">
        <v>830</v>
      </c>
      <c r="B1254">
        <v>596</v>
      </c>
      <c r="C1254" t="str">
        <f>_xlfn.XLOOKUP(B1254,raw_customers!A:A,raw_customers!B:B)</f>
        <v>Mehriban Sadıqov</v>
      </c>
      <c r="D1254" t="str">
        <f>_xlfn.XLOOKUP(C1254,raw_customers!B:B,raw_customers!C:C)</f>
        <v>F</v>
      </c>
      <c r="E1254" t="str">
        <f>_xlfn.XLOOKUP(C1254,raw_customers!B:B,raw_customers!G:G)</f>
        <v>Retail</v>
      </c>
      <c r="F1254" t="str">
        <f>_xlfn.XLOOKUP(_xlfn.XLOOKUP(B1254,raw_customers!A:A,raw_customers!F:F),raw_branches!A:A,raw_branches!B:B)</f>
        <v>Sumgait Branch</v>
      </c>
      <c r="G1254" s="7">
        <v>84010.35</v>
      </c>
      <c r="H1254" s="6">
        <v>6.42</v>
      </c>
      <c r="I1254" t="s">
        <v>2377</v>
      </c>
      <c r="J1254" t="str">
        <f t="shared" si="19"/>
        <v>Aşağı Risk</v>
      </c>
    </row>
    <row r="1255" spans="1:10">
      <c r="A1255">
        <v>831</v>
      </c>
      <c r="B1255">
        <v>828</v>
      </c>
      <c r="C1255" t="str">
        <f>_xlfn.XLOOKUP(B1255,raw_customers!A:A,raw_customers!B:B)</f>
        <v>Ceyhun Musayev</v>
      </c>
      <c r="D1255" t="str">
        <f>_xlfn.XLOOKUP(C1255,raw_customers!B:B,raw_customers!C:C)</f>
        <v>M</v>
      </c>
      <c r="E1255" t="str">
        <f>_xlfn.XLOOKUP(C1255,raw_customers!B:B,raw_customers!G:G)</f>
        <v>Retail</v>
      </c>
      <c r="F1255" t="str">
        <f>_xlfn.XLOOKUP(_xlfn.XLOOKUP(B1255,raw_customers!A:A,raw_customers!F:F),raw_branches!A:A,raw_branches!B:B)</f>
        <v>Sumgait Branch</v>
      </c>
      <c r="G1255" s="7">
        <v>33393.14</v>
      </c>
      <c r="H1255" s="6">
        <v>7.53</v>
      </c>
      <c r="I1255" t="s">
        <v>2383</v>
      </c>
      <c r="J1255" t="str">
        <f t="shared" si="19"/>
        <v>Aşağı Risk</v>
      </c>
    </row>
    <row r="1256" spans="1:10">
      <c r="A1256">
        <v>832</v>
      </c>
      <c r="B1256">
        <v>675</v>
      </c>
      <c r="C1256" t="str">
        <f>_xlfn.XLOOKUP(B1256,raw_customers!A:A,raw_customers!B:B)</f>
        <v>Rüfət Orucov</v>
      </c>
      <c r="D1256" t="str">
        <f>_xlfn.XLOOKUP(C1256,raw_customers!B:B,raw_customers!C:C)</f>
        <v>M</v>
      </c>
      <c r="E1256" t="str">
        <f>_xlfn.XLOOKUP(C1256,raw_customers!B:B,raw_customers!G:G)</f>
        <v>SME</v>
      </c>
      <c r="F1256" t="str">
        <f>_xlfn.XLOOKUP(_xlfn.XLOOKUP(B1256,raw_customers!A:A,raw_customers!F:F),raw_branches!A:A,raw_branches!B:B)</f>
        <v>Mingachevir Branch</v>
      </c>
      <c r="G1256" s="7">
        <v>5584.34</v>
      </c>
      <c r="H1256" s="6">
        <v>6.94</v>
      </c>
      <c r="I1256" t="s">
        <v>2377</v>
      </c>
      <c r="J1256" t="str">
        <f t="shared" si="19"/>
        <v>Aşağı Risk</v>
      </c>
    </row>
    <row r="1257" spans="1:10">
      <c r="A1257">
        <v>833</v>
      </c>
      <c r="B1257">
        <v>657</v>
      </c>
      <c r="C1257" t="str">
        <f>_xlfn.XLOOKUP(B1257,raw_customers!A:A,raw_customers!B:B)</f>
        <v>Türkan Məmmədov</v>
      </c>
      <c r="D1257" t="str">
        <f>_xlfn.XLOOKUP(C1257,raw_customers!B:B,raw_customers!C:C)</f>
        <v>F</v>
      </c>
      <c r="E1257" t="str">
        <f>_xlfn.XLOOKUP(C1257,raw_customers!B:B,raw_customers!G:G)</f>
        <v>SME</v>
      </c>
      <c r="F1257" t="str">
        <f>_xlfn.XLOOKUP(_xlfn.XLOOKUP(B1257,raw_customers!A:A,raw_customers!F:F),raw_branches!A:A,raw_branches!B:B)</f>
        <v>Sumgait Branch</v>
      </c>
      <c r="G1257" s="7">
        <v>10337.89</v>
      </c>
      <c r="H1257" s="6">
        <v>19.72</v>
      </c>
      <c r="I1257" t="s">
        <v>2377</v>
      </c>
      <c r="J1257" t="str">
        <f t="shared" si="19"/>
        <v>Yüksək Risk</v>
      </c>
    </row>
    <row r="1258" spans="1:10">
      <c r="A1258">
        <v>834</v>
      </c>
      <c r="B1258">
        <v>630</v>
      </c>
      <c r="C1258" t="str">
        <f>_xlfn.XLOOKUP(B1258,raw_customers!A:A,raw_customers!B:B)</f>
        <v>Tural Nəbiyev</v>
      </c>
      <c r="D1258" t="str">
        <f>_xlfn.XLOOKUP(C1258,raw_customers!B:B,raw_customers!C:C)</f>
        <v>M</v>
      </c>
      <c r="E1258" t="str">
        <f>_xlfn.XLOOKUP(C1258,raw_customers!B:B,raw_customers!G:G)</f>
        <v>SME</v>
      </c>
      <c r="F1258" t="str">
        <f>_xlfn.XLOOKUP(_xlfn.XLOOKUP(B1258,raw_customers!A:A,raw_customers!F:F),raw_branches!A:A,raw_branches!B:B)</f>
        <v>Mingachevir Branch</v>
      </c>
      <c r="G1258" s="7">
        <v>7073.44</v>
      </c>
      <c r="H1258" s="6">
        <v>21.68</v>
      </c>
      <c r="I1258" t="s">
        <v>2377</v>
      </c>
      <c r="J1258" t="str">
        <f t="shared" si="19"/>
        <v>Yüksək Risk</v>
      </c>
    </row>
    <row r="1259" spans="1:10">
      <c r="A1259">
        <v>835</v>
      </c>
      <c r="B1259">
        <v>661</v>
      </c>
      <c r="C1259" t="str">
        <f>_xlfn.XLOOKUP(B1259,raw_customers!A:A,raw_customers!B:B)</f>
        <v>Kənan Cəfərov</v>
      </c>
      <c r="D1259" t="str">
        <f>_xlfn.XLOOKUP(C1259,raw_customers!B:B,raw_customers!C:C)</f>
        <v>M</v>
      </c>
      <c r="E1259" t="str">
        <f>_xlfn.XLOOKUP(C1259,raw_customers!B:B,raw_customers!G:G)</f>
        <v>Premium</v>
      </c>
      <c r="F1259" t="str">
        <f>_xlfn.XLOOKUP(_xlfn.XLOOKUP(B1259,raw_customers!A:A,raw_customers!F:F),raw_branches!A:A,raw_branches!B:B)</f>
        <v>Sumgait Branch</v>
      </c>
      <c r="G1259" s="7">
        <v>12059.01</v>
      </c>
      <c r="H1259" s="6">
        <v>5.28</v>
      </c>
      <c r="I1259" t="s">
        <v>2377</v>
      </c>
      <c r="J1259" t="str">
        <f t="shared" si="19"/>
        <v>Aşağı Risk</v>
      </c>
    </row>
    <row r="1260" spans="1:10">
      <c r="A1260">
        <v>836</v>
      </c>
      <c r="B1260">
        <v>195</v>
      </c>
      <c r="C1260" t="str">
        <f>_xlfn.XLOOKUP(B1260,raw_customers!A:A,raw_customers!B:B)</f>
        <v>Fərid Musayev</v>
      </c>
      <c r="D1260" t="str">
        <f>_xlfn.XLOOKUP(C1260,raw_customers!B:B,raw_customers!C:C)</f>
        <v>M</v>
      </c>
      <c r="E1260" t="str">
        <f>_xlfn.XLOOKUP(C1260,raw_customers!B:B,raw_customers!G:G)</f>
        <v>Retail</v>
      </c>
      <c r="F1260" t="str">
        <f>_xlfn.XLOOKUP(_xlfn.XLOOKUP(B1260,raw_customers!A:A,raw_customers!F:F),raw_branches!A:A,raw_branches!B:B)</f>
        <v>Sumgait Branch</v>
      </c>
      <c r="G1260" s="7">
        <v>7769.25</v>
      </c>
      <c r="H1260" s="6">
        <v>5</v>
      </c>
      <c r="I1260" t="s">
        <v>2377</v>
      </c>
      <c r="J1260" t="str">
        <f t="shared" si="19"/>
        <v>Aşağı Risk</v>
      </c>
    </row>
    <row r="1261" spans="1:10">
      <c r="A1261">
        <v>837</v>
      </c>
      <c r="B1261">
        <v>227</v>
      </c>
      <c r="C1261" t="str">
        <f>_xlfn.XLOOKUP(B1261,raw_customers!A:A,raw_customers!B:B)</f>
        <v>Orxan Abbasov</v>
      </c>
      <c r="D1261" t="str">
        <f>_xlfn.XLOOKUP(C1261,raw_customers!B:B,raw_customers!C:C)</f>
        <v>M</v>
      </c>
      <c r="E1261" t="str">
        <f>_xlfn.XLOOKUP(C1261,raw_customers!B:B,raw_customers!G:G)</f>
        <v>Premium</v>
      </c>
      <c r="F1261" t="str">
        <f>_xlfn.XLOOKUP(_xlfn.XLOOKUP(B1261,raw_customers!A:A,raw_customers!F:F),raw_branches!A:A,raw_branches!B:B)</f>
        <v>Ganja Branch</v>
      </c>
      <c r="G1261" s="7">
        <v>25080.56</v>
      </c>
      <c r="H1261" s="6">
        <v>7.77</v>
      </c>
      <c r="I1261" t="s">
        <v>2377</v>
      </c>
      <c r="J1261" t="str">
        <f t="shared" si="19"/>
        <v>Aşağı Risk</v>
      </c>
    </row>
    <row r="1262" spans="1:10">
      <c r="A1262">
        <v>838</v>
      </c>
      <c r="B1262">
        <v>494</v>
      </c>
      <c r="C1262" t="str">
        <f>_xlfn.XLOOKUP(B1262,raw_customers!A:A,raw_customers!B:B)</f>
        <v>Aysel Rəhimov</v>
      </c>
      <c r="D1262" t="str">
        <f>_xlfn.XLOOKUP(C1262,raw_customers!B:B,raw_customers!C:C)</f>
        <v>F</v>
      </c>
      <c r="E1262" t="str">
        <f>_xlfn.XLOOKUP(C1262,raw_customers!B:B,raw_customers!G:G)</f>
        <v>Premium</v>
      </c>
      <c r="F1262" t="str">
        <f>_xlfn.XLOOKUP(_xlfn.XLOOKUP(B1262,raw_customers!A:A,raw_customers!F:F),raw_branches!A:A,raw_branches!B:B)</f>
        <v>Sumgait Branch</v>
      </c>
      <c r="G1262" s="7">
        <v>58125.73</v>
      </c>
      <c r="H1262" s="6">
        <v>14.05</v>
      </c>
      <c r="I1262" t="s">
        <v>2377</v>
      </c>
      <c r="J1262" t="str">
        <f t="shared" si="19"/>
        <v>Orta Risk</v>
      </c>
    </row>
    <row r="1263" spans="1:10">
      <c r="A1263">
        <v>839</v>
      </c>
      <c r="B1263">
        <v>234</v>
      </c>
      <c r="C1263" t="str">
        <f>_xlfn.XLOOKUP(B1263,raw_customers!A:A,raw_customers!B:B)</f>
        <v>Səbinə Əzizov</v>
      </c>
      <c r="D1263" t="str">
        <f>_xlfn.XLOOKUP(C1263,raw_customers!B:B,raw_customers!C:C)</f>
        <v>F</v>
      </c>
      <c r="E1263" t="str">
        <f>_xlfn.XLOOKUP(C1263,raw_customers!B:B,raw_customers!G:G)</f>
        <v>Retail</v>
      </c>
      <c r="F1263" t="str">
        <f>_xlfn.XLOOKUP(_xlfn.XLOOKUP(B1263,raw_customers!A:A,raw_customers!F:F),raw_branches!A:A,raw_branches!B:B)</f>
        <v>Mingachevir Branch</v>
      </c>
      <c r="G1263" s="7">
        <v>11040.96</v>
      </c>
      <c r="H1263" s="6">
        <v>15.55</v>
      </c>
      <c r="I1263" t="s">
        <v>2377</v>
      </c>
      <c r="J1263" t="str">
        <f t="shared" si="19"/>
        <v>Orta Risk</v>
      </c>
    </row>
    <row r="1264" spans="1:10">
      <c r="A1264">
        <v>840</v>
      </c>
      <c r="B1264">
        <v>134</v>
      </c>
      <c r="C1264" t="str">
        <f>_xlfn.XLOOKUP(B1264,raw_customers!A:A,raw_customers!B:B)</f>
        <v>Röya Nəbiyev</v>
      </c>
      <c r="D1264" t="str">
        <f>_xlfn.XLOOKUP(C1264,raw_customers!B:B,raw_customers!C:C)</f>
        <v>F</v>
      </c>
      <c r="E1264" t="str">
        <f>_xlfn.XLOOKUP(C1264,raw_customers!B:B,raw_customers!G:G)</f>
        <v>Retail</v>
      </c>
      <c r="F1264" t="str">
        <f>_xlfn.XLOOKUP(_xlfn.XLOOKUP(B1264,raw_customers!A:A,raw_customers!F:F),raw_branches!A:A,raw_branches!B:B)</f>
        <v>Sheki Branch</v>
      </c>
      <c r="G1264" s="7">
        <v>99309.04</v>
      </c>
      <c r="H1264" s="6">
        <v>20.86</v>
      </c>
      <c r="I1264" t="s">
        <v>2377</v>
      </c>
      <c r="J1264" t="str">
        <f t="shared" si="19"/>
        <v>Yüksək Risk</v>
      </c>
    </row>
    <row r="1265" spans="1:10">
      <c r="A1265">
        <v>841</v>
      </c>
      <c r="B1265">
        <v>71</v>
      </c>
      <c r="C1265" t="str">
        <f>_xlfn.XLOOKUP(B1265,raw_customers!A:A,raw_customers!B:B)</f>
        <v>Emin Orucov</v>
      </c>
      <c r="D1265" t="str">
        <f>_xlfn.XLOOKUP(C1265,raw_customers!B:B,raw_customers!C:C)</f>
        <v>M</v>
      </c>
      <c r="E1265" t="str">
        <f>_xlfn.XLOOKUP(C1265,raw_customers!B:B,raw_customers!G:G)</f>
        <v>Premium</v>
      </c>
      <c r="F1265" t="str">
        <f>_xlfn.XLOOKUP(_xlfn.XLOOKUP(B1265,raw_customers!A:A,raw_customers!F:F),raw_branches!A:A,raw_branches!B:B)</f>
        <v>Ganja Branch</v>
      </c>
      <c r="G1265" s="7">
        <v>2857.18</v>
      </c>
      <c r="H1265" s="6">
        <v>9.22</v>
      </c>
      <c r="I1265" t="s">
        <v>2377</v>
      </c>
      <c r="J1265" t="str">
        <f t="shared" si="19"/>
        <v>Aşağı Risk</v>
      </c>
    </row>
    <row r="1266" spans="1:10">
      <c r="A1266">
        <v>842</v>
      </c>
      <c r="B1266">
        <v>947</v>
      </c>
      <c r="C1266" t="str">
        <f>_xlfn.XLOOKUP(B1266,raw_customers!A:A,raw_customers!B:B)</f>
        <v>Vəfa Orucov</v>
      </c>
      <c r="D1266" t="str">
        <f>_xlfn.XLOOKUP(C1266,raw_customers!B:B,raw_customers!C:C)</f>
        <v>F</v>
      </c>
      <c r="E1266" t="str">
        <f>_xlfn.XLOOKUP(C1266,raw_customers!B:B,raw_customers!G:G)</f>
        <v>SME</v>
      </c>
      <c r="F1266" t="str">
        <f>_xlfn.XLOOKUP(_xlfn.XLOOKUP(B1266,raw_customers!A:A,raw_customers!F:F),raw_branches!A:A,raw_branches!B:B)</f>
        <v>Sheki Branch</v>
      </c>
      <c r="G1266" s="7">
        <v>33987.52</v>
      </c>
      <c r="H1266" s="6">
        <v>10.68</v>
      </c>
      <c r="I1266" t="s">
        <v>2383</v>
      </c>
      <c r="J1266" t="str">
        <f t="shared" si="19"/>
        <v>Aşağı Risk</v>
      </c>
    </row>
    <row r="1267" spans="1:10">
      <c r="A1267">
        <v>843</v>
      </c>
      <c r="B1267">
        <v>428</v>
      </c>
      <c r="C1267" t="str">
        <f>_xlfn.XLOOKUP(B1267,raw_customers!A:A,raw_customers!B:B)</f>
        <v>Mehriban Rzayev</v>
      </c>
      <c r="D1267" t="str">
        <f>_xlfn.XLOOKUP(C1267,raw_customers!B:B,raw_customers!C:C)</f>
        <v>F</v>
      </c>
      <c r="E1267" t="str">
        <f>_xlfn.XLOOKUP(C1267,raw_customers!B:B,raw_customers!G:G)</f>
        <v>Retail</v>
      </c>
      <c r="F1267" t="str">
        <f>_xlfn.XLOOKUP(_xlfn.XLOOKUP(B1267,raw_customers!A:A,raw_customers!F:F),raw_branches!A:A,raw_branches!B:B)</f>
        <v>Lankaran Branch</v>
      </c>
      <c r="G1267" s="7">
        <v>80109.35</v>
      </c>
      <c r="H1267" s="6">
        <v>15.55</v>
      </c>
      <c r="I1267" t="s">
        <v>2377</v>
      </c>
      <c r="J1267" t="str">
        <f t="shared" si="19"/>
        <v>Orta Risk</v>
      </c>
    </row>
    <row r="1268" spans="1:10">
      <c r="A1268">
        <v>844</v>
      </c>
      <c r="B1268">
        <v>361</v>
      </c>
      <c r="C1268" t="str">
        <f>_xlfn.XLOOKUP(B1268,raw_customers!A:A,raw_customers!B:B)</f>
        <v>Kənan Bağırov</v>
      </c>
      <c r="D1268" t="str">
        <f>_xlfn.XLOOKUP(C1268,raw_customers!B:B,raw_customers!C:C)</f>
        <v>M</v>
      </c>
      <c r="E1268" t="str">
        <f>_xlfn.XLOOKUP(C1268,raw_customers!B:B,raw_customers!G:G)</f>
        <v>Retail</v>
      </c>
      <c r="F1268" t="str">
        <f>_xlfn.XLOOKUP(_xlfn.XLOOKUP(B1268,raw_customers!A:A,raw_customers!F:F),raw_branches!A:A,raw_branches!B:B)</f>
        <v>Sumgait Branch</v>
      </c>
      <c r="G1268" s="7">
        <v>13074.92</v>
      </c>
      <c r="H1268" s="6">
        <v>6.63</v>
      </c>
      <c r="I1268" t="s">
        <v>2377</v>
      </c>
      <c r="J1268" t="str">
        <f t="shared" si="19"/>
        <v>Aşağı Risk</v>
      </c>
    </row>
    <row r="1269" spans="1:10">
      <c r="A1269">
        <v>845</v>
      </c>
      <c r="B1269">
        <v>564</v>
      </c>
      <c r="C1269" t="str">
        <f>_xlfn.XLOOKUP(B1269,raw_customers!A:A,raw_customers!B:B)</f>
        <v>Tural Novruzov</v>
      </c>
      <c r="D1269" t="str">
        <f>_xlfn.XLOOKUP(C1269,raw_customers!B:B,raw_customers!C:C)</f>
        <v>M</v>
      </c>
      <c r="E1269" t="str">
        <f>_xlfn.XLOOKUP(C1269,raw_customers!B:B,raw_customers!G:G)</f>
        <v>Retail</v>
      </c>
      <c r="F1269" t="str">
        <f>_xlfn.XLOOKUP(_xlfn.XLOOKUP(B1269,raw_customers!A:A,raw_customers!F:F),raw_branches!A:A,raw_branches!B:B)</f>
        <v>Sheki Branch</v>
      </c>
      <c r="G1269" s="7">
        <v>8579.59</v>
      </c>
      <c r="H1269" s="6">
        <v>18.27</v>
      </c>
      <c r="I1269" t="s">
        <v>2377</v>
      </c>
      <c r="J1269" t="str">
        <f t="shared" si="19"/>
        <v>Yüksək Risk</v>
      </c>
    </row>
    <row r="1270" spans="1:10">
      <c r="A1270">
        <v>846</v>
      </c>
      <c r="B1270">
        <v>180</v>
      </c>
      <c r="C1270" t="str">
        <f>_xlfn.XLOOKUP(B1270,raw_customers!A:A,raw_customers!B:B)</f>
        <v>Şəbnəm Bağırov</v>
      </c>
      <c r="D1270" t="str">
        <f>_xlfn.XLOOKUP(C1270,raw_customers!B:B,raw_customers!C:C)</f>
        <v>F</v>
      </c>
      <c r="E1270" t="str">
        <f>_xlfn.XLOOKUP(C1270,raw_customers!B:B,raw_customers!G:G)</f>
        <v>Retail</v>
      </c>
      <c r="F1270" t="str">
        <f>_xlfn.XLOOKUP(_xlfn.XLOOKUP(B1270,raw_customers!A:A,raw_customers!F:F),raw_branches!A:A,raw_branches!B:B)</f>
        <v>Mingachevir Branch</v>
      </c>
      <c r="G1270" s="7">
        <v>129398.2</v>
      </c>
      <c r="H1270" s="6">
        <v>21.23</v>
      </c>
      <c r="I1270" t="s">
        <v>2383</v>
      </c>
      <c r="J1270" t="str">
        <f t="shared" si="19"/>
        <v>Yüksək Risk</v>
      </c>
    </row>
    <row r="1271" spans="1:10">
      <c r="A1271">
        <v>847</v>
      </c>
      <c r="B1271">
        <v>279</v>
      </c>
      <c r="C1271" t="str">
        <f>_xlfn.XLOOKUP(B1271,raw_customers!A:A,raw_customers!B:B)</f>
        <v>Kamran Tağıyev</v>
      </c>
      <c r="D1271" t="str">
        <f>_xlfn.XLOOKUP(C1271,raw_customers!B:B,raw_customers!C:C)</f>
        <v>M</v>
      </c>
      <c r="E1271" t="str">
        <f>_xlfn.XLOOKUP(C1271,raw_customers!B:B,raw_customers!G:G)</f>
        <v>Retail</v>
      </c>
      <c r="F1271" t="str">
        <f>_xlfn.XLOOKUP(_xlfn.XLOOKUP(B1271,raw_customers!A:A,raw_customers!F:F),raw_branches!A:A,raw_branches!B:B)</f>
        <v>Mingachevir Branch</v>
      </c>
      <c r="G1271" s="7">
        <v>19239.64</v>
      </c>
      <c r="H1271" s="6">
        <v>13.28</v>
      </c>
      <c r="I1271" t="s">
        <v>2393</v>
      </c>
      <c r="J1271" t="str">
        <f t="shared" si="19"/>
        <v>Default (Batıq)</v>
      </c>
    </row>
    <row r="1272" spans="1:10">
      <c r="A1272">
        <v>848</v>
      </c>
      <c r="B1272">
        <v>217</v>
      </c>
      <c r="C1272" t="str">
        <f>_xlfn.XLOOKUP(B1272,raw_customers!A:A,raw_customers!B:B)</f>
        <v>Mehriban Quliyev</v>
      </c>
      <c r="D1272" t="str">
        <f>_xlfn.XLOOKUP(C1272,raw_customers!B:B,raw_customers!C:C)</f>
        <v>F</v>
      </c>
      <c r="E1272" t="str">
        <f>_xlfn.XLOOKUP(C1272,raw_customers!B:B,raw_customers!G:G)</f>
        <v>Retail</v>
      </c>
      <c r="F1272" t="str">
        <f>_xlfn.XLOOKUP(_xlfn.XLOOKUP(B1272,raw_customers!A:A,raw_customers!F:F),raw_branches!A:A,raw_branches!B:B)</f>
        <v>Baku Yasamal</v>
      </c>
      <c r="G1272" s="7">
        <v>12621.11</v>
      </c>
      <c r="H1272" s="6">
        <v>9.08</v>
      </c>
      <c r="I1272" t="s">
        <v>2393</v>
      </c>
      <c r="J1272" t="str">
        <f t="shared" si="19"/>
        <v>Default (Batıq)</v>
      </c>
    </row>
    <row r="1273" spans="1:10">
      <c r="A1273">
        <v>849</v>
      </c>
      <c r="B1273">
        <v>719</v>
      </c>
      <c r="C1273" t="str">
        <f>_xlfn.XLOOKUP(B1273,raw_customers!A:A,raw_customers!B:B)</f>
        <v>Fuad Həsənov</v>
      </c>
      <c r="D1273" t="str">
        <f>_xlfn.XLOOKUP(C1273,raw_customers!B:B,raw_customers!C:C)</f>
        <v>M</v>
      </c>
      <c r="E1273" t="str">
        <f>_xlfn.XLOOKUP(C1273,raw_customers!B:B,raw_customers!G:G)</f>
        <v>SME</v>
      </c>
      <c r="F1273" t="str">
        <f>_xlfn.XLOOKUP(_xlfn.XLOOKUP(B1273,raw_customers!A:A,raw_customers!F:F),raw_branches!A:A,raw_branches!B:B)</f>
        <v>Ganja Branch</v>
      </c>
      <c r="G1273" s="7">
        <v>14461.26</v>
      </c>
      <c r="H1273" s="6">
        <v>10.6</v>
      </c>
      <c r="I1273" t="s">
        <v>2377</v>
      </c>
      <c r="J1273" t="str">
        <f t="shared" si="19"/>
        <v>Aşağı Risk</v>
      </c>
    </row>
    <row r="1274" spans="1:10">
      <c r="A1274">
        <v>850</v>
      </c>
      <c r="B1274">
        <v>608</v>
      </c>
      <c r="C1274" t="str">
        <f>_xlfn.XLOOKUP(B1274,raw_customers!A:A,raw_customers!B:B)</f>
        <v>Fidan Nəbiyev</v>
      </c>
      <c r="D1274" t="str">
        <f>_xlfn.XLOOKUP(C1274,raw_customers!B:B,raw_customers!C:C)</f>
        <v>F</v>
      </c>
      <c r="E1274" t="str">
        <f>_xlfn.XLOOKUP(C1274,raw_customers!B:B,raw_customers!G:G)</f>
        <v>SME</v>
      </c>
      <c r="F1274" t="str">
        <f>_xlfn.XLOOKUP(_xlfn.XLOOKUP(B1274,raw_customers!A:A,raw_customers!F:F),raw_branches!A:A,raw_branches!B:B)</f>
        <v>Sheki Branch</v>
      </c>
      <c r="G1274" s="7">
        <v>31361.61</v>
      </c>
      <c r="H1274" s="6">
        <v>14.78</v>
      </c>
      <c r="I1274" t="s">
        <v>2377</v>
      </c>
      <c r="J1274" t="str">
        <f t="shared" si="19"/>
        <v>Orta Risk</v>
      </c>
    </row>
    <row r="1275" spans="1:10">
      <c r="A1275">
        <v>851</v>
      </c>
      <c r="B1275">
        <v>659</v>
      </c>
      <c r="C1275" t="str">
        <f>_xlfn.XLOOKUP(B1275,raw_customers!A:A,raw_customers!B:B)</f>
        <v>Lalə Rzayev</v>
      </c>
      <c r="D1275" t="str">
        <f>_xlfn.XLOOKUP(C1275,raw_customers!B:B,raw_customers!C:C)</f>
        <v>F</v>
      </c>
      <c r="E1275" t="str">
        <f>_xlfn.XLOOKUP(C1275,raw_customers!B:B,raw_customers!G:G)</f>
        <v>Retail</v>
      </c>
      <c r="F1275" t="str">
        <f>_xlfn.XLOOKUP(_xlfn.XLOOKUP(B1275,raw_customers!A:A,raw_customers!F:F),raw_branches!A:A,raw_branches!B:B)</f>
        <v>Baku Yasamal</v>
      </c>
      <c r="G1275" s="7">
        <v>6288.42</v>
      </c>
      <c r="H1275" s="6">
        <v>15.28</v>
      </c>
      <c r="I1275" t="s">
        <v>2377</v>
      </c>
      <c r="J1275" t="str">
        <f t="shared" si="19"/>
        <v>Orta Risk</v>
      </c>
    </row>
    <row r="1276" spans="1:10">
      <c r="A1276">
        <v>852</v>
      </c>
      <c r="B1276">
        <v>500</v>
      </c>
      <c r="C1276" t="str">
        <f>_xlfn.XLOOKUP(B1276,raw_customers!A:A,raw_customers!B:B)</f>
        <v>Anar Rzayev</v>
      </c>
      <c r="D1276" t="str">
        <f>_xlfn.XLOOKUP(C1276,raw_customers!B:B,raw_customers!C:C)</f>
        <v>M</v>
      </c>
      <c r="E1276" t="str">
        <f>_xlfn.XLOOKUP(C1276,raw_customers!B:B,raw_customers!G:G)</f>
        <v>SME</v>
      </c>
      <c r="F1276" t="str">
        <f>_xlfn.XLOOKUP(_xlfn.XLOOKUP(B1276,raw_customers!A:A,raw_customers!F:F),raw_branches!A:A,raw_branches!B:B)</f>
        <v>Mingachevir Branch</v>
      </c>
      <c r="G1276" s="7">
        <v>27191.78</v>
      </c>
      <c r="H1276" s="6">
        <v>19.04</v>
      </c>
      <c r="I1276" t="s">
        <v>2377</v>
      </c>
      <c r="J1276" t="str">
        <f t="shared" si="19"/>
        <v>Yüksək Risk</v>
      </c>
    </row>
    <row r="1277" spans="1:10">
      <c r="A1277">
        <v>853</v>
      </c>
      <c r="B1277">
        <v>44</v>
      </c>
      <c r="C1277" t="str">
        <f>_xlfn.XLOOKUP(B1277,raw_customers!A:A,raw_customers!B:B)</f>
        <v>Nərmin Cəfərov</v>
      </c>
      <c r="D1277" t="str">
        <f>_xlfn.XLOOKUP(C1277,raw_customers!B:B,raw_customers!C:C)</f>
        <v>F</v>
      </c>
      <c r="E1277" t="str">
        <f>_xlfn.XLOOKUP(C1277,raw_customers!B:B,raw_customers!G:G)</f>
        <v>Retail</v>
      </c>
      <c r="F1277" t="str">
        <f>_xlfn.XLOOKUP(_xlfn.XLOOKUP(B1277,raw_customers!A:A,raw_customers!F:F),raw_branches!A:A,raw_branches!B:B)</f>
        <v>Mingachevir Branch</v>
      </c>
      <c r="G1277" s="7">
        <v>21196.51</v>
      </c>
      <c r="H1277" s="6">
        <v>13.21</v>
      </c>
      <c r="I1277" t="s">
        <v>2383</v>
      </c>
      <c r="J1277" t="str">
        <f t="shared" si="19"/>
        <v>Orta Risk</v>
      </c>
    </row>
    <row r="1278" spans="1:10">
      <c r="A1278">
        <v>854</v>
      </c>
      <c r="B1278">
        <v>546</v>
      </c>
      <c r="C1278" t="str">
        <f>_xlfn.XLOOKUP(B1278,raw_customers!A:A,raw_customers!B:B)</f>
        <v>Fuad Hüseynov</v>
      </c>
      <c r="D1278" t="str">
        <f>_xlfn.XLOOKUP(C1278,raw_customers!B:B,raw_customers!C:C)</f>
        <v>M</v>
      </c>
      <c r="E1278" t="str">
        <f>_xlfn.XLOOKUP(C1278,raw_customers!B:B,raw_customers!G:G)</f>
        <v>Retail</v>
      </c>
      <c r="F1278" t="str">
        <f>_xlfn.XLOOKUP(_xlfn.XLOOKUP(B1278,raw_customers!A:A,raw_customers!F:F),raw_branches!A:A,raw_branches!B:B)</f>
        <v>Mingachevir Branch</v>
      </c>
      <c r="G1278" s="7">
        <v>176697.54</v>
      </c>
      <c r="H1278" s="6">
        <v>5.92</v>
      </c>
      <c r="I1278" t="s">
        <v>2383</v>
      </c>
      <c r="J1278" t="str">
        <f t="shared" si="19"/>
        <v>Aşağı Risk</v>
      </c>
    </row>
    <row r="1279" spans="1:10">
      <c r="A1279">
        <v>855</v>
      </c>
      <c r="B1279">
        <v>876</v>
      </c>
      <c r="C1279" t="str">
        <f>_xlfn.XLOOKUP(B1279,raw_customers!A:A,raw_customers!B:B)</f>
        <v>Elvin Tağıyev</v>
      </c>
      <c r="D1279" t="str">
        <f>_xlfn.XLOOKUP(C1279,raw_customers!B:B,raw_customers!C:C)</f>
        <v>M</v>
      </c>
      <c r="E1279" t="str">
        <f>_xlfn.XLOOKUP(C1279,raw_customers!B:B,raw_customers!G:G)</f>
        <v>Retail</v>
      </c>
      <c r="F1279" t="str">
        <f>_xlfn.XLOOKUP(_xlfn.XLOOKUP(B1279,raw_customers!A:A,raw_customers!F:F),raw_branches!A:A,raw_branches!B:B)</f>
        <v>Baku Central</v>
      </c>
      <c r="G1279" s="7">
        <v>7151.41</v>
      </c>
      <c r="H1279" s="6">
        <v>19.35</v>
      </c>
      <c r="I1279" t="s">
        <v>2377</v>
      </c>
      <c r="J1279" t="str">
        <f t="shared" si="19"/>
        <v>Yüksək Risk</v>
      </c>
    </row>
    <row r="1280" spans="1:10">
      <c r="A1280">
        <v>856</v>
      </c>
      <c r="B1280">
        <v>116</v>
      </c>
      <c r="C1280" t="str">
        <f>_xlfn.XLOOKUP(B1280,raw_customers!A:A,raw_customers!B:B)</f>
        <v>Nərgiz İsmayılov</v>
      </c>
      <c r="D1280" t="str">
        <f>_xlfn.XLOOKUP(C1280,raw_customers!B:B,raw_customers!C:C)</f>
        <v>F</v>
      </c>
      <c r="E1280" t="str">
        <f>_xlfn.XLOOKUP(C1280,raw_customers!B:B,raw_customers!G:G)</f>
        <v>SME</v>
      </c>
      <c r="F1280" t="str">
        <f>_xlfn.XLOOKUP(_xlfn.XLOOKUP(B1280,raw_customers!A:A,raw_customers!F:F),raw_branches!A:A,raw_branches!B:B)</f>
        <v>Sumgait Branch</v>
      </c>
      <c r="G1280" s="7">
        <v>32700.24</v>
      </c>
      <c r="H1280" s="6">
        <v>6.16</v>
      </c>
      <c r="I1280" t="s">
        <v>2377</v>
      </c>
      <c r="J1280" t="str">
        <f t="shared" si="19"/>
        <v>Aşağı Risk</v>
      </c>
    </row>
    <row r="1281" spans="1:10">
      <c r="A1281">
        <v>857</v>
      </c>
      <c r="B1281">
        <v>291</v>
      </c>
      <c r="C1281" t="str">
        <f>_xlfn.XLOOKUP(B1281,raw_customers!A:A,raw_customers!B:B)</f>
        <v>Ülviyyə Həsənov</v>
      </c>
      <c r="D1281" t="str">
        <f>_xlfn.XLOOKUP(C1281,raw_customers!B:B,raw_customers!C:C)</f>
        <v>F</v>
      </c>
      <c r="E1281" t="str">
        <f>_xlfn.XLOOKUP(C1281,raw_customers!B:B,raw_customers!G:G)</f>
        <v>Premium</v>
      </c>
      <c r="F1281" t="str">
        <f>_xlfn.XLOOKUP(_xlfn.XLOOKUP(B1281,raw_customers!A:A,raw_customers!F:F),raw_branches!A:A,raw_branches!B:B)</f>
        <v>Lankaran Branch</v>
      </c>
      <c r="G1281" s="7">
        <v>11425.33</v>
      </c>
      <c r="H1281" s="6">
        <v>5.47</v>
      </c>
      <c r="I1281" t="s">
        <v>2377</v>
      </c>
      <c r="J1281" t="str">
        <f t="shared" si="19"/>
        <v>Aşağı Risk</v>
      </c>
    </row>
    <row r="1282" spans="1:10">
      <c r="A1282">
        <v>858</v>
      </c>
      <c r="B1282">
        <v>988</v>
      </c>
      <c r="C1282" t="str">
        <f>_xlfn.XLOOKUP(B1282,raw_customers!A:A,raw_customers!B:B)</f>
        <v>Mehriban Bağırov</v>
      </c>
      <c r="D1282" t="str">
        <f>_xlfn.XLOOKUP(C1282,raw_customers!B:B,raw_customers!C:C)</f>
        <v>F</v>
      </c>
      <c r="E1282" t="str">
        <f>_xlfn.XLOOKUP(C1282,raw_customers!B:B,raw_customers!G:G)</f>
        <v>SME</v>
      </c>
      <c r="F1282" t="str">
        <f>_xlfn.XLOOKUP(_xlfn.XLOOKUP(B1282,raw_customers!A:A,raw_customers!F:F),raw_branches!A:A,raw_branches!B:B)</f>
        <v>Baku Yasamal</v>
      </c>
      <c r="G1282" s="7">
        <v>3300.77</v>
      </c>
      <c r="H1282" s="6">
        <v>15.44</v>
      </c>
      <c r="I1282" t="s">
        <v>2393</v>
      </c>
      <c r="J1282" t="str">
        <f t="shared" si="19"/>
        <v>Default (Batıq)</v>
      </c>
    </row>
    <row r="1283" spans="1:10">
      <c r="A1283">
        <v>859</v>
      </c>
      <c r="B1283">
        <v>939</v>
      </c>
      <c r="C1283" t="str">
        <f>_xlfn.XLOOKUP(B1283,raw_customers!A:A,raw_customers!B:B)</f>
        <v>Ülviyyə Novruzov</v>
      </c>
      <c r="D1283" t="str">
        <f>_xlfn.XLOOKUP(C1283,raw_customers!B:B,raw_customers!C:C)</f>
        <v>F</v>
      </c>
      <c r="E1283" t="str">
        <f>_xlfn.XLOOKUP(C1283,raw_customers!B:B,raw_customers!G:G)</f>
        <v>Retail</v>
      </c>
      <c r="F1283" t="str">
        <f>_xlfn.XLOOKUP(_xlfn.XLOOKUP(B1283,raw_customers!A:A,raw_customers!F:F),raw_branches!A:A,raw_branches!B:B)</f>
        <v>Baku Central</v>
      </c>
      <c r="G1283" s="7">
        <v>22208.2</v>
      </c>
      <c r="H1283" s="6">
        <v>10.72</v>
      </c>
      <c r="I1283" t="s">
        <v>2377</v>
      </c>
      <c r="J1283" t="str">
        <f t="shared" ref="J1283:J1301" si="20">IF(I1283="Default","Default (Batıq)",IF(H1283&gt;=18,"Yüksək Risk",IF(H1283&gt;=12,"Orta Risk","Aşağı Risk")))</f>
        <v>Aşağı Risk</v>
      </c>
    </row>
    <row r="1284" spans="1:10">
      <c r="A1284">
        <v>860</v>
      </c>
      <c r="B1284">
        <v>410</v>
      </c>
      <c r="C1284" t="str">
        <f>_xlfn.XLOOKUP(B1284,raw_customers!A:A,raw_customers!B:B)</f>
        <v>Leyla Tağıyev</v>
      </c>
      <c r="D1284" t="str">
        <f>_xlfn.XLOOKUP(C1284,raw_customers!B:B,raw_customers!C:C)</f>
        <v>F</v>
      </c>
      <c r="E1284" t="str">
        <f>_xlfn.XLOOKUP(C1284,raw_customers!B:B,raw_customers!G:G)</f>
        <v>SME</v>
      </c>
      <c r="F1284" t="str">
        <f>_xlfn.XLOOKUP(_xlfn.XLOOKUP(B1284,raw_customers!A:A,raw_customers!F:F),raw_branches!A:A,raw_branches!B:B)</f>
        <v>Sheki Branch</v>
      </c>
      <c r="G1284" s="7">
        <v>11459.17</v>
      </c>
      <c r="H1284" s="6">
        <v>9.83</v>
      </c>
      <c r="I1284" t="s">
        <v>2377</v>
      </c>
      <c r="J1284" t="str">
        <f t="shared" si="20"/>
        <v>Aşağı Risk</v>
      </c>
    </row>
    <row r="1285" spans="1:10">
      <c r="A1285">
        <v>861</v>
      </c>
      <c r="B1285">
        <v>513</v>
      </c>
      <c r="C1285" t="str">
        <f>_xlfn.XLOOKUP(B1285,raw_customers!A:A,raw_customers!B:B)</f>
        <v>Emin Cəfərov</v>
      </c>
      <c r="D1285" t="str">
        <f>_xlfn.XLOOKUP(C1285,raw_customers!B:B,raw_customers!C:C)</f>
        <v>M</v>
      </c>
      <c r="E1285" t="str">
        <f>_xlfn.XLOOKUP(C1285,raw_customers!B:B,raw_customers!G:G)</f>
        <v>Retail</v>
      </c>
      <c r="F1285" t="str">
        <f>_xlfn.XLOOKUP(_xlfn.XLOOKUP(B1285,raw_customers!A:A,raw_customers!F:F),raw_branches!A:A,raw_branches!B:B)</f>
        <v>Mingachevir Branch</v>
      </c>
      <c r="G1285" s="7">
        <v>8433.45</v>
      </c>
      <c r="H1285" s="6">
        <v>19.27</v>
      </c>
      <c r="I1285" t="s">
        <v>2377</v>
      </c>
      <c r="J1285" t="str">
        <f t="shared" si="20"/>
        <v>Yüksək Risk</v>
      </c>
    </row>
    <row r="1286" spans="1:10">
      <c r="A1286">
        <v>862</v>
      </c>
      <c r="B1286">
        <v>894</v>
      </c>
      <c r="C1286" t="str">
        <f>_xlfn.XLOOKUP(B1286,raw_customers!A:A,raw_customers!B:B)</f>
        <v>Nərgiz Nəbiyev</v>
      </c>
      <c r="D1286" t="str">
        <f>_xlfn.XLOOKUP(C1286,raw_customers!B:B,raw_customers!C:C)</f>
        <v>F</v>
      </c>
      <c r="E1286" t="str">
        <f>_xlfn.XLOOKUP(C1286,raw_customers!B:B,raw_customers!G:G)</f>
        <v>SME</v>
      </c>
      <c r="F1286" t="str">
        <f>_xlfn.XLOOKUP(_xlfn.XLOOKUP(B1286,raw_customers!A:A,raw_customers!F:F),raw_branches!A:A,raw_branches!B:B)</f>
        <v>Mingachevir Branch</v>
      </c>
      <c r="G1286" s="7">
        <v>125418.86</v>
      </c>
      <c r="H1286" s="6">
        <v>19.31</v>
      </c>
      <c r="I1286" t="s">
        <v>2377</v>
      </c>
      <c r="J1286" t="str">
        <f t="shared" si="20"/>
        <v>Yüksək Risk</v>
      </c>
    </row>
    <row r="1287" spans="1:10">
      <c r="A1287">
        <v>863</v>
      </c>
      <c r="B1287">
        <v>216</v>
      </c>
      <c r="C1287" t="str">
        <f>_xlfn.XLOOKUP(B1287,raw_customers!A:A,raw_customers!B:B)</f>
        <v>Kamran Quliyev</v>
      </c>
      <c r="D1287" t="str">
        <f>_xlfn.XLOOKUP(C1287,raw_customers!B:B,raw_customers!C:C)</f>
        <v>M</v>
      </c>
      <c r="E1287" t="str">
        <f>_xlfn.XLOOKUP(C1287,raw_customers!B:B,raw_customers!G:G)</f>
        <v>Retail</v>
      </c>
      <c r="F1287" t="str">
        <f>_xlfn.XLOOKUP(_xlfn.XLOOKUP(B1287,raw_customers!A:A,raw_customers!F:F),raw_branches!A:A,raw_branches!B:B)</f>
        <v>Baku Yasamal</v>
      </c>
      <c r="G1287" s="7">
        <v>110739.5</v>
      </c>
      <c r="H1287" s="6">
        <v>16.46</v>
      </c>
      <c r="I1287" t="s">
        <v>2377</v>
      </c>
      <c r="J1287" t="str">
        <f t="shared" si="20"/>
        <v>Orta Risk</v>
      </c>
    </row>
    <row r="1288" spans="1:10">
      <c r="A1288">
        <v>864</v>
      </c>
      <c r="B1288">
        <v>855</v>
      </c>
      <c r="C1288" t="str">
        <f>_xlfn.XLOOKUP(B1288,raw_customers!A:A,raw_customers!B:B)</f>
        <v>Səbinə Sadıqov</v>
      </c>
      <c r="D1288" t="str">
        <f>_xlfn.XLOOKUP(C1288,raw_customers!B:B,raw_customers!C:C)</f>
        <v>F</v>
      </c>
      <c r="E1288" t="str">
        <f>_xlfn.XLOOKUP(C1288,raw_customers!B:B,raw_customers!G:G)</f>
        <v>Retail</v>
      </c>
      <c r="F1288" t="str">
        <f>_xlfn.XLOOKUP(_xlfn.XLOOKUP(B1288,raw_customers!A:A,raw_customers!F:F),raw_branches!A:A,raw_branches!B:B)</f>
        <v>Mingachevir Branch</v>
      </c>
      <c r="G1288" s="7">
        <v>96755.41</v>
      </c>
      <c r="H1288" s="6">
        <v>15.53</v>
      </c>
      <c r="I1288" t="s">
        <v>2377</v>
      </c>
      <c r="J1288" t="str">
        <f t="shared" si="20"/>
        <v>Orta Risk</v>
      </c>
    </row>
    <row r="1289" spans="1:10">
      <c r="A1289">
        <v>865</v>
      </c>
      <c r="B1289">
        <v>1000</v>
      </c>
      <c r="C1289" t="str">
        <f>_xlfn.XLOOKUP(B1289,raw_customers!A:A,raw_customers!B:B)</f>
        <v>Zeynəb Vəliyev</v>
      </c>
      <c r="D1289" t="str">
        <f>_xlfn.XLOOKUP(C1289,raw_customers!B:B,raw_customers!C:C)</f>
        <v>F</v>
      </c>
      <c r="E1289" t="str">
        <f>_xlfn.XLOOKUP(C1289,raw_customers!B:B,raw_customers!G:G)</f>
        <v>Premium</v>
      </c>
      <c r="F1289" t="str">
        <f>_xlfn.XLOOKUP(_xlfn.XLOOKUP(B1289,raw_customers!A:A,raw_customers!F:F),raw_branches!A:A,raw_branches!B:B)</f>
        <v>Sumgait Branch</v>
      </c>
      <c r="G1289" s="7">
        <v>78957.32</v>
      </c>
      <c r="H1289" s="6">
        <v>21.73</v>
      </c>
      <c r="I1289" t="s">
        <v>2383</v>
      </c>
      <c r="J1289" t="str">
        <f t="shared" si="20"/>
        <v>Yüksək Risk</v>
      </c>
    </row>
    <row r="1290" spans="1:10">
      <c r="A1290">
        <v>866</v>
      </c>
      <c r="B1290">
        <v>498</v>
      </c>
      <c r="C1290" t="str">
        <f>_xlfn.XLOOKUP(B1290,raw_customers!A:A,raw_customers!B:B)</f>
        <v>Lalə Vəliyev</v>
      </c>
      <c r="D1290" t="str">
        <f>_xlfn.XLOOKUP(C1290,raw_customers!B:B,raw_customers!C:C)</f>
        <v>F</v>
      </c>
      <c r="E1290" t="str">
        <f>_xlfn.XLOOKUP(C1290,raw_customers!B:B,raw_customers!G:G)</f>
        <v>Premium</v>
      </c>
      <c r="F1290" t="str">
        <f>_xlfn.XLOOKUP(_xlfn.XLOOKUP(B1290,raw_customers!A:A,raw_customers!F:F),raw_branches!A:A,raw_branches!B:B)</f>
        <v>Baku Yasamal</v>
      </c>
      <c r="G1290" s="7">
        <v>9511.81</v>
      </c>
      <c r="H1290" s="6">
        <v>9.96</v>
      </c>
      <c r="I1290" t="s">
        <v>2393</v>
      </c>
      <c r="J1290" t="str">
        <f t="shared" si="20"/>
        <v>Default (Batıq)</v>
      </c>
    </row>
    <row r="1291" spans="1:10">
      <c r="A1291">
        <v>867</v>
      </c>
      <c r="B1291">
        <v>690</v>
      </c>
      <c r="C1291" t="str">
        <f>_xlfn.XLOOKUP(B1291,raw_customers!A:A,raw_customers!B:B)</f>
        <v>Günel Rəhimov</v>
      </c>
      <c r="D1291" t="str">
        <f>_xlfn.XLOOKUP(C1291,raw_customers!B:B,raw_customers!C:C)</f>
        <v>F</v>
      </c>
      <c r="E1291" t="str">
        <f>_xlfn.XLOOKUP(C1291,raw_customers!B:B,raw_customers!G:G)</f>
        <v>SME</v>
      </c>
      <c r="F1291" t="str">
        <f>_xlfn.XLOOKUP(_xlfn.XLOOKUP(B1291,raw_customers!A:A,raw_customers!F:F),raw_branches!A:A,raw_branches!B:B)</f>
        <v>Baku Central</v>
      </c>
      <c r="G1291" s="7">
        <v>6868.99</v>
      </c>
      <c r="H1291" s="6">
        <v>12.96</v>
      </c>
      <c r="I1291" t="s">
        <v>2377</v>
      </c>
      <c r="J1291" t="str">
        <f t="shared" si="20"/>
        <v>Orta Risk</v>
      </c>
    </row>
    <row r="1292" spans="1:10">
      <c r="A1292">
        <v>868</v>
      </c>
      <c r="B1292">
        <v>806</v>
      </c>
      <c r="C1292" t="str">
        <f>_xlfn.XLOOKUP(B1292,raw_customers!A:A,raw_customers!B:B)</f>
        <v>Vüqar Bağırov</v>
      </c>
      <c r="D1292" t="str">
        <f>_xlfn.XLOOKUP(C1292,raw_customers!B:B,raw_customers!C:C)</f>
        <v>M</v>
      </c>
      <c r="E1292" t="str">
        <f>_xlfn.XLOOKUP(C1292,raw_customers!B:B,raw_customers!G:G)</f>
        <v>Premium</v>
      </c>
      <c r="F1292" t="str">
        <f>_xlfn.XLOOKUP(_xlfn.XLOOKUP(B1292,raw_customers!A:A,raw_customers!F:F),raw_branches!A:A,raw_branches!B:B)</f>
        <v>Ganja Branch</v>
      </c>
      <c r="G1292" s="7">
        <v>4238.11</v>
      </c>
      <c r="H1292" s="6">
        <v>16.71</v>
      </c>
      <c r="I1292" t="s">
        <v>2377</v>
      </c>
      <c r="J1292" t="str">
        <f t="shared" si="20"/>
        <v>Orta Risk</v>
      </c>
    </row>
    <row r="1293" spans="1:10">
      <c r="A1293">
        <v>869</v>
      </c>
      <c r="B1293">
        <v>129</v>
      </c>
      <c r="C1293" t="str">
        <f>_xlfn.XLOOKUP(B1293,raw_customers!A:A,raw_customers!B:B)</f>
        <v>Lalə Əliyev</v>
      </c>
      <c r="D1293" t="str">
        <f>_xlfn.XLOOKUP(C1293,raw_customers!B:B,raw_customers!C:C)</f>
        <v>F</v>
      </c>
      <c r="E1293" t="str">
        <f>_xlfn.XLOOKUP(C1293,raw_customers!B:B,raw_customers!G:G)</f>
        <v>SME</v>
      </c>
      <c r="F1293" t="str">
        <f>_xlfn.XLOOKUP(_xlfn.XLOOKUP(B1293,raw_customers!A:A,raw_customers!F:F),raw_branches!A:A,raw_branches!B:B)</f>
        <v>Sumgait Branch</v>
      </c>
      <c r="G1293" s="7">
        <v>8984.08</v>
      </c>
      <c r="H1293" s="6">
        <v>20.96</v>
      </c>
      <c r="I1293" t="s">
        <v>2383</v>
      </c>
      <c r="J1293" t="str">
        <f t="shared" si="20"/>
        <v>Yüksək Risk</v>
      </c>
    </row>
    <row r="1294" spans="1:10">
      <c r="A1294">
        <v>870</v>
      </c>
      <c r="B1294">
        <v>233</v>
      </c>
      <c r="C1294" t="str">
        <f>_xlfn.XLOOKUP(B1294,raw_customers!A:A,raw_customers!B:B)</f>
        <v>Vüqar Nəbiyev</v>
      </c>
      <c r="D1294" t="str">
        <f>_xlfn.XLOOKUP(C1294,raw_customers!B:B,raw_customers!C:C)</f>
        <v>M</v>
      </c>
      <c r="E1294" t="str">
        <f>_xlfn.XLOOKUP(C1294,raw_customers!B:B,raw_customers!G:G)</f>
        <v>SME</v>
      </c>
      <c r="F1294" t="str">
        <f>_xlfn.XLOOKUP(_xlfn.XLOOKUP(B1294,raw_customers!A:A,raw_customers!F:F),raw_branches!A:A,raw_branches!B:B)</f>
        <v>Baku Central</v>
      </c>
      <c r="G1294" s="7">
        <v>58680.12</v>
      </c>
      <c r="H1294" s="6">
        <v>12.31</v>
      </c>
      <c r="I1294" t="s">
        <v>2377</v>
      </c>
      <c r="J1294" t="str">
        <f t="shared" si="20"/>
        <v>Orta Risk</v>
      </c>
    </row>
    <row r="1295" spans="1:10">
      <c r="A1295">
        <v>871</v>
      </c>
      <c r="B1295">
        <v>595</v>
      </c>
      <c r="C1295" t="str">
        <f>_xlfn.XLOOKUP(B1295,raw_customers!A:A,raw_customers!B:B)</f>
        <v>Lalə Vəliyev</v>
      </c>
      <c r="D1295" t="str">
        <f>_xlfn.XLOOKUP(C1295,raw_customers!B:B,raw_customers!C:C)</f>
        <v>F</v>
      </c>
      <c r="E1295" t="str">
        <f>_xlfn.XLOOKUP(C1295,raw_customers!B:B,raw_customers!G:G)</f>
        <v>Premium</v>
      </c>
      <c r="F1295" t="str">
        <f>_xlfn.XLOOKUP(_xlfn.XLOOKUP(B1295,raw_customers!A:A,raw_customers!F:F),raw_branches!A:A,raw_branches!B:B)</f>
        <v>Lankaran Branch</v>
      </c>
      <c r="G1295" s="7">
        <v>112097.64</v>
      </c>
      <c r="H1295" s="6">
        <v>18.99</v>
      </c>
      <c r="I1295" t="s">
        <v>2377</v>
      </c>
      <c r="J1295" t="str">
        <f t="shared" si="20"/>
        <v>Yüksək Risk</v>
      </c>
    </row>
    <row r="1296" spans="1:10">
      <c r="A1296">
        <v>872</v>
      </c>
      <c r="B1296">
        <v>212</v>
      </c>
      <c r="C1296" t="str">
        <f>_xlfn.XLOOKUP(B1296,raw_customers!A:A,raw_customers!B:B)</f>
        <v>Zaur Hüseynov</v>
      </c>
      <c r="D1296" t="str">
        <f>_xlfn.XLOOKUP(C1296,raw_customers!B:B,raw_customers!C:C)</f>
        <v>M</v>
      </c>
      <c r="E1296" t="str">
        <f>_xlfn.XLOOKUP(C1296,raw_customers!B:B,raw_customers!G:G)</f>
        <v>SME</v>
      </c>
      <c r="F1296" t="str">
        <f>_xlfn.XLOOKUP(_xlfn.XLOOKUP(B1296,raw_customers!A:A,raw_customers!F:F),raw_branches!A:A,raw_branches!B:B)</f>
        <v>Baku Yasamal</v>
      </c>
      <c r="G1296" s="7">
        <v>1771.08</v>
      </c>
      <c r="H1296" s="6">
        <v>6.52</v>
      </c>
      <c r="I1296" t="s">
        <v>2377</v>
      </c>
      <c r="J1296" t="str">
        <f t="shared" si="20"/>
        <v>Aşağı Risk</v>
      </c>
    </row>
    <row r="1297" spans="1:10">
      <c r="A1297">
        <v>873</v>
      </c>
      <c r="B1297">
        <v>190</v>
      </c>
      <c r="C1297" t="str">
        <f>_xlfn.XLOOKUP(B1297,raw_customers!A:A,raw_customers!B:B)</f>
        <v>Səbinə Hüseynov</v>
      </c>
      <c r="D1297" t="str">
        <f>_xlfn.XLOOKUP(C1297,raw_customers!B:B,raw_customers!C:C)</f>
        <v>F</v>
      </c>
      <c r="E1297" t="str">
        <f>_xlfn.XLOOKUP(C1297,raw_customers!B:B,raw_customers!G:G)</f>
        <v>Retail</v>
      </c>
      <c r="F1297" t="str">
        <f>_xlfn.XLOOKUP(_xlfn.XLOOKUP(B1297,raw_customers!A:A,raw_customers!F:F),raw_branches!A:A,raw_branches!B:B)</f>
        <v>Baku Yasamal</v>
      </c>
      <c r="G1297" s="7">
        <v>4495.15</v>
      </c>
      <c r="H1297" s="6">
        <v>15.36</v>
      </c>
      <c r="I1297" t="s">
        <v>2377</v>
      </c>
      <c r="J1297" t="str">
        <f t="shared" si="20"/>
        <v>Orta Risk</v>
      </c>
    </row>
    <row r="1298" spans="1:10">
      <c r="A1298">
        <v>874</v>
      </c>
      <c r="B1298">
        <v>915</v>
      </c>
      <c r="C1298" t="str">
        <f>_xlfn.XLOOKUP(B1298,raw_customers!A:A,raw_customers!B:B)</f>
        <v>Leyla Məmmədov</v>
      </c>
      <c r="D1298" t="str">
        <f>_xlfn.XLOOKUP(C1298,raw_customers!B:B,raw_customers!C:C)</f>
        <v>F</v>
      </c>
      <c r="E1298" t="str">
        <f>_xlfn.XLOOKUP(C1298,raw_customers!B:B,raw_customers!G:G)</f>
        <v>Retail</v>
      </c>
      <c r="F1298" t="str">
        <f>_xlfn.XLOOKUP(_xlfn.XLOOKUP(B1298,raw_customers!A:A,raw_customers!F:F),raw_branches!A:A,raw_branches!B:B)</f>
        <v>Ganja Branch</v>
      </c>
      <c r="G1298" s="7">
        <v>35280.97</v>
      </c>
      <c r="H1298" s="6">
        <v>19.96</v>
      </c>
      <c r="I1298" t="s">
        <v>2377</v>
      </c>
      <c r="J1298" t="str">
        <f t="shared" si="20"/>
        <v>Yüksək Risk</v>
      </c>
    </row>
    <row r="1299" spans="1:10">
      <c r="A1299">
        <v>875</v>
      </c>
      <c r="B1299">
        <v>582</v>
      </c>
      <c r="C1299" t="str">
        <f>_xlfn.XLOOKUP(B1299,raw_customers!A:A,raw_customers!B:B)</f>
        <v>Samir Bağırov</v>
      </c>
      <c r="D1299" t="str">
        <f>_xlfn.XLOOKUP(C1299,raw_customers!B:B,raw_customers!C:C)</f>
        <v>M</v>
      </c>
      <c r="E1299" t="str">
        <f>_xlfn.XLOOKUP(C1299,raw_customers!B:B,raw_customers!G:G)</f>
        <v>Retail</v>
      </c>
      <c r="F1299" t="str">
        <f>_xlfn.XLOOKUP(_xlfn.XLOOKUP(B1299,raw_customers!A:A,raw_customers!F:F),raw_branches!A:A,raw_branches!B:B)</f>
        <v>Baku Central</v>
      </c>
      <c r="G1299" s="7">
        <v>52428.71</v>
      </c>
      <c r="H1299" s="6">
        <v>16.82</v>
      </c>
      <c r="I1299" t="s">
        <v>2377</v>
      </c>
      <c r="J1299" t="str">
        <f t="shared" si="20"/>
        <v>Orta Risk</v>
      </c>
    </row>
    <row r="1300" spans="1:10">
      <c r="A1300">
        <v>876</v>
      </c>
      <c r="B1300">
        <v>678</v>
      </c>
      <c r="C1300" t="str">
        <f>_xlfn.XLOOKUP(B1300,raw_customers!A:A,raw_customers!B:B)</f>
        <v>Ülviyyə Rəhimov</v>
      </c>
      <c r="D1300" t="str">
        <f>_xlfn.XLOOKUP(C1300,raw_customers!B:B,raw_customers!C:C)</f>
        <v>F</v>
      </c>
      <c r="E1300" t="str">
        <f>_xlfn.XLOOKUP(C1300,raw_customers!B:B,raw_customers!G:G)</f>
        <v>SME</v>
      </c>
      <c r="F1300" t="str">
        <f>_xlfn.XLOOKUP(_xlfn.XLOOKUP(B1300,raw_customers!A:A,raw_customers!F:F),raw_branches!A:A,raw_branches!B:B)</f>
        <v>Baku Yasamal</v>
      </c>
      <c r="G1300" s="7">
        <v>9348.2</v>
      </c>
      <c r="H1300" s="6">
        <v>5.29</v>
      </c>
      <c r="I1300" t="s">
        <v>2377</v>
      </c>
      <c r="J1300" t="str">
        <f t="shared" si="20"/>
        <v>Aşağı Risk</v>
      </c>
    </row>
    <row r="1301" spans="1:10">
      <c r="A1301">
        <v>877</v>
      </c>
      <c r="B1301">
        <v>661</v>
      </c>
      <c r="C1301" t="str">
        <f>_xlfn.XLOOKUP(B1301,raw_customers!A:A,raw_customers!B:B)</f>
        <v>Kənan Cəfərov</v>
      </c>
      <c r="D1301" t="str">
        <f>_xlfn.XLOOKUP(C1301,raw_customers!B:B,raw_customers!C:C)</f>
        <v>M</v>
      </c>
      <c r="E1301" t="str">
        <f>_xlfn.XLOOKUP(C1301,raw_customers!B:B,raw_customers!G:G)</f>
        <v>Premium</v>
      </c>
      <c r="F1301" t="str">
        <f>_xlfn.XLOOKUP(_xlfn.XLOOKUP(B1301,raw_customers!A:A,raw_customers!F:F),raw_branches!A:A,raw_branches!B:B)</f>
        <v>Sumgait Branch</v>
      </c>
      <c r="G1301" s="7">
        <v>69139.55</v>
      </c>
      <c r="H1301" s="6">
        <v>12.58</v>
      </c>
      <c r="I1301" t="s">
        <v>2393</v>
      </c>
      <c r="J1301" t="str">
        <f t="shared" si="20"/>
        <v>Default (Batıq)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5" sqref="B15"/>
    </sheetView>
  </sheetViews>
  <sheetFormatPr defaultColWidth="8.88888888888889" defaultRowHeight="14.4" outlineLevelRow="7" outlineLevelCol="1"/>
  <cols>
    <col min="1" max="1" width="28" customWidth="1"/>
    <col min="2" max="2" width="18.6666666666667"/>
  </cols>
  <sheetData>
    <row r="1" spans="1:2">
      <c r="A1" t="s">
        <v>3046</v>
      </c>
      <c r="B1" s="3">
        <f>SUM(analytics_data!G:G)</f>
        <v>61454830.53</v>
      </c>
    </row>
    <row r="2" spans="1:2">
      <c r="A2" t="s">
        <v>3047</v>
      </c>
      <c r="B2" s="4">
        <f>COUNTA(analytics_data!A:A)-1</f>
        <v>1300</v>
      </c>
    </row>
    <row r="3" spans="1:2">
      <c r="A3" t="s">
        <v>3048</v>
      </c>
      <c r="B3" s="4">
        <f>AVERAGE(analytics_data!G:G)</f>
        <v>47272.9465615385</v>
      </c>
    </row>
    <row r="4" spans="1:2">
      <c r="A4" t="s">
        <v>3049</v>
      </c>
      <c r="B4" s="5">
        <f>AVERAGE(analytics_data!H:H)</f>
        <v>13.4183076923077</v>
      </c>
    </row>
    <row r="5" spans="1:2">
      <c r="A5" t="s">
        <v>3050</v>
      </c>
      <c r="B5" s="4">
        <f>COUNTIF(analytics_data!I:I,"Default")</f>
        <v>128</v>
      </c>
    </row>
    <row r="6" spans="1:2">
      <c r="A6" t="s">
        <v>3051</v>
      </c>
      <c r="B6" s="4">
        <f>SUMIF(analytics_data!I:I,"Default",analytics_data!G:G)</f>
        <v>5291947.66</v>
      </c>
    </row>
    <row r="7" spans="1:2">
      <c r="A7" t="s">
        <v>3052</v>
      </c>
      <c r="B7" s="4">
        <f>COUNTIF(analytics_data!J:J,"Yüksək Risk")</f>
        <v>273</v>
      </c>
    </row>
    <row r="8" spans="1:2">
      <c r="A8" t="s">
        <v>3053</v>
      </c>
      <c r="B8" s="4">
        <f>SUMIFS(analytics_data!G:G,analytics_data!F:F,"Baku Yasamal",analytics_data!I:I,"Default")</f>
        <v>520639.49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opLeftCell="A2" workbookViewId="0">
      <selection activeCell="C28" sqref="C28:C29"/>
    </sheetView>
  </sheetViews>
  <sheetFormatPr defaultColWidth="8.88888888888889" defaultRowHeight="14.4"/>
  <cols>
    <col min="1" max="1" width="18.6666666666667"/>
    <col min="2" max="3" width="19.7777777777778"/>
    <col min="5" max="5" width="20.7777777777778"/>
    <col min="6" max="9" width="15"/>
    <col min="10" max="10" width="12.8888888888889"/>
  </cols>
  <sheetData>
    <row r="1" spans="1:10">
      <c r="A1" t="s">
        <v>3044</v>
      </c>
      <c r="B1" t="s">
        <v>3054</v>
      </c>
    </row>
    <row r="2" spans="1:10">
      <c r="E2" t="s">
        <v>3055</v>
      </c>
      <c r="F2" t="s">
        <v>3045</v>
      </c>
    </row>
    <row r="3" spans="1:10">
      <c r="A3" t="s">
        <v>3041</v>
      </c>
      <c r="B3" t="s">
        <v>3055</v>
      </c>
      <c r="C3" t="s">
        <v>3056</v>
      </c>
      <c r="E3" t="s">
        <v>3040</v>
      </c>
      <c r="F3" t="s">
        <v>3057</v>
      </c>
      <c r="G3" t="s">
        <v>3058</v>
      </c>
      <c r="H3" t="s">
        <v>3059</v>
      </c>
      <c r="I3" t="s">
        <v>3060</v>
      </c>
      <c r="J3" t="s">
        <v>3061</v>
      </c>
    </row>
    <row r="4" spans="1:10">
      <c r="A4" t="s">
        <v>3030</v>
      </c>
      <c r="B4" s="1">
        <v>171293</v>
      </c>
      <c r="C4" s="2">
        <v>195</v>
      </c>
      <c r="E4" t="s">
        <v>12</v>
      </c>
      <c r="F4" s="1">
        <v>203530</v>
      </c>
      <c r="G4" s="1">
        <v>60940</v>
      </c>
      <c r="H4" s="1">
        <v>3823</v>
      </c>
      <c r="I4" s="1">
        <v>344617</v>
      </c>
      <c r="J4" s="1">
        <v>612910</v>
      </c>
    </row>
    <row r="5" spans="1:10">
      <c r="A5" t="s">
        <v>3031</v>
      </c>
      <c r="B5" s="1">
        <v>126473</v>
      </c>
      <c r="C5" s="2">
        <v>206</v>
      </c>
      <c r="E5" t="s">
        <v>25</v>
      </c>
      <c r="F5" s="1">
        <v>190684</v>
      </c>
      <c r="G5" s="1">
        <v>113414</v>
      </c>
      <c r="H5" s="1">
        <v>13059</v>
      </c>
      <c r="I5" s="1">
        <v>10528</v>
      </c>
      <c r="J5" s="1">
        <v>327685</v>
      </c>
    </row>
    <row r="6" spans="1:10">
      <c r="A6" t="s">
        <v>3032</v>
      </c>
      <c r="B6" s="1">
        <v>190516</v>
      </c>
      <c r="C6" s="2">
        <v>190</v>
      </c>
      <c r="E6" t="s">
        <v>3061</v>
      </c>
      <c r="F6" s="1">
        <v>394214</v>
      </c>
      <c r="G6" s="1">
        <v>174354</v>
      </c>
      <c r="H6" s="1">
        <v>16882</v>
      </c>
      <c r="I6" s="1">
        <v>355145</v>
      </c>
      <c r="J6" s="1">
        <v>940595</v>
      </c>
    </row>
    <row r="7" spans="1:10">
      <c r="A7" t="s">
        <v>3036</v>
      </c>
      <c r="B7" s="1">
        <v>82697</v>
      </c>
      <c r="C7" s="2">
        <v>162</v>
      </c>
    </row>
    <row r="8" spans="1:10">
      <c r="A8" t="s">
        <v>3034</v>
      </c>
      <c r="B8" s="1">
        <v>11045</v>
      </c>
      <c r="C8" s="2">
        <v>191</v>
      </c>
    </row>
    <row r="9" spans="1:10">
      <c r="A9" t="s">
        <v>3035</v>
      </c>
      <c r="B9" s="1">
        <v>326934</v>
      </c>
      <c r="C9" s="2">
        <v>155</v>
      </c>
    </row>
    <row r="10" spans="1:10">
      <c r="A10" t="s">
        <v>3033</v>
      </c>
      <c r="B10" s="1">
        <v>31637</v>
      </c>
      <c r="C10" s="2">
        <v>201</v>
      </c>
    </row>
    <row r="11" spans="1:10">
      <c r="A11" t="s">
        <v>3061</v>
      </c>
      <c r="B11" s="1">
        <v>940595</v>
      </c>
      <c r="C11" s="2">
        <v>1300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6"/>
  <sheetViews>
    <sheetView tabSelected="1" workbookViewId="0">
      <selection activeCell="F24" sqref="F24"/>
    </sheetView>
  </sheetViews>
  <sheetFormatPr defaultColWidth="8.88888888888889" defaultRowHeight="14.4" outlineLevelCol="2"/>
  <cols>
    <col min="1" max="2" width="20.8888888888889"/>
    <col min="3" max="3" width="29.8888888888889"/>
  </cols>
  <sheetData>
    <row r="3" spans="1:3">
      <c r="A3" t="s">
        <v>3062</v>
      </c>
      <c r="B3" t="s">
        <v>2374</v>
      </c>
      <c r="C3" t="s">
        <v>3063</v>
      </c>
    </row>
    <row r="4" spans="1:3">
      <c r="A4" t="s">
        <v>3064</v>
      </c>
    </row>
    <row r="5" spans="1:3">
      <c r="B5" t="s">
        <v>3065</v>
      </c>
      <c r="C5">
        <v>634514.17</v>
      </c>
    </row>
    <row r="6" spans="1:3">
      <c r="B6" t="s">
        <v>3066</v>
      </c>
      <c r="C6">
        <v>794285.75</v>
      </c>
    </row>
    <row r="7" spans="1:3">
      <c r="B7" t="s">
        <v>3067</v>
      </c>
      <c r="C7">
        <v>925804.31</v>
      </c>
    </row>
    <row r="8" spans="1:3">
      <c r="B8" t="s">
        <v>3068</v>
      </c>
      <c r="C8">
        <v>1045595.47</v>
      </c>
    </row>
    <row r="9" spans="1:3">
      <c r="B9" t="s">
        <v>3069</v>
      </c>
      <c r="C9">
        <v>1234521.93</v>
      </c>
    </row>
    <row r="10" spans="1:3">
      <c r="B10" t="s">
        <v>3070</v>
      </c>
      <c r="C10">
        <v>1715549.34</v>
      </c>
    </row>
    <row r="11" spans="1:3">
      <c r="B11" t="s">
        <v>3071</v>
      </c>
      <c r="C11">
        <v>1151595.8</v>
      </c>
    </row>
    <row r="12" spans="1:3">
      <c r="B12" t="s">
        <v>3072</v>
      </c>
      <c r="C12">
        <v>783593.98</v>
      </c>
    </row>
    <row r="13" spans="1:3">
      <c r="B13" t="s">
        <v>3073</v>
      </c>
      <c r="C13">
        <v>639286.64</v>
      </c>
    </row>
    <row r="14" spans="1:3">
      <c r="B14" t="s">
        <v>3074</v>
      </c>
      <c r="C14">
        <v>684050.18</v>
      </c>
    </row>
    <row r="15" spans="1:3">
      <c r="B15" t="s">
        <v>3075</v>
      </c>
      <c r="C15">
        <v>1054531.86</v>
      </c>
    </row>
    <row r="16" spans="1:3">
      <c r="B16" t="s">
        <v>3076</v>
      </c>
      <c r="C16">
        <v>722831.74</v>
      </c>
    </row>
    <row r="17" spans="1:3">
      <c r="A17" t="s">
        <v>3077</v>
      </c>
    </row>
    <row r="18" spans="1:3">
      <c r="B18" t="s">
        <v>3065</v>
      </c>
      <c r="C18">
        <v>965843.16</v>
      </c>
    </row>
    <row r="19" spans="1:3">
      <c r="B19" t="s">
        <v>3066</v>
      </c>
      <c r="C19">
        <v>725695.5</v>
      </c>
    </row>
    <row r="20" spans="1:3">
      <c r="B20" t="s">
        <v>3067</v>
      </c>
      <c r="C20">
        <v>1394894.94</v>
      </c>
    </row>
    <row r="21" spans="1:3">
      <c r="B21" t="s">
        <v>3068</v>
      </c>
      <c r="C21">
        <v>876423.19</v>
      </c>
    </row>
    <row r="22" spans="1:3">
      <c r="B22" t="s">
        <v>3069</v>
      </c>
      <c r="C22">
        <v>1340895</v>
      </c>
    </row>
    <row r="23" spans="1:3">
      <c r="B23" t="s">
        <v>3070</v>
      </c>
      <c r="C23">
        <v>530049.28</v>
      </c>
    </row>
    <row r="24" spans="1:3">
      <c r="B24" t="s">
        <v>3071</v>
      </c>
      <c r="C24">
        <v>888773.94</v>
      </c>
    </row>
    <row r="25" spans="1:3">
      <c r="B25" t="s">
        <v>3072</v>
      </c>
      <c r="C25">
        <v>1167187.95</v>
      </c>
    </row>
    <row r="26" spans="1:3">
      <c r="B26" t="s">
        <v>3073</v>
      </c>
      <c r="C26">
        <v>741566.46</v>
      </c>
    </row>
    <row r="27" spans="1:3">
      <c r="B27" t="s">
        <v>3074</v>
      </c>
      <c r="C27">
        <v>510068.58</v>
      </c>
    </row>
    <row r="28" spans="1:3">
      <c r="B28" t="s">
        <v>3075</v>
      </c>
      <c r="C28">
        <v>1175554.29</v>
      </c>
    </row>
    <row r="29" spans="1:3">
      <c r="B29" t="s">
        <v>3076</v>
      </c>
      <c r="C29">
        <v>600244.94</v>
      </c>
    </row>
    <row r="30" spans="1:3">
      <c r="A30" t="s">
        <v>3078</v>
      </c>
    </row>
    <row r="31" spans="1:3">
      <c r="B31" t="s">
        <v>3065</v>
      </c>
      <c r="C31">
        <v>604313.48</v>
      </c>
    </row>
    <row r="32" spans="1:3">
      <c r="B32" t="s">
        <v>3066</v>
      </c>
      <c r="C32">
        <v>978237.9</v>
      </c>
    </row>
    <row r="33" spans="1:3">
      <c r="B33" t="s">
        <v>3067</v>
      </c>
      <c r="C33">
        <v>717521.46</v>
      </c>
    </row>
    <row r="34" spans="1:3">
      <c r="B34" t="s">
        <v>3068</v>
      </c>
      <c r="C34">
        <v>1453272.54</v>
      </c>
    </row>
    <row r="35" spans="1:3">
      <c r="B35" t="s">
        <v>3069</v>
      </c>
      <c r="C35">
        <v>621683.73</v>
      </c>
    </row>
    <row r="36" spans="1:3">
      <c r="B36" t="s">
        <v>3070</v>
      </c>
      <c r="C36">
        <v>1241682.2</v>
      </c>
    </row>
    <row r="37" spans="1:3">
      <c r="B37" t="s">
        <v>3071</v>
      </c>
      <c r="C37">
        <v>728038.11</v>
      </c>
    </row>
    <row r="38" spans="1:3">
      <c r="B38" t="s">
        <v>3072</v>
      </c>
      <c r="C38">
        <v>982625.56</v>
      </c>
    </row>
    <row r="39" spans="1:3">
      <c r="B39" t="s">
        <v>3073</v>
      </c>
      <c r="C39">
        <v>1137263.15</v>
      </c>
    </row>
    <row r="40" spans="1:3">
      <c r="B40" t="s">
        <v>3074</v>
      </c>
      <c r="C40">
        <v>481404.95</v>
      </c>
    </row>
    <row r="41" spans="1:3">
      <c r="B41" t="s">
        <v>3075</v>
      </c>
      <c r="C41">
        <v>729468.11</v>
      </c>
    </row>
    <row r="42" spans="1:3">
      <c r="B42" t="s">
        <v>3076</v>
      </c>
      <c r="C42">
        <v>1032357.68</v>
      </c>
    </row>
    <row r="43" spans="1:3">
      <c r="A43" t="s">
        <v>3079</v>
      </c>
    </row>
    <row r="44" spans="1:3">
      <c r="B44" t="s">
        <v>3065</v>
      </c>
      <c r="C44">
        <v>1089309.49</v>
      </c>
    </row>
    <row r="45" spans="1:3">
      <c r="B45" t="s">
        <v>3066</v>
      </c>
      <c r="C45">
        <v>711164.29</v>
      </c>
    </row>
    <row r="46" spans="1:3">
      <c r="B46" t="s">
        <v>3067</v>
      </c>
      <c r="C46">
        <v>1373533.81</v>
      </c>
    </row>
    <row r="47" spans="1:3">
      <c r="B47" t="s">
        <v>3068</v>
      </c>
      <c r="C47">
        <v>835693.03</v>
      </c>
    </row>
    <row r="48" spans="1:3">
      <c r="B48" t="s">
        <v>3069</v>
      </c>
      <c r="C48">
        <v>877748.63</v>
      </c>
    </row>
    <row r="49" spans="1:3">
      <c r="B49" t="s">
        <v>3070</v>
      </c>
      <c r="C49">
        <v>1148442.71</v>
      </c>
    </row>
    <row r="50" spans="1:3">
      <c r="B50" t="s">
        <v>3071</v>
      </c>
      <c r="C50">
        <v>837845.51</v>
      </c>
    </row>
    <row r="51" spans="1:3">
      <c r="B51" t="s">
        <v>3072</v>
      </c>
      <c r="C51">
        <v>667424.85</v>
      </c>
    </row>
    <row r="52" spans="1:3">
      <c r="B52" t="s">
        <v>3073</v>
      </c>
      <c r="C52">
        <v>652058.03</v>
      </c>
    </row>
    <row r="53" spans="1:3">
      <c r="B53" t="s">
        <v>3074</v>
      </c>
      <c r="C53">
        <v>1108269.56</v>
      </c>
    </row>
    <row r="54" spans="1:3">
      <c r="B54" t="s">
        <v>3075</v>
      </c>
      <c r="C54">
        <v>1374139.2</v>
      </c>
    </row>
    <row r="55" spans="1:3">
      <c r="B55" t="s">
        <v>3076</v>
      </c>
      <c r="C55">
        <v>712915.69</v>
      </c>
    </row>
    <row r="56" spans="1:3">
      <c r="A56" t="s">
        <v>3080</v>
      </c>
    </row>
    <row r="57" spans="1:3">
      <c r="B57" t="s">
        <v>3065</v>
      </c>
      <c r="C57">
        <v>813137.41</v>
      </c>
    </row>
    <row r="58" spans="1:3">
      <c r="B58" t="s">
        <v>3066</v>
      </c>
      <c r="C58">
        <v>1203355.55</v>
      </c>
    </row>
    <row r="59" spans="1:3">
      <c r="B59" t="s">
        <v>3067</v>
      </c>
      <c r="C59">
        <v>908604.79</v>
      </c>
    </row>
    <row r="60" spans="1:3">
      <c r="B60" t="s">
        <v>3068</v>
      </c>
      <c r="C60">
        <v>1351823.12</v>
      </c>
    </row>
    <row r="61" spans="1:3">
      <c r="B61" t="s">
        <v>3069</v>
      </c>
      <c r="C61">
        <v>721280.88</v>
      </c>
    </row>
    <row r="62" spans="1:3">
      <c r="B62" t="s">
        <v>3070</v>
      </c>
      <c r="C62">
        <v>1120325.92</v>
      </c>
    </row>
    <row r="63" spans="1:3">
      <c r="B63" t="s">
        <v>3071</v>
      </c>
      <c r="C63">
        <v>841115.07</v>
      </c>
    </row>
    <row r="64" spans="1:3">
      <c r="B64" t="s">
        <v>3072</v>
      </c>
      <c r="C64">
        <v>1155695.03</v>
      </c>
    </row>
    <row r="65" spans="1:3">
      <c r="B65" t="s">
        <v>3073</v>
      </c>
      <c r="C65">
        <v>680572.35</v>
      </c>
    </row>
    <row r="66" spans="1:3">
      <c r="B66" t="s">
        <v>3074</v>
      </c>
      <c r="C66">
        <v>475796.28</v>
      </c>
    </row>
    <row r="67" spans="1:3">
      <c r="B67" t="s">
        <v>3075</v>
      </c>
      <c r="C67">
        <v>760178.5</v>
      </c>
    </row>
    <row r="68" spans="1:3">
      <c r="B68" t="s">
        <v>3076</v>
      </c>
      <c r="C68">
        <v>1121004.17</v>
      </c>
    </row>
    <row r="69" spans="1:3">
      <c r="A69" t="s">
        <v>3081</v>
      </c>
    </row>
    <row r="70" spans="1:3">
      <c r="B70" t="s">
        <v>3065</v>
      </c>
      <c r="C70">
        <v>996424.2</v>
      </c>
    </row>
    <row r="71" spans="1:3">
      <c r="B71" t="s">
        <v>3066</v>
      </c>
      <c r="C71">
        <v>1023188.05</v>
      </c>
    </row>
    <row r="72" spans="1:3">
      <c r="B72" t="s">
        <v>3067</v>
      </c>
      <c r="C72">
        <v>935199.1</v>
      </c>
    </row>
    <row r="73" spans="1:3">
      <c r="B73" t="s">
        <v>3068</v>
      </c>
      <c r="C73">
        <v>981305.99</v>
      </c>
    </row>
    <row r="74" spans="1:3">
      <c r="B74" t="s">
        <v>3069</v>
      </c>
      <c r="C74">
        <v>969600.81</v>
      </c>
    </row>
    <row r="75" spans="1:3">
      <c r="B75" t="s">
        <v>3070</v>
      </c>
      <c r="C75">
        <v>996451.24</v>
      </c>
    </row>
    <row r="76" spans="1:3">
      <c r="A76" t="s">
        <v>3061</v>
      </c>
      <c r="C76">
        <v>61454830.53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raw_customers</vt:lpstr>
      <vt:lpstr>raw_loans</vt:lpstr>
      <vt:lpstr>raw_branches</vt:lpstr>
      <vt:lpstr>analytics_data</vt:lpstr>
      <vt:lpstr>kpi_summary</vt:lpstr>
      <vt:lpstr>pivot table1</vt:lpstr>
      <vt:lpstr>monthly loan portfolio 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Kenan</dc:creator>
  <cp:lastModifiedBy>Канан Гурайишов</cp:lastModifiedBy>
  <dcterms:created xsi:type="dcterms:W3CDTF">2026-09-10T23:21:00Z</dcterms:created>
  <dcterms:modified xsi:type="dcterms:W3CDTF">2026-10-14T20:25:34Z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3ED77C5F2705431D9E26E283BF98DD26_13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